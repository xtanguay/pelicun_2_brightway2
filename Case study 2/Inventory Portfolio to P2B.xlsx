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at\08 - Brightway2 - OpenSees - Pelicun\Publication\Files\Case study 2\"/>
    </mc:Choice>
  </mc:AlternateContent>
  <xr:revisionPtr revIDLastSave="0" documentId="13_ncr:1_{02CB18B6-45D9-4A6A-9BE7-2C1F750A445B}" xr6:coauthVersionLast="47" xr6:coauthVersionMax="47" xr10:uidLastSave="{00000000-0000-0000-0000-000000000000}"/>
  <bookViews>
    <workbookView xWindow="-120" yWindow="-120" windowWidth="38640" windowHeight="21120" activeTab="1" xr2:uid="{D0A8FD67-D884-49D2-A49B-94C5EFAA6F67}"/>
  </bookViews>
  <sheets>
    <sheet name="Foreground" sheetId="2" r:id="rId1"/>
    <sheet name="Modified datasets" sheetId="4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3" i="2" l="1"/>
  <c r="AN170" i="2"/>
  <c r="AE170" i="2"/>
  <c r="AB170" i="2"/>
  <c r="AM170" i="2"/>
  <c r="Z170" i="2"/>
  <c r="AN150" i="2"/>
  <c r="AE150" i="2"/>
  <c r="AB150" i="2"/>
  <c r="AM150" i="2"/>
  <c r="Z150" i="2"/>
  <c r="AN130" i="2"/>
  <c r="AM130" i="2"/>
  <c r="AE130" i="2"/>
  <c r="AB130" i="2"/>
  <c r="Z130" i="2"/>
  <c r="AN111" i="2"/>
  <c r="AM111" i="2"/>
  <c r="AE111" i="2"/>
  <c r="AB111" i="2"/>
  <c r="Z111" i="2"/>
  <c r="N283" i="2"/>
  <c r="AE84" i="2"/>
  <c r="AB84" i="2"/>
  <c r="AE32" i="2"/>
  <c r="AB32" i="2"/>
  <c r="M6" i="2"/>
  <c r="P6" i="2"/>
  <c r="Q6" i="2"/>
  <c r="P183" i="2"/>
  <c r="Q183" i="2"/>
  <c r="P182" i="2"/>
  <c r="Q182" i="2"/>
  <c r="P180" i="2"/>
  <c r="Q180" i="2"/>
  <c r="P181" i="2"/>
  <c r="Q181" i="2"/>
  <c r="P179" i="2"/>
  <c r="Q179" i="2"/>
  <c r="P178" i="2"/>
  <c r="Q178" i="2"/>
  <c r="P177" i="2"/>
  <c r="Q177" i="2"/>
  <c r="P173" i="2"/>
  <c r="Q173" i="2"/>
  <c r="P174" i="2"/>
  <c r="Q174" i="2"/>
  <c r="P175" i="2"/>
  <c r="Q175" i="2"/>
  <c r="P176" i="2"/>
  <c r="Q176" i="2"/>
  <c r="P172" i="2"/>
  <c r="Q172" i="2"/>
  <c r="P170" i="2"/>
  <c r="Q170" i="2"/>
  <c r="P171" i="2"/>
  <c r="Q171" i="2"/>
  <c r="P169" i="2"/>
  <c r="Q169" i="2"/>
  <c r="P163" i="2"/>
  <c r="Q163" i="2"/>
  <c r="P162" i="2"/>
  <c r="Q162" i="2"/>
  <c r="P160" i="2"/>
  <c r="Q160" i="2"/>
  <c r="P161" i="2"/>
  <c r="Q161" i="2"/>
  <c r="P159" i="2"/>
  <c r="Q159" i="2"/>
  <c r="P158" i="2"/>
  <c r="Q158" i="2"/>
  <c r="P157" i="2"/>
  <c r="Q157" i="2"/>
  <c r="P153" i="2"/>
  <c r="Q153" i="2"/>
  <c r="P154" i="2"/>
  <c r="Q154" i="2"/>
  <c r="P155" i="2"/>
  <c r="Q155" i="2"/>
  <c r="P156" i="2"/>
  <c r="Q156" i="2"/>
  <c r="P152" i="2"/>
  <c r="Q152" i="2"/>
  <c r="P150" i="2"/>
  <c r="Q150" i="2"/>
  <c r="P151" i="2"/>
  <c r="Q151" i="2"/>
  <c r="P149" i="2"/>
  <c r="Q149" i="2"/>
  <c r="M184" i="2"/>
  <c r="P184" i="2"/>
  <c r="Q184" i="2"/>
  <c r="M164" i="2"/>
  <c r="P164" i="2"/>
  <c r="Q164" i="2"/>
  <c r="M144" i="2"/>
  <c r="P144" i="2"/>
  <c r="Q144" i="2"/>
  <c r="P143" i="2"/>
  <c r="Q143" i="2"/>
  <c r="P142" i="2"/>
  <c r="Q142" i="2"/>
  <c r="P140" i="2"/>
  <c r="Q140" i="2"/>
  <c r="P141" i="2"/>
  <c r="Q141" i="2"/>
  <c r="P139" i="2"/>
  <c r="Q139" i="2"/>
  <c r="P138" i="2"/>
  <c r="Q138" i="2"/>
  <c r="P137" i="2"/>
  <c r="Q137" i="2"/>
  <c r="P136" i="2"/>
  <c r="Q136" i="2"/>
  <c r="P135" i="2"/>
  <c r="Q135" i="2"/>
  <c r="P134" i="2"/>
  <c r="Q134" i="2"/>
  <c r="P133" i="2"/>
  <c r="Q133" i="2"/>
  <c r="P132" i="2"/>
  <c r="Q132" i="2"/>
  <c r="P131" i="2"/>
  <c r="Q131" i="2"/>
  <c r="P130" i="2"/>
  <c r="Q130" i="2"/>
  <c r="P129" i="2"/>
  <c r="Q129" i="2"/>
  <c r="P117" i="2"/>
  <c r="Q117" i="2"/>
  <c r="P116" i="2"/>
  <c r="Q116" i="2"/>
  <c r="P115" i="2"/>
  <c r="Q115" i="2"/>
  <c r="P114" i="2"/>
  <c r="Q114" i="2"/>
  <c r="P113" i="2"/>
  <c r="Q113" i="2"/>
  <c r="P112" i="2"/>
  <c r="Q112" i="2"/>
  <c r="P111" i="2"/>
  <c r="Q111" i="2"/>
  <c r="P110" i="2"/>
  <c r="Q110" i="2"/>
  <c r="P124" i="2"/>
  <c r="Q124" i="2"/>
  <c r="P123" i="2"/>
  <c r="Q123" i="2"/>
  <c r="P122" i="2"/>
  <c r="Q122" i="2"/>
  <c r="P121" i="2"/>
  <c r="Q121" i="2"/>
  <c r="P120" i="2"/>
  <c r="Q120" i="2"/>
  <c r="P119" i="2"/>
  <c r="Q119" i="2"/>
  <c r="P118" i="2"/>
  <c r="Q118" i="2"/>
  <c r="M88" i="2"/>
  <c r="P104" i="2"/>
  <c r="Q104" i="2"/>
  <c r="P187" i="2"/>
  <c r="P185" i="2"/>
  <c r="P167" i="2"/>
  <c r="P166" i="2"/>
  <c r="P147" i="2"/>
  <c r="P146" i="2"/>
  <c r="P127" i="2"/>
  <c r="P126" i="2"/>
  <c r="P186" i="2"/>
  <c r="P165" i="2"/>
  <c r="P145" i="2"/>
  <c r="P125" i="2"/>
  <c r="G266" i="2"/>
  <c r="N266" i="2"/>
  <c r="L272" i="2"/>
  <c r="G272" i="2"/>
  <c r="N272" i="2"/>
  <c r="L265" i="2"/>
  <c r="G265" i="2"/>
  <c r="N265" i="2"/>
  <c r="L282" i="2"/>
  <c r="L281" i="2"/>
  <c r="G280" i="2"/>
  <c r="L280" i="2"/>
  <c r="N282" i="2"/>
  <c r="P103" i="2"/>
  <c r="Q103" i="2"/>
  <c r="N281" i="2"/>
  <c r="P102" i="2"/>
  <c r="Q102" i="2"/>
  <c r="N280" i="2"/>
  <c r="P101" i="2"/>
  <c r="Q101" i="2"/>
  <c r="P105" i="2"/>
  <c r="L349" i="2"/>
  <c r="N349" i="2"/>
  <c r="L348" i="2"/>
  <c r="N348" i="2"/>
  <c r="L355" i="2"/>
  <c r="N355" i="2"/>
  <c r="L354" i="2"/>
  <c r="N354" i="2"/>
  <c r="L353" i="2"/>
  <c r="N353" i="2"/>
  <c r="L289" i="2"/>
  <c r="N289" i="2"/>
  <c r="L288" i="2"/>
  <c r="N288" i="2"/>
  <c r="L287" i="2"/>
  <c r="N287" i="2"/>
  <c r="L241" i="2"/>
  <c r="N241" i="2"/>
  <c r="L243" i="2"/>
  <c r="N243" i="2"/>
  <c r="L242" i="2"/>
  <c r="N242" i="2"/>
  <c r="L235" i="2"/>
  <c r="N235" i="2"/>
  <c r="L236" i="2"/>
  <c r="N236" i="2"/>
  <c r="L237" i="2"/>
  <c r="N237" i="2"/>
  <c r="L231" i="2"/>
  <c r="N231" i="2"/>
  <c r="L230" i="2"/>
  <c r="N230" i="2"/>
  <c r="Q105" i="2"/>
  <c r="Z50" i="2"/>
  <c r="M51" i="2"/>
  <c r="P51" i="2"/>
  <c r="Q51" i="2"/>
  <c r="M50" i="2"/>
  <c r="P50" i="2"/>
  <c r="Q50" i="2"/>
  <c r="M49" i="2"/>
  <c r="P49" i="2"/>
  <c r="Q49" i="2"/>
  <c r="M99" i="2"/>
  <c r="P99" i="2"/>
  <c r="Q99" i="2"/>
  <c r="M100" i="2"/>
  <c r="P100" i="2"/>
  <c r="Q100" i="2"/>
  <c r="M98" i="2"/>
  <c r="P98" i="2"/>
  <c r="Q98" i="2"/>
  <c r="M97" i="2"/>
  <c r="P97" i="2"/>
  <c r="Q97" i="2"/>
  <c r="M96" i="2"/>
  <c r="P96" i="2"/>
  <c r="Q96" i="2"/>
  <c r="M95" i="2"/>
  <c r="P95" i="2"/>
  <c r="Q95" i="2"/>
  <c r="M94" i="2"/>
  <c r="P94" i="2"/>
  <c r="Q94" i="2"/>
  <c r="M93" i="2"/>
  <c r="P93" i="2"/>
  <c r="Q93" i="2"/>
  <c r="M92" i="2"/>
  <c r="P92" i="2"/>
  <c r="Q92" i="2"/>
  <c r="M91" i="2"/>
  <c r="P91" i="2"/>
  <c r="Q91" i="2"/>
  <c r="M90" i="2"/>
  <c r="P90" i="2"/>
  <c r="Q90" i="2"/>
  <c r="M89" i="2"/>
  <c r="P89" i="2"/>
  <c r="Q89" i="2"/>
  <c r="P88" i="2"/>
  <c r="Q88" i="2"/>
  <c r="M87" i="2"/>
  <c r="P87" i="2"/>
  <c r="Q87" i="2"/>
  <c r="M86" i="2"/>
  <c r="P86" i="2"/>
  <c r="Q86" i="2"/>
  <c r="M85" i="2"/>
  <c r="P85" i="2"/>
  <c r="Q85" i="2"/>
  <c r="M84" i="2"/>
  <c r="M79" i="2"/>
  <c r="P79" i="2"/>
  <c r="M78" i="2"/>
  <c r="P78" i="2"/>
  <c r="Q78" i="2"/>
  <c r="M77" i="2"/>
  <c r="P77" i="2"/>
  <c r="Q77" i="2"/>
  <c r="M76" i="2"/>
  <c r="P76" i="2"/>
  <c r="Q76" i="2"/>
  <c r="M75" i="2"/>
  <c r="P75" i="2"/>
  <c r="Q75" i="2"/>
  <c r="M74" i="2"/>
  <c r="P74" i="2"/>
  <c r="Q74" i="2"/>
  <c r="M67" i="2"/>
  <c r="P67" i="2"/>
  <c r="Q67" i="2"/>
  <c r="M69" i="2"/>
  <c r="P69" i="2"/>
  <c r="M66" i="2"/>
  <c r="P66" i="2"/>
  <c r="Q66" i="2"/>
  <c r="M65" i="2"/>
  <c r="P65" i="2"/>
  <c r="Q65" i="2"/>
  <c r="M64" i="2"/>
  <c r="P64" i="2"/>
  <c r="Q64" i="2"/>
  <c r="M59" i="2"/>
  <c r="P59" i="2"/>
  <c r="M58" i="2"/>
  <c r="P58" i="2"/>
  <c r="Q58" i="2"/>
  <c r="M57" i="2"/>
  <c r="P57" i="2"/>
  <c r="Q57" i="2"/>
  <c r="M56" i="2"/>
  <c r="P56" i="2"/>
  <c r="Q56" i="2"/>
  <c r="N293" i="2"/>
  <c r="M68" i="2"/>
  <c r="P68" i="2"/>
  <c r="Q68" i="2"/>
  <c r="M48" i="2"/>
  <c r="P48" i="2"/>
  <c r="Q48" i="2"/>
  <c r="M47" i="2"/>
  <c r="P47" i="2"/>
  <c r="Q47" i="2"/>
  <c r="M27" i="2"/>
  <c r="P27" i="2"/>
  <c r="M17" i="2"/>
  <c r="P17" i="2"/>
  <c r="Q17" i="2"/>
  <c r="M7" i="2"/>
  <c r="P7" i="2"/>
  <c r="M26" i="2"/>
  <c r="M16" i="2"/>
  <c r="G226" i="2"/>
  <c r="P84" i="2"/>
  <c r="Q84" i="2"/>
  <c r="P108" i="2"/>
  <c r="Z84" i="2"/>
  <c r="M118" i="2"/>
  <c r="M177" i="2"/>
  <c r="M110" i="2"/>
  <c r="M169" i="2"/>
  <c r="M157" i="2"/>
  <c r="M149" i="2"/>
  <c r="M137" i="2"/>
  <c r="M129" i="2"/>
  <c r="Q79" i="2"/>
  <c r="P82" i="2"/>
  <c r="Q59" i="2"/>
  <c r="Q69" i="2"/>
  <c r="P72" i="2"/>
  <c r="Q7" i="2"/>
  <c r="Q27" i="2"/>
  <c r="AM84" i="2"/>
  <c r="AN84" i="2"/>
  <c r="P62" i="2"/>
  <c r="P60" i="2"/>
  <c r="P107" i="2"/>
  <c r="P106" i="2"/>
  <c r="P81" i="2"/>
  <c r="P80" i="2"/>
  <c r="P71" i="2"/>
  <c r="P70" i="2"/>
  <c r="M4" i="2"/>
  <c r="P61" i="2"/>
  <c r="M46" i="2"/>
  <c r="P46" i="2"/>
  <c r="Q46" i="2"/>
  <c r="M45" i="2"/>
  <c r="P45" i="2"/>
  <c r="Q45" i="2"/>
  <c r="M44" i="2"/>
  <c r="P44" i="2"/>
  <c r="Q44" i="2"/>
  <c r="M43" i="2"/>
  <c r="P43" i="2"/>
  <c r="Q43" i="2"/>
  <c r="M42" i="2"/>
  <c r="P42" i="2"/>
  <c r="Q42" i="2"/>
  <c r="M41" i="2"/>
  <c r="P41" i="2"/>
  <c r="Q41" i="2"/>
  <c r="M40" i="2"/>
  <c r="P40" i="2"/>
  <c r="Q40" i="2"/>
  <c r="M39" i="2"/>
  <c r="P39" i="2"/>
  <c r="Q39" i="2"/>
  <c r="M38" i="2"/>
  <c r="P38" i="2"/>
  <c r="Q38" i="2"/>
  <c r="M37" i="2"/>
  <c r="P37" i="2"/>
  <c r="Q37" i="2"/>
  <c r="M36" i="2"/>
  <c r="P36" i="2"/>
  <c r="Q36" i="2"/>
  <c r="M35" i="2"/>
  <c r="P35" i="2"/>
  <c r="Q35" i="2"/>
  <c r="M34" i="2"/>
  <c r="P34" i="2"/>
  <c r="Q34" i="2"/>
  <c r="M33" i="2"/>
  <c r="P33" i="2"/>
  <c r="Q33" i="2"/>
  <c r="M32" i="2"/>
  <c r="P26" i="2"/>
  <c r="Q26" i="2"/>
  <c r="M25" i="2"/>
  <c r="P25" i="2"/>
  <c r="Q25" i="2"/>
  <c r="M24" i="2"/>
  <c r="P24" i="2"/>
  <c r="Q24" i="2"/>
  <c r="M23" i="2"/>
  <c r="P23" i="2"/>
  <c r="Q23" i="2"/>
  <c r="M22" i="2"/>
  <c r="P22" i="2"/>
  <c r="Q22" i="2"/>
  <c r="P16" i="2"/>
  <c r="Q16" i="2"/>
  <c r="M15" i="2"/>
  <c r="P15" i="2"/>
  <c r="Q15" i="2"/>
  <c r="M14" i="2"/>
  <c r="P14" i="2"/>
  <c r="Q14" i="2"/>
  <c r="M13" i="2"/>
  <c r="P13" i="2"/>
  <c r="Q13" i="2"/>
  <c r="M12" i="2"/>
  <c r="P12" i="2"/>
  <c r="Q12" i="2"/>
  <c r="M5" i="2"/>
  <c r="P5" i="2"/>
  <c r="Q5" i="2"/>
  <c r="P4" i="2"/>
  <c r="Q4" i="2"/>
  <c r="P32" i="2"/>
  <c r="Z32" i="2"/>
  <c r="P30" i="2"/>
  <c r="P10" i="2"/>
  <c r="P9" i="2"/>
  <c r="P20" i="2"/>
  <c r="AM32" i="2"/>
  <c r="AN32" i="2"/>
  <c r="P8" i="2"/>
  <c r="P18" i="2"/>
  <c r="P19" i="2"/>
  <c r="P29" i="2"/>
  <c r="P28" i="2"/>
  <c r="Q32" i="2"/>
  <c r="P54" i="2"/>
  <c r="P53" i="2"/>
  <c r="P5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Tanguay</author>
  </authors>
  <commentList>
    <comment ref="E4" authorId="0" shapeId="0" xr:uid="{BAC9BAE8-5A1A-49A2-BF5C-A642CB9A4EAF}">
      <text>
        <r>
          <rPr>
            <b/>
            <sz val="9"/>
            <color indexed="81"/>
            <rFont val="Tahoma"/>
            <family val="2"/>
          </rPr>
          <t>Assumes the average value : 7.5%.</t>
        </r>
      </text>
    </comment>
    <comment ref="E56" authorId="0" shapeId="0" xr:uid="{9DFD26A2-CAD6-446F-93DF-F53C855F65CB}">
      <text>
        <r>
          <rPr>
            <b/>
            <sz val="9"/>
            <color indexed="81"/>
            <rFont val="Tahoma"/>
            <family val="2"/>
          </rPr>
          <t>Assumes the average value : 7.5%.</t>
        </r>
      </text>
    </comment>
    <comment ref="E110" authorId="0" shapeId="0" xr:uid="{2C538E8D-4223-4FE4-8542-BE4C68BF6EB7}">
      <text>
        <r>
          <rPr>
            <b/>
            <sz val="9"/>
            <color indexed="81"/>
            <rFont val="Tahoma"/>
            <family val="2"/>
          </rPr>
          <t>Assumes the average value : 7.5%.</t>
        </r>
      </text>
    </comment>
  </commentList>
</comments>
</file>

<file path=xl/sharedStrings.xml><?xml version="1.0" encoding="utf-8"?>
<sst xmlns="http://schemas.openxmlformats.org/spreadsheetml/2006/main" count="7079" uniqueCount="888">
  <si>
    <t>Material</t>
  </si>
  <si>
    <t>Unit</t>
  </si>
  <si>
    <t>Total Quantity</t>
  </si>
  <si>
    <t>Columns &amp; Beams</t>
  </si>
  <si>
    <t>Floors</t>
  </si>
  <si>
    <t>Foundations</t>
  </si>
  <si>
    <t>Roofs</t>
  </si>
  <si>
    <t>Walls</t>
  </si>
  <si>
    <t>Project Extra Materials</t>
  </si>
  <si>
    <t>Mass Value</t>
  </si>
  <si>
    <t>Mass Unit</t>
  </si>
  <si>
    <t>#15 Organic Felt</t>
  </si>
  <si>
    <t>m2</t>
  </si>
  <si>
    <t>Tonnes</t>
  </si>
  <si>
    <t>1/2"  Regular Gypsum Board</t>
  </si>
  <si>
    <t>6 mil Polyethylene</t>
  </si>
  <si>
    <t>Air Barrier</t>
  </si>
  <si>
    <t>Blown Cellulose</t>
  </si>
  <si>
    <t>m2 (25mm)</t>
  </si>
  <si>
    <t>Concrete Benchmark  USA 3000 psi</t>
  </si>
  <si>
    <t>m3</t>
  </si>
  <si>
    <t>Double Glazed Hard Coated Argon</t>
  </si>
  <si>
    <t>Expanded Polystyrene</t>
  </si>
  <si>
    <t>Fiber Cement</t>
  </si>
  <si>
    <t>Galvanized Sheet</t>
  </si>
  <si>
    <t>Glass Based shingles 30yr</t>
  </si>
  <si>
    <t>Glass Fibre</t>
  </si>
  <si>
    <t>kg</t>
  </si>
  <si>
    <t>Glazing Panel</t>
  </si>
  <si>
    <t>Joint Compound</t>
  </si>
  <si>
    <t>Laminated Veneer Lumber</t>
  </si>
  <si>
    <t>Large Dimension Softwood Lumber, kiln-dried</t>
  </si>
  <si>
    <t>Nails</t>
  </si>
  <si>
    <t>Oriented Strand Board</t>
  </si>
  <si>
    <t>m2 (9mm)</t>
  </si>
  <si>
    <t>Paper Tape</t>
  </si>
  <si>
    <t>Polyiso Foam Board (unfaced)</t>
  </si>
  <si>
    <t>PVC Window Frame</t>
  </si>
  <si>
    <t>Rebar, Rod, Light Sections</t>
  </si>
  <si>
    <t>Roofing Asphalt</t>
  </si>
  <si>
    <t>Small Dimension Softwood Lumber, kiln-dried</t>
  </si>
  <si>
    <t>Softwood Plywood</t>
  </si>
  <si>
    <t>Solvent Based Alkyd Paint</t>
  </si>
  <si>
    <t>L</t>
  </si>
  <si>
    <t>Water Based Latex Paint</t>
  </si>
  <si>
    <t>Welded Wire Mesh / Ladder Wire</t>
  </si>
  <si>
    <t>Damage state 1 (DS1)</t>
  </si>
  <si>
    <t>Damage state 2 (DS2)</t>
  </si>
  <si>
    <t>Damage state 4 (DS4)</t>
  </si>
  <si>
    <t>Damage state 3 (DS3)</t>
  </si>
  <si>
    <t>Inventory entries (Athena naming convention)</t>
  </si>
  <si>
    <t>Roof : 15% to 50 % of cover to replace ; under 20% of windows to replace ; 1 to 3 roof deck panels to replace</t>
  </si>
  <si>
    <t>Damage states</t>
  </si>
  <si>
    <t>Brightway2 naming</t>
  </si>
  <si>
    <t>Qty</t>
  </si>
  <si>
    <t>Unit BW2</t>
  </si>
  <si>
    <t>Qty BW2</t>
  </si>
  <si>
    <t>Roof : 50% to 100% ; windows : 20% to 50% ; 3 roof deck panels or under 25%</t>
  </si>
  <si>
    <t>Destruction - rebuild the whole house.</t>
  </si>
  <si>
    <t>Gypsum board</t>
  </si>
  <si>
    <t>Blown cellulose</t>
  </si>
  <si>
    <t>Expanded polystyrene</t>
  </si>
  <si>
    <t>Galvanized steel sheet</t>
  </si>
  <si>
    <t>Glass based shingles (30 year lifespan)</t>
  </si>
  <si>
    <t>Glass fibre</t>
  </si>
  <si>
    <t>Glazing panel</t>
  </si>
  <si>
    <t>Laminated veneer lumber</t>
  </si>
  <si>
    <t>Softwood lumber, kiln-dried</t>
  </si>
  <si>
    <t>Oriented Strand board</t>
  </si>
  <si>
    <t>Roofing asphalt</t>
  </si>
  <si>
    <t>Plywood</t>
  </si>
  <si>
    <t>Solvent based, alkyd paint</t>
  </si>
  <si>
    <t>2% to 15% of the roof cover to replace</t>
  </si>
  <si>
    <t>Comments</t>
  </si>
  <si>
    <t>Steel nails</t>
  </si>
  <si>
    <t>Waste handling</t>
  </si>
  <si>
    <t>Tranport (to worksite)</t>
  </si>
  <si>
    <t>Transport (to landfill)</t>
  </si>
  <si>
    <t>Weight (t)</t>
  </si>
  <si>
    <t>km</t>
  </si>
  <si>
    <t>tkm</t>
  </si>
  <si>
    <t>Process-specific burdens, inert material landfill (proxy - CA-NS)</t>
  </si>
  <si>
    <t>Component</t>
  </si>
  <si>
    <t>W.SF</t>
  </si>
  <si>
    <t>Wood framed house, single family</t>
  </si>
  <si>
    <t>M.SF</t>
  </si>
  <si>
    <t>Masonry house, single family house</t>
  </si>
  <si>
    <t>C.ERB.</t>
  </si>
  <si>
    <t>Concrete house, Engineered residential building</t>
  </si>
  <si>
    <t>ecoinvent datasets / modified datasets / biosphere datasets</t>
  </si>
  <si>
    <t>W.SF DS1</t>
  </si>
  <si>
    <t>W.SF DS2</t>
  </si>
  <si>
    <t>W.SF DS3</t>
  </si>
  <si>
    <t>W.SF DS4</t>
  </si>
  <si>
    <t>M.SF DS1</t>
  </si>
  <si>
    <t>M.SF DS3</t>
  </si>
  <si>
    <t>M.SF DS2</t>
  </si>
  <si>
    <t>M.SF DS4</t>
  </si>
  <si>
    <t>C.ERB DS1</t>
  </si>
  <si>
    <t>C.ERB DS2</t>
  </si>
  <si>
    <t>C.ERB DS3</t>
  </si>
  <si>
    <t>C.ERB DS4</t>
  </si>
  <si>
    <t>W.SF : HAZUS 51. - Hurricane model - technical manual 1</t>
  </si>
  <si>
    <t>#15 Organic felt</t>
  </si>
  <si>
    <t>500 kg/m3</t>
  </si>
  <si>
    <t>True plywood panel thickness</t>
  </si>
  <si>
    <t>mm</t>
  </si>
  <si>
    <t>(plywood panels are thus assumed  about 1/2 inch)</t>
  </si>
  <si>
    <t>Air barrier</t>
  </si>
  <si>
    <t>Vinyl siding</t>
  </si>
  <si>
    <t>M.SF :</t>
  </si>
  <si>
    <t>1/2"  Lightweight Gypsum Board</t>
  </si>
  <si>
    <t>5/8"  Fire-Rated Type X Gypsum Board</t>
  </si>
  <si>
    <t>8" Normal Weight Concrete Block</t>
  </si>
  <si>
    <t>Blocks</t>
  </si>
  <si>
    <t>Aluminum Window Frame</t>
  </si>
  <si>
    <t>Concrete Benchmark  CAN 25 MPa</t>
  </si>
  <si>
    <t>Concrete Benchmark  CAN 30 MPa</t>
  </si>
  <si>
    <t>Double Glazed Soft Coated Argon</t>
  </si>
  <si>
    <t>Fiberglass Batt (low density)</t>
  </si>
  <si>
    <t>Galvanized Studs</t>
  </si>
  <si>
    <t>Grout-Coarse</t>
  </si>
  <si>
    <t>Metal Wall Cladding - Commercial (26 Ga.)</t>
  </si>
  <si>
    <t>Mineral Wool Batt (low density)</t>
  </si>
  <si>
    <t>Mortar</t>
  </si>
  <si>
    <t>Polyiso Foam Board-Wall (GRFF faced)</t>
  </si>
  <si>
    <t>Screws Nuts &amp; Bolts</t>
  </si>
  <si>
    <t>Spandrel Panel</t>
  </si>
  <si>
    <t>Area</t>
  </si>
  <si>
    <t>Nb storeys</t>
  </si>
  <si>
    <t>M.SF : HAZUS 51. - Hurricane model - technical manual 1 (HAZUS classifies damages the same way between M.SF and W.SF)</t>
  </si>
  <si>
    <t>C.ERB : HAZUS 51. - Hurricane model - technical manual 1</t>
  </si>
  <si>
    <t>SPM roof (material take-off from Impact Estimator for buildings - Athena SMI v 5.5)</t>
  </si>
  <si>
    <t>C.ERB :  Impact Estimator for buildings - Athena SMI v 5.5 documentation (note : underground parking elements removed) - see "Case Study - Condo"</t>
  </si>
  <si>
    <t>W.SF :  Impact Estimator for buildings - Athena SMI v 5.5 original documentation - see "Case Study - Single Family Residential - Raised Wood Floor"</t>
  </si>
  <si>
    <t>Built-up roof (material take-off from  Impact Estimator for buildings - Athena SMI v 5.5 and indications from HAZUS documentation)</t>
  </si>
  <si>
    <t>Masonry specific LCI</t>
  </si>
  <si>
    <t>Ballast (aggregate stone)</t>
  </si>
  <si>
    <t>Polyiso Foam Board-Roof (GRF faced)</t>
  </si>
  <si>
    <t>Type III Glass Felt</t>
  </si>
  <si>
    <t>1/2"  Moisture Resistant Gypsum Board</t>
  </si>
  <si>
    <t>Modified Bitumen membrane</t>
  </si>
  <si>
    <t>Vinyl cladding</t>
  </si>
  <si>
    <t>Brick cladding</t>
  </si>
  <si>
    <t>Cedar cladding</t>
  </si>
  <si>
    <t>Vinyl Siding Institute. (2022). Environmental Product Declaration—Vinyl Siding  Industry Averaged—Vinyl Siding. https://polymericexteriors.org/wp-content/uploads/2022/06/VSI-EPD-VinylSiding-2022.pdf</t>
  </si>
  <si>
    <t>Vinyl siding (replacing fibercement)</t>
  </si>
  <si>
    <t>Cedar siding (replacing fibercement)</t>
  </si>
  <si>
    <t>Brick siding (replacing fibercement)</t>
  </si>
  <si>
    <t>vinyl siding (installed)</t>
  </si>
  <si>
    <t>https://capecodsiding.com/wp-content/uploads/2021/04/Shingle-Installation.pdf ; https://maibec.com/wp-content/uploads/2022/02/BOIS_FT-2024_Bardeau-Cedre-Blanc_Victorien-CA-FR-v1.pdf ; https://sbccedar.com/wp-content/uploads/2020/12/SBC-Cedar-Comment-installer-le-bardeau-de-cedre-blanc-Guide-dinstallation.pdf</t>
  </si>
  <si>
    <t>m3 of lath/m2</t>
  </si>
  <si>
    <t>cedar siding (installed)</t>
  </si>
  <si>
    <t>Justifications</t>
  </si>
  <si>
    <t>https://www.canadamasonrydesigncentre.com/wp-content/uploads/15th_symposium/051-Jandris.pdf</t>
  </si>
  <si>
    <t>https://www.gobrick.com/media/file/10-dimensioning-and-estimating-brick-masonry.pdf ; https://www.gobrick.com/content/userfiles/files/EPD10447.pdf ; https://calculatelca.com/wp-content/themes/athenasmisoftware/images/LCA%20Reports/Brick_And_Mortar_Products.pdf</t>
  </si>
  <si>
    <t>Brick siding (installed)</t>
  </si>
  <si>
    <t>Data inclusive of transports and landfill as this is an optional feature.</t>
  </si>
  <si>
    <t>Several cedar shingle manufacturers and retailers within NS. Data inclusive of transports and landfill as this is an optional feature.</t>
  </si>
  <si>
    <t>Several Brick manufacturers and retailers within NS. Data inclusive of transports and landfill as this is an optional feature.</t>
  </si>
  <si>
    <t>Brick</t>
  </si>
  <si>
    <t>Steel ties</t>
  </si>
  <si>
    <t>Cedar shingles</t>
  </si>
  <si>
    <t>Cedar lath</t>
  </si>
  <si>
    <t>Concrete Masonry Unit (CMU)</t>
  </si>
  <si>
    <t>Grout</t>
  </si>
  <si>
    <t>1 m2</t>
  </si>
  <si>
    <t>Extruded polystyrene (XPS)</t>
  </si>
  <si>
    <t>Roof : 50% to 100% ; windows : 20% to 50% ;</t>
  </si>
  <si>
    <t xml:space="preserve">Destruction : concrete buildings are not subject to full destruction, but all windows and roof cover may be lost. </t>
  </si>
  <si>
    <t>Roof : 15% to 50 % of cover to replace ; under 20% of windows to replace ;</t>
  </si>
  <si>
    <t>SPM roof cover</t>
  </si>
  <si>
    <t>Built-up roof cover</t>
  </si>
  <si>
    <t>Masonry (and insulation)</t>
  </si>
  <si>
    <t>transport, freight, lorry &gt;32 metric ton, EURO6 | transport, freight, lorry &gt;32 metric ton, EURO6 | RoW</t>
  </si>
  <si>
    <t>Waste handling for all repaired material (assumes transports over 30 km)</t>
  </si>
  <si>
    <t>Delivery of materials to the building site (assumes 100 km of transport)</t>
  </si>
  <si>
    <t>process-specific burdens, inert material landfill | Process-specific burdens, inert material landfill - proxy | CA-NS</t>
  </si>
  <si>
    <t>All non recyclable residues are assumed to be landfilled.</t>
  </si>
  <si>
    <t xml:space="preserve">SSS Hardware Co. Ltd. (2024). https://www.3shardware.com/info/manufacturing-process-of-iron-nails-45686979.html#:~:text=The%20production%20process%20of%20nails%20is%20relatively%20simple.,which%20is%20the%20finished%20product. ; Steiner R., Frischknecht R. (2007). Metals processing and Compressed Air supply. Ecoinvent report No. 23. </t>
  </si>
  <si>
    <t>Asphalt roofing manufacturers. (2016). Environmental product declaration: Asphalt shingle roofing system. https://www.asphaltroofing.org/wp-content/uploads/2019/10/Shingles-EPD.pdf ; Athena sustainable materials institute. (2001). A life cycle inventory for road and roofing asphalt. https://calculatelca.com/wp-content/themes/athenasmisoftware/images/LCA%20Reports/Road_And_Roofing_Asphalt.pdf</t>
  </si>
  <si>
    <t>market for asphalt shingles</t>
  </si>
  <si>
    <t>BUR roof types make up approximatively 50% of the Canadian roofing market (Athena SMI report)</t>
  </si>
  <si>
    <t>https://bpcan.com/wp-content/uploads/2017/02/sds-asphalt-saturated-felts-2021.pdf ; Asphalt roofing manufacturers. (2016). Environmental product declaration: Asphalt shingle roofing system. https://www.asphaltroofing.org/wp-content/uploads/2019/10/Shingles-EPD.pdf</t>
  </si>
  <si>
    <t>https://www.iko.com/comm/wp-content/uploads/sites/7/2024/02/SDS_1216-Roofing-Asphalt-Easy-Melt-FR.pdf ; https://bpcan.com/wp-content/uploads/2017/02/sds-burfalt-2021.pdf</t>
  </si>
  <si>
    <t>market for bitumen adhesive compound, hot</t>
  </si>
  <si>
    <t>bitumen adhesive compound, hot  bitumen adhesive compound, hot | CA ; transport, freight, lorry &gt;32 metric ton, EURO6 | transport, freight, lorry &gt;32 metric ton, EURO6 | RoW</t>
  </si>
  <si>
    <t>wire drawing, steel | wire drawing, steel | RoW ; steel, galvanized, long products | market for steel, galvanized, long products | CA-NS</t>
  </si>
  <si>
    <t>asphalt shingles | asphalt shingles production | CA-ON ; asphalt shingles | asphalt shingles production | US-RFC ; transport, freight, lorry &gt;32 metric ton, EURO6 | transport, freight, lorry &gt;32 metric ton, EURO6 | RoW</t>
  </si>
  <si>
    <t>market for #15 organic felt</t>
  </si>
  <si>
    <t>organic felt #15 | market for organic felt #15 | CA-NS</t>
  </si>
  <si>
    <t>gypsum plasterboard | gypsum plasterboard production | RoW ; sealing tape, paper, 50 mm wide | sealing tape production, paper, 50 mm wide | RoW ; Joint compound | Joint compound | RoW ; alkyd paint, white, 60% in solution state | alkyd paint, white, in 60% solution state | RoW</t>
  </si>
  <si>
    <t>https://certainteed.widen.net/content/opoyh8dp5n/pdf/117.2-CertainTeed-Gypsum-EPD-TypeC-OneHalfInch-Gypsum-Board-MontrealQC.pdf?u=nwk4fd ; https://images.homedepot.ca/pdf/BEHR%20DYNASTY%20INTERIOR%20EGGSHELL%20ENAMEL%20PAINT_TDS_Canada-pdf.pdf ; https://images.homedepot.ca/pdf/CGC%20Materials%20Estimator%20-%20Drywall%20-%20Bilingual-pdf.pdf ; https://www.usg.com/content/dam/USG_Marketing_Communications/canada/sds/cgc-sheetrock-all-purpose-drywall-compound-sds-en-61001010004.pdf ; https://www.usg.com/content/dam/USG_Marketing_Communications/canada/product_promotional_materials/finished_assets/cgc-drywall-joint-tape-data-en-can.pdf</t>
  </si>
  <si>
    <t>m of joint tape/m2</t>
  </si>
  <si>
    <t>kg of wet joint compound/m2</t>
  </si>
  <si>
    <t>market for gypsum plasterboard</t>
  </si>
  <si>
    <t>5/8'' wallboards (note : quantities developed for 1/2'' thick plasterboard) + joint compound + sealing tape</t>
  </si>
  <si>
    <t>Final  tape (m)/compound (kg)</t>
  </si>
  <si>
    <t>https://calculatelca.com/wp-content/themes/athenasmisoftware/images/LCA%20Reports/ICI_Roofing_Systems_OCE.pdf ; https://bpcan.com/wp-content/uploads/2017/02/sds-asphalt-saturated-felts-2021.pdf ; Asphalt roofing manufacturers. (2016). Environmental product declaration: Asphalt shingle roofing system. https://www.asphaltroofing.org/wp-content/uploads/2019/10/Shingles-EPD.pdf</t>
  </si>
  <si>
    <t>gravel, crushed | gravel production, crushed | CA-NS</t>
  </si>
  <si>
    <t>Double Glazed Hard Coated Argon (window) w/ window frame (PVC)</t>
  </si>
  <si>
    <t>Double Glazed Hard Coated Argon (window) w/ window frame (Al)</t>
  </si>
  <si>
    <t>National Glass Association. (2019). Environmental Product Declaration : Flat glass. https://www.glass.org/sites/default/files/2019-12/NGA_EPD_2019_12_16_signed.pdf ; PE International. (2011). Summary report : Life cycle assessment of float glass. https://glassforeurope.com/wp-content/uploads/2018/04/Life-Cycle-Assessment.pdf ; Vitro architectural glass. (2024). Environmental Product Declaration: Flat glass. https://www.vitroglazings.com/media/nf0nm25r/vitro-epd-flat-glass-products.pdf ;</t>
  </si>
  <si>
    <t>National Glass Association. (2019). Environmental Product Declaration : Flat glass. https://www.glass.org/sites/default/files/2019-12/NGA_EPD_2019_12_16_signed.pdf ; PE International. (2011). Summary report : Life cycle assessment of float glass. https://glassforeurope.com/wp-content/uploads/2018/04/Life-Cycle-Assessment.pdf ; Vitro architectural glass. (2024). Environmental Product Declaration: Flat glass. https://www.vitroglazings.com/media/nf0nm25r/vitro-epd-flat-glass-products.pdf ; Prelco. (2023). Environmental Product Declaration: Prel-Gard, Prel-Lam, Prel-UniT and Prel-AirSecur processed glass. https://www.prelco.ca/wp-content/uploads/2023/12/Password-Protected-Prelco-Processed-Glass-EPD_20231128.pdf ; Laurier architectural. (2021). Environmental Product Declaration: Laurier architectural monolithic glass, laminated glass and sealed units. https://laurier.net/wp-content/uploads/2021/02/100327945-01_laurier_epd_04022020_lbushi_signed__v1.1.pdf ; innotech. (2024). Environmental Product Declaration: Innotech windows + Doors. https://pcr-epd.s3.us-east-2.amazonaws.com/1204.EPD_Innotech_2024-07-12.pdf ; Seyedeh Saaditian. (2021). Integrated cost and environmental life cycle analysis of windows. https://estudogeral.uc.pt/bitstream/10316/100335/4/Final%20Thesis_Seyedeh%20Shiva%20Saadatian.pdf</t>
  </si>
  <si>
    <t>market for window, double glazed, PVC framed</t>
  </si>
  <si>
    <t>polyvinylchloride (PVC) window, double glazed | market for polyvinylchloride (PVC) window production, double glazed | CA-NS</t>
  </si>
  <si>
    <t>Double glazed PVC windows (made from insulated glazing units, PVC framing, small hardware (steel) and sealants (silicone)</t>
  </si>
  <si>
    <t>Athena Sustainable Materials Institute. (2022). A Cradle-to-gate life cycle assessment of softwood plywood produced in British Columbia. https://www.athenasmi.org/wp-content/uploads/2022/06/CtoG-LCA-of-BC-Plywood.pdf ; Puettmann et al. (2020). CORRIM Report: Life cycle assessment for the production of PNW softwood plywood. https://corrim.org/wp-content/uploads/2020/06/CORRIM-AWC-PNW-Plywood.pdf</t>
  </si>
  <si>
    <t>plywood | market for plywood | CA-NS</t>
  </si>
  <si>
    <t>market for plywood</t>
  </si>
  <si>
    <t>flat glass, uncoated | market for flat glass, uncoated | RoW</t>
  </si>
  <si>
    <t>market for flat glass, uncoated</t>
  </si>
  <si>
    <t>steel, galvanized, flat products, cold rolled | market for steel, galvanized, flat products, cold rolled | CA-NS</t>
  </si>
  <si>
    <t xml:space="preserve">market for steel, galvanized, flat products, cold rolled </t>
  </si>
  <si>
    <t>Manufacturer available locally</t>
  </si>
  <si>
    <t>https://cellulose.org/wp-content/uploads/2022/09/CIMA-Environmental-Product-Declaration-Conventional-Loose-Fill-Cellulose-Insulation.pdf</t>
  </si>
  <si>
    <t>cellulose fibre | cellulose fibre production | CA-NS</t>
  </si>
  <si>
    <t xml:space="preserve">cellulose fibre production </t>
  </si>
  <si>
    <t>market for organic felt #15</t>
  </si>
  <si>
    <t>https://www.sciencedirect.com/science/article/pii/S0959652615012147?via%3Dihub</t>
  </si>
  <si>
    <t>expanded polystyrene foam production | expanded polystyrene foam production | CA-NS</t>
  </si>
  <si>
    <t>expanded polystyrene foam production</t>
  </si>
  <si>
    <t>sawnwood, beam, softwood, raw, dried (u=10%) | beam, softwood, raw, kiln drying to u=10% | CA-NS</t>
  </si>
  <si>
    <t>beam, softwood, raw, kiln drying to u=10%</t>
  </si>
  <si>
    <t>alkyd paint, white, 60% in solution state | alkyd paint, white, in 60% solution state | RoW</t>
  </si>
  <si>
    <t>alkyd paint, white, in 60% solution state</t>
  </si>
  <si>
    <t>glass fibre | market for glass fibre | CA-NS</t>
  </si>
  <si>
    <t>market for glass fibre</t>
  </si>
  <si>
    <t>Athena Sustainable Materials Institute. (2018). A Cradle-to-gate life cycle assessment of Canadian Oriented Strand Board - OSB. https://www.athenasmi.org/wp-content/uploads/2018/09/CtoG-LCA-of-Canadian-OSB.pdf ; Werner F., Althaus H.-J., Künniger T., Richter K. and Junbluth N. (2007). Life cycle inventories of Wood as Fuel and Construction Material. Final report ecoinvent 2000 No. 9.</t>
  </si>
  <si>
    <t>oriented strand board | market for oriented strand board | CA-NS</t>
  </si>
  <si>
    <t>market for oriented strand board</t>
  </si>
  <si>
    <t>Athena Sustainable Materials Institute. (2018). A Cradle-to-gate life cycle asessment of canadian laminated veneer lumber (LVL). https://www.athenasmi.org/wp-content/uploads/2018/09/CtoG-LCA-of-Canadian-LVL-Manufacture.pdf</t>
  </si>
  <si>
    <t>laminated veneer lumber | market for laminated veneer lumber | CA-NS</t>
  </si>
  <si>
    <t>market for laminated veneer lumber</t>
  </si>
  <si>
    <t>polyethyelene sheet, 6 mil | market for polyethyelene sheet, 6 mil | CA-NS</t>
  </si>
  <si>
    <t>market for polyethyelene sheet, 6 mil</t>
  </si>
  <si>
    <t>m2 (85 mm)</t>
  </si>
  <si>
    <t>Sika Canada inc. 2023. Sika Masonry Mortars and Grouts : Product-specific type III environmental product declaration (EPD). https://can.sika.com/dam/dms/ca01/p/Sika_Canada_EPD_Masonry-Mortars-and-Grouts.pdf</t>
  </si>
  <si>
    <t>Sika Canada inc. 2023. Sika Masonry Mortars and Grouts : Product-specific type III environmental product declaration (EPD). https://can.sika.com/dam/dms/ca01/p/Sika_Canada_EPD_Masonry-Mortars-and-Grouts.pdf ; Sika Canada inc. 2024. Fiche technique de produit : King 1-1-6.https://can.sika.com/dam/dms/ca01/i/king-1-1-6.pdf</t>
  </si>
  <si>
    <t>Canadian Concrete Masonry Producers Association. (2020). Environmental product declaration : Normal weight and lightweight concrete block masonry units as manufactured by members of the Canadian Concrete Masonry Producers Association (CCMPA). https://ccmpa.ca/wp-content/uploads/CCMPA-EPD-20240919.pdf ; Athena Sustainable Materials Institute. (2022). Canadian Industry-average Cradle-to-gate LCA of concrete block masonry units produced by CCMPA Members. National Research Council Canada: Ottawa, ON. https://ccmpa.ca/wp-content/uploads/2022/09/CCMPA-LCA-Report-20220906-1.pdf</t>
  </si>
  <si>
    <t>concrete masonry block | concrete masonry block production | CA-NS</t>
  </si>
  <si>
    <t>concrete masonry block production</t>
  </si>
  <si>
    <t>market for steel, galvanized, flat products, cold rolled</t>
  </si>
  <si>
    <t>CSA. (2023). G40.20/G40.21 : General requirements for rolled or welded structural quality steel/Structural quality steel. https://www.csagroup.org/store/product/G40.20-13-G40.21-13/?srsltid=AfmBOoqiMwnKTPx3X2bMnLU9S43GdvmHZDuDhSEZdU4KBi5G54ovcZtR ; Adnan Khan M., Powell M., Tampier M., Thorn-Corthay E., Layzell D. (2023). Hydrogen and the Decarbonization of Steel Production in Canada. https://transitionaccelerator.ca/wp-content/uploads/2023/09/hydrogen-and-the-decarbonization-of-steel-production-in-Canada-v2.pdf</t>
  </si>
  <si>
    <t>mixed grout | grout mixing, for concrete masonry block | CA-NS</t>
  </si>
  <si>
    <t>grout mixing, for concrete masonry block</t>
  </si>
  <si>
    <t>mixed mortar | mortar mixing, for concrete masonry block | CA-NS</t>
  </si>
  <si>
    <t>mortar mixing, for concrete masonry block</t>
  </si>
  <si>
    <t>https://www.iko.com/comm/wp-content/uploads/sites/7/2024/06/104.2_ARMA-SBS-Hot-Asphalt.pdf</t>
  </si>
  <si>
    <t>SBS modified bituminous membrane, fiberglass reinforced | market for SBS modified bituminous membrane, fiberglass reinforced | CA-NS</t>
  </si>
  <si>
    <t>market for SBS modified bituminous membrane, fiberglass reinforced</t>
  </si>
  <si>
    <t>https://info.nsf.org/Certified/Sustain/ProdCert/EPD10467.pdf</t>
  </si>
  <si>
    <t>polyisocyanurate foam board | market for polyisocyanurate foam board | CA-NS</t>
  </si>
  <si>
    <t>market for polyisocyanurate foam board</t>
  </si>
  <si>
    <t>https://www.iko.com/comm/wp-content/uploads/sites/7/2024/02/0640092-PDS-Type-IV-Glass-Ply-Sheet.pdf ; https://www.carlislesyntec.com/en/Document-Viewer/type-iv-glass-ply-felt-product-data-sheet-pds/ZOYUK8FFV02ZZEe_gjBZtw ; https://www.iko.com/comm/wp-content/uploads/sites/7/2024/02/SDS_1284-Type-IV-Glass-Ply-Sheet-EN.pdf</t>
  </si>
  <si>
    <t>glass felt, type IV | market for glass felt, type IV | CA-NS</t>
  </si>
  <si>
    <t>market for glass felt, type IV</t>
  </si>
  <si>
    <t>National Glass Association. (2019). Environmental Product Declaration : Flat glass. https://www.glass.org/sites/default/files/2019-12/NGA_EPD_2019_12_16_signed.pdf ; PE International. (2011). Summary report : Life cycle assessment of float glass. https://glassforeurope.com/wp-content/uploads/2018/04/Life-Cycle-Assessment.pdf ; Vitro architectural glass. (2024). Environmental Product Declaration: Flat glass. https://www.vitroglazings.com/media/nf0nm25r/vitro-epd-flat-glass-products.pdf ; Prelco. (2023). Environmental Product Declaration: Prel-Gard, Prel-Lam, Prel-UniT and Prel-AirSecur processed glass. https://www.prelco.ca/wp-content/uploads/2023/12/Password-Protected-Prelco-Processed-Glass-EPD_20231128.pdf ; Laurier architectural. (2021). Environmental Product Declaration: Laurier architectural monolithic glass, laminated glass and sealed units. https://laurier.net/wp-content/uploads/2021/02/100327945-01_laurier_epd_04022020_lbushi_signed__v1.1.pdf ; Seyedeh Saaditian. (2021). Integrated cost and environmental life cycle analysis of windows. https://estudogeral.uc.pt/bitstream/10316/100335/4/Final%20Thesis_Seyedeh%20Shiva%20Saadatian.pdf ; Kawneer. (2021). Environmental product declaration : GLASSvent Windows. https://www.kawneer.ca/kawneer_files/shared%20files/Sustainability/EPD/EPD4789733794.103.1.pdf ; AluQuébec. (2024). Environmental Product Declaration: Aluminium windows. https://www.csaregistries.ca/GHG_VR_Listing/EPD_ProjectDetail?ProjectId=1092</t>
  </si>
  <si>
    <t>Double glazed aluminium windows (made from insulated glazing units, aluminium framing, small hardware (steel) and sealants (silicone)</t>
  </si>
  <si>
    <t>aluminium window, double glazed | aluminium window production, double glazed | CA-NS</t>
  </si>
  <si>
    <t>aluminium window production, double glazed</t>
  </si>
  <si>
    <t>gypsum plasterboard | gypsum plasterboard production | RoW ; sealing tape, paper, 50 mm wide | sealing tape production, paper, 50 mm wide | RoW ; Joint compound | Joint compound | RoW</t>
  </si>
  <si>
    <t xml:space="preserve"> transport, freight, lorry &gt;32 metric ton, EURO6</t>
  </si>
  <si>
    <t xml:space="preserve">gravel production, crushed </t>
  </si>
  <si>
    <t>Database</t>
  </si>
  <si>
    <t>Activity</t>
  </si>
  <si>
    <t>Ceramic Tile grout production (mixed, proxy)</t>
  </si>
  <si>
    <t>activity type</t>
  </si>
  <si>
    <t>ordinary transforming activity</t>
  </si>
  <si>
    <t>code</t>
  </si>
  <si>
    <t>4d304bc218228b52c6c6072d1cd548fd_copy2</t>
  </si>
  <si>
    <t>comment</t>
  </si>
  <si>
    <t>location</t>
  </si>
  <si>
    <t>CA-NS</t>
  </si>
  <si>
    <t>reference product</t>
  </si>
  <si>
    <t>Ceramic Tile grout, mixed</t>
  </si>
  <si>
    <t>type</t>
  </si>
  <si>
    <t>process</t>
  </si>
  <si>
    <t>unit</t>
  </si>
  <si>
    <t>kilogram</t>
  </si>
  <si>
    <t>Exchanges</t>
  </si>
  <si>
    <t>name</t>
  </si>
  <si>
    <t>amount</t>
  </si>
  <si>
    <t>database</t>
  </si>
  <si>
    <t>uncertainty type</t>
  </si>
  <si>
    <t>loc</t>
  </si>
  <si>
    <t>production</t>
  </si>
  <si>
    <t>lime production, milled, loose</t>
  </si>
  <si>
    <t>technosphere</t>
  </si>
  <si>
    <t>lime</t>
  </si>
  <si>
    <t>market for cement, Portland</t>
  </si>
  <si>
    <t>cement, Portland</t>
  </si>
  <si>
    <t>market for conveyor belt</t>
  </si>
  <si>
    <t>GLO</t>
  </si>
  <si>
    <t>meter</t>
  </si>
  <si>
    <t>conveyor belt</t>
  </si>
  <si>
    <t>market for electricity, medium voltage</t>
  </si>
  <si>
    <t>kilowatt hour</t>
  </si>
  <si>
    <t>electricity, medium voltage</t>
  </si>
  <si>
    <t>market for industrial machine, heavy, unspecified</t>
  </si>
  <si>
    <t>RER</t>
  </si>
  <si>
    <t>industrial machine, heavy, unspecified</t>
  </si>
  <si>
    <t>market for silica sand</t>
  </si>
  <si>
    <t>silica sand</t>
  </si>
  <si>
    <t>market for tap water</t>
  </si>
  <si>
    <t>RoW</t>
  </si>
  <si>
    <t>tap water</t>
  </si>
  <si>
    <t>packing, cement</t>
  </si>
  <si>
    <t>Concrete demolition</t>
  </si>
  <si>
    <t>f16d046b0c384c0e810e68b812970e78</t>
  </si>
  <si>
    <t>cubic meter</t>
  </si>
  <si>
    <t>categories</t>
  </si>
  <si>
    <t>Particulate Matter, &lt; 2.5 um</t>
  </si>
  <si>
    <t>biosphere3</t>
  </si>
  <si>
    <t>air</t>
  </si>
  <si>
    <t>biosphere</t>
  </si>
  <si>
    <t>Particulate Matter, &gt; 10 um</t>
  </si>
  <si>
    <t>Particulate Matter, &gt; 2.5 um and &lt; 10um</t>
  </si>
  <si>
    <t>diesel, burned in building machine</t>
  </si>
  <si>
    <t>megajoule</t>
  </si>
  <si>
    <t>Glazing production, double, U&lt;1.1 W/m2K - proxy</t>
  </si>
  <si>
    <t>d28bc3614175a3eeae735bf00410ac0c_copy1</t>
  </si>
  <si>
    <t>glazing, double, U&lt;1.1 W/m2K</t>
  </si>
  <si>
    <t>square meter</t>
  </si>
  <si>
    <t>Water</t>
  </si>
  <si>
    <t>Process-specific burdens, inert material landfill - proxy</t>
  </si>
  <si>
    <t>process-specific burdens, inert material landfill</t>
  </si>
  <si>
    <t>US</t>
  </si>
  <si>
    <t>Joint compound</t>
  </si>
  <si>
    <t>f92e145f522444d7940f7b646991b853</t>
  </si>
  <si>
    <t>limestone production, crushed, washed</t>
  </si>
  <si>
    <t>limestone, crushed, washed</t>
  </si>
  <si>
    <t>Light fixture</t>
  </si>
  <si>
    <t>5b2ef6b2d83b4132b2644eabda0aec56</t>
  </si>
  <si>
    <t>Unspecified light fixture unit, derived from the comparison of several light fixture EPD.</t>
  </si>
  <si>
    <t>market for aluminium, cast alloy</t>
  </si>
  <si>
    <t>aluminium, cast alloy</t>
  </si>
  <si>
    <t>market for extrusion of plastic sheets and thermoforming, inline</t>
  </si>
  <si>
    <t>extrusion of plastic sheets and thermoforming, inline</t>
  </si>
  <si>
    <t>market for polycarbonate</t>
  </si>
  <si>
    <t>polycarbonate</t>
  </si>
  <si>
    <t>market for printed wiring board, through-hole mounted, unspecified, Pb containing</t>
  </si>
  <si>
    <t>printed wiring board, through-hole mounted, unspecified, Pb containing</t>
  </si>
  <si>
    <t>market for sheet rolling, steel</t>
  </si>
  <si>
    <t>sheet rolling, steel</t>
  </si>
  <si>
    <t>market for steel, low-alloyed</t>
  </si>
  <si>
    <t>steel, low-alloyed</t>
  </si>
  <si>
    <t>polypropylene production, granulate</t>
  </si>
  <si>
    <t>polypropylene, granulate</t>
  </si>
  <si>
    <t>176fb7d432d161bed33554d32f682b67_copy1</t>
  </si>
  <si>
    <t>market for diesel, burned in building machine</t>
  </si>
  <si>
    <t>SBS modified bituminous membrane production, fiberglass reinforced</t>
  </si>
  <si>
    <t>39946081d89742cb97d26b8076ed204d</t>
  </si>
  <si>
    <t>CA-ON</t>
  </si>
  <si>
    <t>SBS modified bituminous membrane, fiberglass reinforced</t>
  </si>
  <si>
    <t>bitumen adhesive compound production, hot - proxy</t>
  </si>
  <si>
    <t>CA</t>
  </si>
  <si>
    <t>bitumen adhesive compound, hot</t>
  </si>
  <si>
    <t>glass fibre production</t>
  </si>
  <si>
    <t>glass fibre</t>
  </si>
  <si>
    <t>gravel and sand quarry operation</t>
  </si>
  <si>
    <t>sand</t>
  </si>
  <si>
    <t>gravel production, crushed</t>
  </si>
  <si>
    <t>gravel, crushed</t>
  </si>
  <si>
    <t>limestone production, crushed, for mill</t>
  </si>
  <si>
    <t>limestone, crushed, for mill</t>
  </si>
  <si>
    <t>market for acrylonitrile-butadiene-styrene copolymer</t>
  </si>
  <si>
    <t>acrylonitrile-butadiene-styrene copolymer</t>
  </si>
  <si>
    <t>market for borax, anhydrous, powder</t>
  </si>
  <si>
    <t>borax, anhydrous, powder</t>
  </si>
  <si>
    <t>39946081d89742cb97d26b8076ed204d_copy1</t>
  </si>
  <si>
    <t>CA-QC</t>
  </si>
  <si>
    <t>Steel - miscellaneous products - proxy</t>
  </si>
  <si>
    <t>18b0dcf01dd401e1549b3796e3786213_copy1</t>
  </si>
  <si>
    <t>Steel, low-alloyed - misc</t>
  </si>
  <si>
    <t>Carbon dioxide, fossil</t>
  </si>
  <si>
    <t>Carbon monoxide, fossil</t>
  </si>
  <si>
    <t>Lead II</t>
  </si>
  <si>
    <t>Nitrogen oxides</t>
  </si>
  <si>
    <t>Sulfur dioxide</t>
  </si>
  <si>
    <t>heat, district or industrial, other than natural gas</t>
  </si>
  <si>
    <t>heat production, light fuel oil, at industrial furnace 1MW - proxy</t>
  </si>
  <si>
    <t>market for electric arc furnace slag - proxy</t>
  </si>
  <si>
    <t>electric arc furnace slag</t>
  </si>
  <si>
    <t>RNA</t>
  </si>
  <si>
    <t>inert waste, for final disposal</t>
  </si>
  <si>
    <t>market for natural gas, high pressure</t>
  </si>
  <si>
    <t>natural gas, high pressure</t>
  </si>
  <si>
    <t>market for oxygen, liquid</t>
  </si>
  <si>
    <t>oxygen, liquid</t>
  </si>
  <si>
    <t>quicklime, in pieces, loose</t>
  </si>
  <si>
    <t>e50fc4793aa048019f8d0fcce512ac3b_copy1</t>
  </si>
  <si>
    <t>market for steel, galvanized, long products</t>
  </si>
  <si>
    <t>steel, galvanized, long products</t>
  </si>
  <si>
    <t>Steel, cold forming</t>
  </si>
  <si>
    <t>a167aaa4b654443da95789f1eac27eb7_copy1</t>
  </si>
  <si>
    <t>Steel, cold formed</t>
  </si>
  <si>
    <t>sheet rolling, steel - proxy</t>
  </si>
  <si>
    <t>Steel, hot rolled, low alloyed - old</t>
  </si>
  <si>
    <t>ff6abcba846f4e4fae54222e41be4665</t>
  </si>
  <si>
    <t>hot rolling, steel</t>
  </si>
  <si>
    <t>Vapour barrier</t>
  </si>
  <si>
    <t>0b10966d93b24188b9858864791eabd0</t>
  </si>
  <si>
    <t>extrusion, plastic film</t>
  </si>
  <si>
    <t>polyethylene production, high density, granulate</t>
  </si>
  <si>
    <t>polyethylene, high density, granulate</t>
  </si>
  <si>
    <t>Window frame production, poly vinyl chloride, U=1.6 W/m2K - proxy</t>
  </si>
  <si>
    <t>814ee5af40bc5e139ec55f49c2668c0c_copy1</t>
  </si>
  <si>
    <t>window frame, poly vinyl chloride, U=1.6 W/m2K</t>
  </si>
  <si>
    <t>extrusion, plastic pipes</t>
  </si>
  <si>
    <t>injection moulding</t>
  </si>
  <si>
    <t>market for metal working factory</t>
  </si>
  <si>
    <t>metal working factory</t>
  </si>
  <si>
    <t>polyvinylchloride, suspension polymerised</t>
  </si>
  <si>
    <t>section bar extrusion, aluminium</t>
  </si>
  <si>
    <t>synthetic rubber</t>
  </si>
  <si>
    <t>zinc coat, coils</t>
  </si>
  <si>
    <t>zinc coat, pieces</t>
  </si>
  <si>
    <t>absorption chiller production, 100kW - proxy (no end of life waste treatment)</t>
  </si>
  <si>
    <t>c70f8d90ce0fd503325f740d974881d3_copy1</t>
  </si>
  <si>
    <t>absorption chiller, 100kW</t>
  </si>
  <si>
    <t>electronics, for control units</t>
  </si>
  <si>
    <t>market for heat, district or industrial, natural gas</t>
  </si>
  <si>
    <t>heat, district or industrial, natural gas</t>
  </si>
  <si>
    <t>market for wastewater, average</t>
  </si>
  <si>
    <t>wastewater, average</t>
  </si>
  <si>
    <t>market group for electricity, medium voltage</t>
  </si>
  <si>
    <t>acrylic coating dry mix production</t>
  </si>
  <si>
    <t>8f3af14c392d42889779f910427317ab</t>
  </si>
  <si>
    <t>acrylic coating dry mix</t>
  </si>
  <si>
    <t>market for acrylic binder, with water, in 54% solution state</t>
  </si>
  <si>
    <t>acrylic binder, with water, in 54% solution state</t>
  </si>
  <si>
    <t>market for butyldiglycol acetate</t>
  </si>
  <si>
    <t>butyldiglycol acetate</t>
  </si>
  <si>
    <t>market for limestone, crushed, washed</t>
  </si>
  <si>
    <t>market for propylene glycol, liquid</t>
  </si>
  <si>
    <t>propylene glycol, liquid</t>
  </si>
  <si>
    <t>market for soda ash, light</t>
  </si>
  <si>
    <t>soda ash, light</t>
  </si>
  <si>
    <t>market for titanium dioxide</t>
  </si>
  <si>
    <t>titanium dioxide</t>
  </si>
  <si>
    <t>market for wax, lost-wax casting</t>
  </si>
  <si>
    <t>wax, lost-wax casting</t>
  </si>
  <si>
    <t>acrylic coating, in solution state, 53% produciton</t>
  </si>
  <si>
    <t>d6864576e22c4b66aaaf7048cdc1b9ef</t>
  </si>
  <si>
    <t>acrylic coating, in solution state, 53%</t>
  </si>
  <si>
    <t>market for chemical factory, organics</t>
  </si>
  <si>
    <t>chemical factory, organics</t>
  </si>
  <si>
    <t>market for water, deionised</t>
  </si>
  <si>
    <t>water, deionised</t>
  </si>
  <si>
    <t>4b876135ece643cb9e0eb156a790dfc7</t>
  </si>
  <si>
    <t>alkyd paint, white, 60% in solution state</t>
  </si>
  <si>
    <t>alkyd paint production, white, water-based, product in 60% solution state</t>
  </si>
  <si>
    <t>alkyd paint, white, without water, in 60% solution state</t>
  </si>
  <si>
    <t>aluminium production, 85% primary, ingot</t>
  </si>
  <si>
    <t>ba0435ca6abdaad442f2a5cafdf60cb4_copy3</t>
  </si>
  <si>
    <t>aluminium, 85% primary, ingot</t>
  </si>
  <si>
    <t>aluminium production, secondary, from scrap</t>
  </si>
  <si>
    <t>aluminium, liquid</t>
  </si>
  <si>
    <t>market for electricity, medium voltage, aluminium industry</t>
  </si>
  <si>
    <t>electricity, medium voltage, aluminium industry</t>
  </si>
  <si>
    <t>aluminium production, 92% primary, ingot</t>
  </si>
  <si>
    <t>ba0435ca6abdaad442f2a5cafdf60cb4_copy2</t>
  </si>
  <si>
    <t>aluminium, 92% primary, ingot</t>
  </si>
  <si>
    <t>65279bf81bea4e2088e5334516c04944</t>
  </si>
  <si>
    <t>aluminium scrap, post-consumer, prepared for melting, Recycled Content cut-off</t>
  </si>
  <si>
    <t>aluminium scrap, post-consumer, prepared for melting</t>
  </si>
  <si>
    <t>market for heat, district or industrial, other than natural gas</t>
  </si>
  <si>
    <t>0d0678bbbdd54d71ba886a0bb8bee1cd</t>
  </si>
  <si>
    <t>aluminium window, double glazed</t>
  </si>
  <si>
    <t>acrylonitrile-butadiene-styrene copolymer production</t>
  </si>
  <si>
    <t>anodising, aluminium sheet</t>
  </si>
  <si>
    <t>glazing production, double, U&lt;1.1 W/m2K</t>
  </si>
  <si>
    <t>market for adhesive, for metal</t>
  </si>
  <si>
    <t>adhesive, for metal</t>
  </si>
  <si>
    <t>market for nylon 6-6</t>
  </si>
  <si>
    <t>nylon 6-6</t>
  </si>
  <si>
    <t>market for polyurethane, flexible foam</t>
  </si>
  <si>
    <t>polyurethane, flexible foam</t>
  </si>
  <si>
    <t>market for silicone product</t>
  </si>
  <si>
    <t>silicone product</t>
  </si>
  <si>
    <t>metal working factory construction</t>
  </si>
  <si>
    <t>polyvinylchloride production, suspension polymerisation</t>
  </si>
  <si>
    <t>powder coating, aluminium sheet</t>
  </si>
  <si>
    <t>powder coat, aluminium sheet</t>
  </si>
  <si>
    <t>steel screws, nuts and bolts</t>
  </si>
  <si>
    <t>synthetic rubber production</t>
  </si>
  <si>
    <t>ton kilometer</t>
  </si>
  <si>
    <t>Transport of glazing units and aluminium to Nova Scotia</t>
  </si>
  <si>
    <t>asphalt shingles production</t>
  </si>
  <si>
    <t>da7c4f447a8a42d69997059c5f3d0287_copy1</t>
  </si>
  <si>
    <t>asphalt shingles</t>
  </si>
  <si>
    <t>Phenol</t>
  </si>
  <si>
    <t>VOC, volatile organic compounds</t>
  </si>
  <si>
    <t>da7c4f447a8a42d69997059c5f3d0287_copy2</t>
  </si>
  <si>
    <t>US-RFC</t>
  </si>
  <si>
    <t>ce2284a3a0808fc9f9cf8a9b5c6bd5d7_copy1</t>
  </si>
  <si>
    <t>sawnwood, beam, softwood, raw, dried (u=10%)</t>
  </si>
  <si>
    <t>Acetaldehyde</t>
  </si>
  <si>
    <t>Carbon monoxide, non-fossil</t>
  </si>
  <si>
    <t>Formaldehyde</t>
  </si>
  <si>
    <t>sawing, softwood</t>
  </si>
  <si>
    <t>sawnwood, softwood, raw</t>
  </si>
  <si>
    <t>wood chips production, softwood, at sawmill</t>
  </si>
  <si>
    <t>wood chips, wet, measured as dry mass</t>
  </si>
  <si>
    <t>1b31d8b2303c9384bf9a5d00cd57670b_copy1</t>
  </si>
  <si>
    <t>1b31d8b2303c9384bf9a5d00cd57670b_copy2</t>
  </si>
  <si>
    <t>board, softwood, raw, kiln drying to u=10%</t>
  </si>
  <si>
    <t>d93b4e75a05b3e8be552dc70044678da_copy1</t>
  </si>
  <si>
    <t>sawnwood, board, softwood, raw, dried (u=10%)</t>
  </si>
  <si>
    <t>board, softwood, raw, kiln drying to u=20%</t>
  </si>
  <si>
    <t>ed3c773bbca0bd9b5ef1ba6bfbe35bf7_copy1</t>
  </si>
  <si>
    <t>sawnwood, board, softwood, raw, dried (u=20%)</t>
  </si>
  <si>
    <t>brick cladding (installed)</t>
  </si>
  <si>
    <t>2733c5cfadca4983805766bcb96b7d0b</t>
  </si>
  <si>
    <t>cement grout production (mixed, proxy)</t>
  </si>
  <si>
    <t>cement grout, mixed</t>
  </si>
  <si>
    <t>clay brick production</t>
  </si>
  <si>
    <t>clay brick</t>
  </si>
  <si>
    <t>Athena estimate for a 1m2 brick wall</t>
  </si>
  <si>
    <t>cast iron production</t>
  </si>
  <si>
    <t>e7a497ab3aa16d887380bdb301555364_copy1</t>
  </si>
  <si>
    <t>cast iron</t>
  </si>
  <si>
    <t>pig iron</t>
  </si>
  <si>
    <t>cedar cladding (installed)</t>
  </si>
  <si>
    <t>9b94a25de1864dcca0e3363b240b2f0e</t>
  </si>
  <si>
    <t>cedar cladding</t>
  </si>
  <si>
    <t>About 1 to 2 grams per nail (rough estimate), 2 nails/ cedar shingle</t>
  </si>
  <si>
    <t>market for cedar shingles</t>
  </si>
  <si>
    <t>cedar shingles</t>
  </si>
  <si>
    <t>planing, lath, softwood, u=10%</t>
  </si>
  <si>
    <t>sawnwood, lath, softwood, dried (u=10%), planed</t>
  </si>
  <si>
    <t>cedar shingles production</t>
  </si>
  <si>
    <t>0fb3828d42e54c19986a0b972e908dc0</t>
  </si>
  <si>
    <t>market for alkyd paint, white, without water, in 60% solution state</t>
  </si>
  <si>
    <t>wooden board factory construction, organic bonded boards</t>
  </si>
  <si>
    <t>wooden board factory, organic bonded boards</t>
  </si>
  <si>
    <t>ceiling tile, glass fibre production</t>
  </si>
  <si>
    <t>9b8ea0b69efd437f96942d8d36ca4b6a</t>
  </si>
  <si>
    <t>ceiling tile, glass fibre</t>
  </si>
  <si>
    <t>400 squared feet of paint for 5 kg of paint</t>
  </si>
  <si>
    <t>cellulose fibre production</t>
  </si>
  <si>
    <t>84fa3cb285a79618da175d5b91493b7d_copy1</t>
  </si>
  <si>
    <t>cellulose fibre</t>
  </si>
  <si>
    <t>municipal solid waste</t>
  </si>
  <si>
    <t>4d304bc218228b52c6c6072d1cd548fd_copy1</t>
  </si>
  <si>
    <t>cement mortar production (mixed, proxy)</t>
  </si>
  <si>
    <t>4d304bc218228b52c6c6072d1cd548fd_copy3</t>
  </si>
  <si>
    <t>cement mortar, mixed</t>
  </si>
  <si>
    <t>cement production, Portland</t>
  </si>
  <si>
    <t>fcb666edf2a01467e555eeff5b4a5bbb_copy1</t>
  </si>
  <si>
    <t>clinker production</t>
  </si>
  <si>
    <t>clinker</t>
  </si>
  <si>
    <t>ceramic tile production</t>
  </si>
  <si>
    <t>88c77cd46746a1b8f5d242d544df9055_copy1</t>
  </si>
  <si>
    <t>ceramic tile</t>
  </si>
  <si>
    <t>a3dc16552c3afede8fb60d4b44332ccf_copy1</t>
  </si>
  <si>
    <t>market for EUR-flat pallet</t>
  </si>
  <si>
    <t>EUR-flat pallet</t>
  </si>
  <si>
    <t>market for lubricating oil</t>
  </si>
  <si>
    <t>lubricating oil</t>
  </si>
  <si>
    <t>packaging film, low density polyethylene</t>
  </si>
  <si>
    <t>market for polystyrene, expandable</t>
  </si>
  <si>
    <t>polystyrene, expandable</t>
  </si>
  <si>
    <t>steel, low-alloyed, hot rolled</t>
  </si>
  <si>
    <t>e6b12fe3a84a44f96d41173737cf46ef_copy1</t>
  </si>
  <si>
    <t>b8cb7415184c4d789e9ef459cf59fae9</t>
  </si>
  <si>
    <t>concrete masonry block</t>
  </si>
  <si>
    <t>extrusion, co-extrusion of plastic sheets</t>
  </si>
  <si>
    <t>extrusion, co-extrusion</t>
  </si>
  <si>
    <t>ground granulated blast furnace slag production</t>
  </si>
  <si>
    <t>ground granulated blast furnace slag</t>
  </si>
  <si>
    <t>market for alkylbenzene sulfonate, linear, petrochemical</t>
  </si>
  <si>
    <t>alkylbenzene sulfonate, linear, petrochemical</t>
  </si>
  <si>
    <t>market for calcium chloride</t>
  </si>
  <si>
    <t>calcium chloride</t>
  </si>
  <si>
    <t>market for concrete mixing factory</t>
  </si>
  <si>
    <t>concrete mixing factory</t>
  </si>
  <si>
    <t>steel, galvanized, flat products, cold rolled</t>
  </si>
  <si>
    <t>packaging film production, low density polyethylene</t>
  </si>
  <si>
    <t>treatment of inert waste, inert material landfill</t>
  </si>
  <si>
    <t>concrete production, 20MPa, with cement, Portland</t>
  </si>
  <si>
    <t>e6705287b239aeb875a074627abce4b3_copy1</t>
  </si>
  <si>
    <t>concrete, 20MPa</t>
  </si>
  <si>
    <t>Iron ion</t>
  </si>
  <si>
    <t>concrete production, 25MPa, for building construction, for interior use, with cement, Portland</t>
  </si>
  <si>
    <t>27b56d442aeae619b3c890a3ee406111_copy1</t>
  </si>
  <si>
    <t>concrete, 25MPa</t>
  </si>
  <si>
    <t>concrete production, 30-32MPa, with cement, Portland</t>
  </si>
  <si>
    <t>8f9958adfead94a210183976d5417009_copy1</t>
  </si>
  <si>
    <t>concrete, 30-32MPa</t>
  </si>
  <si>
    <t>containerboard production, linerboard, kraftliner</t>
  </si>
  <si>
    <t>297d6811f26577e3417b5ad742b9600f_copy1</t>
  </si>
  <si>
    <t>containerboard, linerboard</t>
  </si>
  <si>
    <t>Methanol</t>
  </si>
  <si>
    <t>Pentane</t>
  </si>
  <si>
    <t>market for calcium carbonate, precipitated</t>
  </si>
  <si>
    <t>calcium carbonate, precipitated</t>
  </si>
  <si>
    <t>direct iron reduction (DRI)</t>
  </si>
  <si>
    <t>2025f034f0d34257b4828d97008591d7</t>
  </si>
  <si>
    <t>sponge iron</t>
  </si>
  <si>
    <t>iron pellet production</t>
  </si>
  <si>
    <t>iron pellet</t>
  </si>
  <si>
    <t>quicklime production, in pieces, loose</t>
  </si>
  <si>
    <t>epoxy resin production, liquid</t>
  </si>
  <si>
    <t>c34ebc9d3cf8e8f153e7b5d51211ba52_copy1</t>
  </si>
  <si>
    <t>epoxy resin, liquid</t>
  </si>
  <si>
    <t>3efeec9500c646b0a798eab6ac4aa83a</t>
  </si>
  <si>
    <t>polymer foaming</t>
  </si>
  <si>
    <t>402dd09e7dd5416bd66e83ccbbb30857_copy1</t>
  </si>
  <si>
    <t>steel, chromium steel 18/8</t>
  </si>
  <si>
    <t>402dd09e7dd5416bd66e83ccbbb30857_copy2</t>
  </si>
  <si>
    <t>402dd09e7dd5416bd66e83ccbbb30857_copy3</t>
  </si>
  <si>
    <t>a3db44de6a0a9f2abd1810651ede038b_copy1</t>
  </si>
  <si>
    <t>extrusion, pvc pipes</t>
  </si>
  <si>
    <t>a3db44de6a0a9f2abd1810651ede038b_copy2</t>
  </si>
  <si>
    <t>glass felt production, type IV</t>
  </si>
  <si>
    <t>116531b3ffcc4763b17970fcb41aeee1</t>
  </si>
  <si>
    <t>glass felt, type IV</t>
  </si>
  <si>
    <t>dd48cbc4f0cd2089ce96b3600792d606_copy1</t>
  </si>
  <si>
    <t>d28bc3614175a3eeae735bf00410ac0c_copy2</t>
  </si>
  <si>
    <t>1247d879acb79d23368ab2b2cb125ba7_copy1</t>
  </si>
  <si>
    <t>market for municipal solid waste - proxy</t>
  </si>
  <si>
    <t>1247d879acb79d23368ab2b2cb125ba7_copy2</t>
  </si>
  <si>
    <t>1247d879acb79d23368ab2b2cb125ba7_copy3</t>
  </si>
  <si>
    <t>1247d879acb79d23368ab2b2cb125ba7_copy4</t>
  </si>
  <si>
    <t>d5219bf132039930e515735902b1b0e2_copy1</t>
  </si>
  <si>
    <t>d5219bf132039930e515735902b1b0e2_copy2</t>
  </si>
  <si>
    <t>d5219bf132039930e515735902b1b0e2_copy3</t>
  </si>
  <si>
    <t>ac63c2df61df47dbbe6b626bd0383c47</t>
  </si>
  <si>
    <t>mixed grout</t>
  </si>
  <si>
    <t>industrial machine production, heavy, unspecified</t>
  </si>
  <si>
    <t>fd6d9270b6629e00d4019fbd9ec56127_copy1</t>
  </si>
  <si>
    <t>fd6d9270b6629e00d4019fbd9ec56127_copy2</t>
  </si>
  <si>
    <t>CA-BC</t>
  </si>
  <si>
    <t>fd6d9270b6629e00d4019fbd9ec56127_copy3</t>
  </si>
  <si>
    <t>CA-NB</t>
  </si>
  <si>
    <t>heat production, softwood chips from forest, at furnace 300kW - internally produced chips</t>
  </si>
  <si>
    <t>a8e981d094c11bb51c5bb50299ea706f_copy1</t>
  </si>
  <si>
    <t>a8e981d094c11bb51c5bb50299ea706f_copy2</t>
  </si>
  <si>
    <t>a8e981d094c11bb51c5bb50299ea706f_copy3</t>
  </si>
  <si>
    <t>heat straightening, oxyacetylene torch</t>
  </si>
  <si>
    <t>fb80ff68663148109bec9a60419f3315</t>
  </si>
  <si>
    <t>heat straightening</t>
  </si>
  <si>
    <t>minute</t>
  </si>
  <si>
    <t>market for acetylene</t>
  </si>
  <si>
    <t>acetylene</t>
  </si>
  <si>
    <t>85044489c82eebde3060af39e67c6082_copy1</t>
  </si>
  <si>
    <t>laminated PVC flooring production</t>
  </si>
  <si>
    <t>39a1db49070c4f9a9167f24a8866fa98</t>
  </si>
  <si>
    <t>laminated PVC flooring</t>
  </si>
  <si>
    <t>laminating service, foil</t>
  </si>
  <si>
    <t>laminated veneer lumber production</t>
  </si>
  <si>
    <t>753fa5b6d2404217abd973133fb3b04c</t>
  </si>
  <si>
    <t>laminated veneer lumber</t>
  </si>
  <si>
    <t>Hexane</t>
  </si>
  <si>
    <t>lubricating oil production</t>
  </si>
  <si>
    <t>market for phenolic resin</t>
  </si>
  <si>
    <t>phenolic resin</t>
  </si>
  <si>
    <t>market for sawlog and veneer log, softwood, measured as solid wood under bark</t>
  </si>
  <si>
    <t>sawlog and veneer log, softwood, measured as solid wood under bark</t>
  </si>
  <si>
    <t>market for soda ash, dense</t>
  </si>
  <si>
    <t>soda ash, dense</t>
  </si>
  <si>
    <t>paraffin production</t>
  </si>
  <si>
    <t>paraffin</t>
  </si>
  <si>
    <t>propane, burned in building machine</t>
  </si>
  <si>
    <t>veneer production, softwood log peeling</t>
  </si>
  <si>
    <t>softwood veneer</t>
  </si>
  <si>
    <t>veneer production, softwood, dried (u=4%)</t>
  </si>
  <si>
    <t>de8b8a8644dc1f0c1f798445f878ba5a_copy1</t>
  </si>
  <si>
    <t>lath, softwood, raw, kiln drying to u=10%</t>
  </si>
  <si>
    <t>e930a5af6ad0e495310b07b2cb6e630e_copy1</t>
  </si>
  <si>
    <t>sawnwood, lath, softwood, raw, dried (u=10%)</t>
  </si>
  <si>
    <t>f0bdc0a3373eb5fcb75b8095ca000ffc_copy1</t>
  </si>
  <si>
    <t>26488e0c78633874da59353f50cdb0f7_copy1</t>
  </si>
  <si>
    <t>ff22e276b2a64ea0b7c1a0acd2db679d</t>
  </si>
  <si>
    <t>95444fd334b344d7905ef1483509fc23</t>
  </si>
  <si>
    <t>e650ac2b7e884654bf66ab1d40fe4b95</t>
  </si>
  <si>
    <t>Assumes transport between CA-ON / CA-QC to CA-NS by railroad</t>
  </si>
  <si>
    <t>9d9cec66e0ad401b811caca7d9ec79ba</t>
  </si>
  <si>
    <t>market activity</t>
  </si>
  <si>
    <t>5ded925aa7705fbdd413c0a60bbb2150_copy1</t>
  </si>
  <si>
    <t>market for curtain wall, double glazed, aluminium framed</t>
  </si>
  <si>
    <t>d0ba19af7aeb4a35ae3520dc0ae9e3bd</t>
  </si>
  <si>
    <t>curtain wall, double glazed, aluminium framed</t>
  </si>
  <si>
    <t>46 kg /m2 - most materials are first produced in Quebec / North-Eastern US, then transported to Nova Scotia for fabrication and installation</t>
  </si>
  <si>
    <t>7d95e8db27d1846ca8f709e387a0be61_copy1</t>
  </si>
  <si>
    <t>c4024221abe7424c809411e2fb51772f</t>
  </si>
  <si>
    <t>market for steel, low-alloyed, flat, hot rolled</t>
  </si>
  <si>
    <t>steel, low-alloyed, flat, hot rolled</t>
  </si>
  <si>
    <t>Saint-Georges to Halifax</t>
  </si>
  <si>
    <t>zinc coating, pieces</t>
  </si>
  <si>
    <t>bae9d75878404ec191895749cf7f568a</t>
  </si>
  <si>
    <t>92c64b22176d490dbaad12ddd8583dc0</t>
  </si>
  <si>
    <t>8bc4629fcfa4413884b190914806388e</t>
  </si>
  <si>
    <t>f1e34a135716e28ba7d189ceb802691b_copy1</t>
  </si>
  <si>
    <t>treatment of municipal solid waste, sanitary landfill - proxy</t>
  </si>
  <si>
    <t>75fc8f95f9d94dcdb03a8077db899a6b</t>
  </si>
  <si>
    <t>organic felt #15</t>
  </si>
  <si>
    <t>organic felt #15 production</t>
  </si>
  <si>
    <t>b49bcc6ad571470daa5fc4a2cb6ff8b6</t>
  </si>
  <si>
    <t>oriented strand board</t>
  </si>
  <si>
    <t>oriented strand board production</t>
  </si>
  <si>
    <t>9f4505aa35ae41249e428496fe2fba3c</t>
  </si>
  <si>
    <t>plywood</t>
  </si>
  <si>
    <t>plywood production</t>
  </si>
  <si>
    <t>994284f2249848bc848a5094529bc5b2</t>
  </si>
  <si>
    <t>polyethyelene sheet, 6 mil</t>
  </si>
  <si>
    <t>polyethylene sheet production, 6 mil</t>
  </si>
  <si>
    <t>ec1fabd56e8643dc8fdaea1a04e07c23</t>
  </si>
  <si>
    <t>polyisocyanurate foam board</t>
  </si>
  <si>
    <t>polyisocyanurate foam board production</t>
  </si>
  <si>
    <t>market for polyvinylchloride (PVC) window production, double glazed</t>
  </si>
  <si>
    <t>0cae3f965c21450f93fe304f28f65940</t>
  </si>
  <si>
    <t>polyvinylchloride (PVC) window, double glazed</t>
  </si>
  <si>
    <t>Sum of all transports</t>
  </si>
  <si>
    <t>73b6af98c3ca9566ddacab5e1d50aba7_copy1</t>
  </si>
  <si>
    <t>softwood forestry, mixed species, boreal forest - proxy</t>
  </si>
  <si>
    <t>73b6af98c3ca9566ddacab5e1d50aba7_copy2</t>
  </si>
  <si>
    <t>73b6af98c3ca9566ddacab5e1d50aba7_copy3</t>
  </si>
  <si>
    <t>market for steel W shapes</t>
  </si>
  <si>
    <t>000c6aa77d224038b646c9bc4a3c0905</t>
  </si>
  <si>
    <t>steel W shapes</t>
  </si>
  <si>
    <t>market for steel studs</t>
  </si>
  <si>
    <t>74496c32b3014fbd86424fc5213b1f8f</t>
  </si>
  <si>
    <t>steel studs</t>
  </si>
  <si>
    <t>zinc coating, coils</t>
  </si>
  <si>
    <t>market for steel, flat, hot rolled</t>
  </si>
  <si>
    <t>c976d8e0d3eb43ae92fe90a90a816a2a</t>
  </si>
  <si>
    <t>steel, flat, hot rolled</t>
  </si>
  <si>
    <t>c976d8e0d3eb43ae92fe90a90a816a2a_copy1</t>
  </si>
  <si>
    <t>97052d39b227478db9ca3278c818c1fc_copy1</t>
  </si>
  <si>
    <t>market for steel, long, hot rolled</t>
  </si>
  <si>
    <t>4f7456a39fbe4cbea9dbf793dcf492fc</t>
  </si>
  <si>
    <t>steel, long, hot rolled</t>
  </si>
  <si>
    <t>market for steel, low-alloyed, long, hot rolled</t>
  </si>
  <si>
    <t>steel, low-alloyed, long, hot rolled</t>
  </si>
  <si>
    <t>QC-Halifax (ship 1500 km)</t>
  </si>
  <si>
    <t>Toronto-Halifax (ship 2200 km)</t>
  </si>
  <si>
    <t>09d77800c9fe44938a77bf83ae050800</t>
  </si>
  <si>
    <t>steel production, electric, low-alloyed</t>
  </si>
  <si>
    <t>steel production, electric, low-alloyed, from DRI</t>
  </si>
  <si>
    <t>bc1a9aa8d95b41c4ba3923257ac9681f</t>
  </si>
  <si>
    <t>steel production, converter, low-alloyed</t>
  </si>
  <si>
    <t>7fe27571f9b5484991544465196a211c</t>
  </si>
  <si>
    <t>e22293ee41d84cd091074b12a080f07e</t>
  </si>
  <si>
    <t>market for steel. galvanized. long products, cold formed</t>
  </si>
  <si>
    <t>a167aaa4b654443da95789f1eac27eb7</t>
  </si>
  <si>
    <t>steel, galvanized, long products, cold formed</t>
  </si>
  <si>
    <t>a3e4e379aae120ad7d7bb2e9ce288c5b_copy1</t>
  </si>
  <si>
    <t>tap water production, conventional treatment</t>
  </si>
  <si>
    <t>tap water production, direct filtration treatment</t>
  </si>
  <si>
    <t>market for traction elevator production</t>
  </si>
  <si>
    <t>059e770524e44003aa73b7b2c99c847d</t>
  </si>
  <si>
    <t>elevator</t>
  </si>
  <si>
    <t>Cast iron counterweight transport from North Eastern US to Halifax</t>
  </si>
  <si>
    <t>market for vinyl siding</t>
  </si>
  <si>
    <t>43bf971531744afdacdae6972df877b4</t>
  </si>
  <si>
    <t>vinyl siding</t>
  </si>
  <si>
    <t>vinyl siding production</t>
  </si>
  <si>
    <t>d801f6aa4e224b4dadb14c89517aa423</t>
  </si>
  <si>
    <t>mixed mortar</t>
  </si>
  <si>
    <t>market for packing, cement</t>
  </si>
  <si>
    <t>dec367d87e8e4ca8a6d0230bfaeed653</t>
  </si>
  <si>
    <t>dec367d87e8e4ca8a6d0230bfaeed653_copy1</t>
  </si>
  <si>
    <t>2b430a551ef6a070a85155fe3df5cae4_copy1</t>
  </si>
  <si>
    <t>2b430a551ef6a070a85155fe3df5cae4_copy2</t>
  </si>
  <si>
    <t>market for methylene diphenyl diisocyanate</t>
  </si>
  <si>
    <t>methylene diphenyl diisocyanate</t>
  </si>
  <si>
    <t>pig iron production</t>
  </si>
  <si>
    <t>b8e3a41000ae075b831d132dc0417b5f_copy1</t>
  </si>
  <si>
    <t>5b649321402bb9c08721bd19a5eeb902_copy1</t>
  </si>
  <si>
    <t>bce36ac54ea5f0a86900434a4f4ff41f_copy1</t>
  </si>
  <si>
    <t>bce36ac54ea5f0a86900434a4f4ff41f_copy2</t>
  </si>
  <si>
    <t>cdb03479aa31452a9435b978d85444bf</t>
  </si>
  <si>
    <t>cdb03479aa31452a9435b978d85444bf_copy1</t>
  </si>
  <si>
    <t>cdb03479aa31452a9435b978d85444bf_copy2</t>
  </si>
  <si>
    <t>69ddb9d200df4e67855147cb14a2c80a</t>
  </si>
  <si>
    <t>market for pentane</t>
  </si>
  <si>
    <t>pentane</t>
  </si>
  <si>
    <t>market for trisodium phosphate</t>
  </si>
  <si>
    <t>trisodium phosphate</t>
  </si>
  <si>
    <t>treatment of waste polyurethane foam, collection for final disposal</t>
  </si>
  <si>
    <t>waste polyurethane foam</t>
  </si>
  <si>
    <t>69ddb9d200df4e67855147cb14a2c80a_copy1</t>
  </si>
  <si>
    <t>ec60b4e8b9670c19fe9bf1e996ed86ae_copy1</t>
  </si>
  <si>
    <t>2471be156c042ce70987e6e4e765e2b1_copy1</t>
  </si>
  <si>
    <t>vinyl chloride production</t>
  </si>
  <si>
    <t>vinyl chloride</t>
  </si>
  <si>
    <t>sawing, hardwood</t>
  </si>
  <si>
    <t>16a7be95b67dbfbda2672297f831d9cd_copy1</t>
  </si>
  <si>
    <t>slab and siding, hardwood, wet, measured as dry mass</t>
  </si>
  <si>
    <t>3e7275068c1b335195d536e697e3d143_copy1</t>
  </si>
  <si>
    <t>slab and siding, softwood, wet, measured as dry mass</t>
  </si>
  <si>
    <t>3e7275068c1b335195d536e697e3d143_copy2</t>
  </si>
  <si>
    <t>3e7275068c1b335195d536e697e3d143_copy3</t>
  </si>
  <si>
    <t>3e7275068c1b335195d536e697e3d143_copy4</t>
  </si>
  <si>
    <t>f686b7fd0ec56c54308c89de8b5e4b5b_copy1</t>
  </si>
  <si>
    <t>sealing tape production, paper, 50 mm wide</t>
  </si>
  <si>
    <t>1ee39d23043fa1129d1184f1280c2991_copy1</t>
  </si>
  <si>
    <t>sealing tape, paper, 50 mm wide</t>
  </si>
  <si>
    <t>4ed9a651ba754da1db816a65f8091a10_copy1</t>
  </si>
  <si>
    <t>softwood block conditioning</t>
  </si>
  <si>
    <t>096de4a1cf664dc785644b7004b539c8</t>
  </si>
  <si>
    <t>softwood block conditioned</t>
  </si>
  <si>
    <t>softwood debarking and bucking</t>
  </si>
  <si>
    <t>096de4a1cf664dc785644b7004b539c8_copy1</t>
  </si>
  <si>
    <t>3821951b489d4dbba6a1db45a3c7f999</t>
  </si>
  <si>
    <t>3821951b489d4dbba6a1db45a3c7f999_copy1</t>
  </si>
  <si>
    <t>e78bcd1eac756d1a15276d9e58b5295c_copy1</t>
  </si>
  <si>
    <t>e78bcd1eac756d1a15276d9e58b5295c_copy2</t>
  </si>
  <si>
    <t>e78bcd1eac756d1a15276d9e58b5295c_copy3</t>
  </si>
  <si>
    <t>89cb4e1a47b707fe43b99135b81fcaba_copy2</t>
  </si>
  <si>
    <t>89cb4e1a47b707fe43b99135b81fcaba_copy3</t>
  </si>
  <si>
    <t>steel production, electric, chromium steel 18/8</t>
  </si>
  <si>
    <t>b3d1380a6e998c9dc933637ea681a408_copy1</t>
  </si>
  <si>
    <t>af6bd1221fc0206541fbaf481397bf0d_copy1</t>
  </si>
  <si>
    <t>af6bd1221fc0206541fbaf481397bf0d_copy3</t>
  </si>
  <si>
    <t>af6bd1221fc0206541fbaf481397bf0d_copy4</t>
  </si>
  <si>
    <t>af6bd1221fc0206541fbaf481397bf0d_copy2</t>
  </si>
  <si>
    <t>677da94693ed4faeab30ef62e352d7e5</t>
  </si>
  <si>
    <t>impact extrusion of steel, cold, 3 strokes</t>
  </si>
  <si>
    <t>4a2723cbf536457390c8e596af152c56</t>
  </si>
  <si>
    <t>6f09f777803e40aa938d017b46f1563a</t>
  </si>
  <si>
    <t>5738be1fb3dfa8e88fe05608b8197b54_copy1</t>
  </si>
  <si>
    <t>a529841175b28282dbc15219da987e36_copy1</t>
  </si>
  <si>
    <t>ae7b0ce46d7c8e1d2d2c6acd9f35f643_copy1</t>
  </si>
  <si>
    <t>4df22fc5eb824b18b5b8cd876fbcd34a</t>
  </si>
  <si>
    <t>4df22fc5eb824b18b5b8cd876fbcd34a_copy1</t>
  </si>
  <si>
    <t>b1a122db967944438ca62b21d9be0db9</t>
  </si>
  <si>
    <t>b1a122db967944438ca62b21d9be0db9_copy1</t>
  </si>
  <si>
    <t>ecb936a8536628df54fbde2b8468b7ad_copy1</t>
  </si>
  <si>
    <t>vinyl cladding (installed)</t>
  </si>
  <si>
    <t>c66ec307dab940099f73f932c880b473</t>
  </si>
  <si>
    <t>e90a8385b0964541b1ba64883d6d0be7</t>
  </si>
  <si>
    <t>chemical factory construction, organics</t>
  </si>
  <si>
    <t>e90a8385b0964541b1ba64883d6d0be7_copy1</t>
  </si>
  <si>
    <t>e90a8385b0964541b1ba64883d6d0be7_copy2</t>
  </si>
  <si>
    <t>wallpaper production</t>
  </si>
  <si>
    <t>1bceb4275d4747e1b0d41edaf4a13e5a</t>
  </si>
  <si>
    <t>market for printed paper, offset</t>
  </si>
  <si>
    <t>printed paper, offset</t>
  </si>
  <si>
    <t>welding, arc, steel</t>
  </si>
  <si>
    <t>871ff71bb81a4847a29c84dcbcf84986</t>
  </si>
  <si>
    <t>welding, arc</t>
  </si>
  <si>
    <t>electronics production, for control units</t>
  </si>
  <si>
    <t>007f8982830a162cd64811b49818db3e_copy1</t>
  </si>
  <si>
    <t>007f8982830a162cd64811b49818db3e_copy2</t>
  </si>
  <si>
    <t>007f8982830a162cd64811b49818db3e_copy3</t>
  </si>
  <si>
    <t>007f8982830a162cd64811b49818db3e_copy4</t>
  </si>
  <si>
    <t>Modified datasets</t>
  </si>
  <si>
    <t>format</t>
  </si>
  <si>
    <t>Brightway2 copy</t>
  </si>
  <si>
    <t>worksheet name</t>
  </si>
  <si>
    <t>ecoinvent_3.12_cutoff</t>
  </si>
  <si>
    <t>market for polyvinyl chloride, suspension polymerised</t>
  </si>
  <si>
    <t>polyvinyl chloride, suspension polymerised</t>
  </si>
  <si>
    <t>polyethylene, high density, granulate, recycled to generic market for polyethylene, high density, granulate</t>
  </si>
  <si>
    <t>transport, freight, lorry, &gt;32 metric ton, diesel, EURO 6</t>
  </si>
  <si>
    <t>market for transport, freight, inland waterways, barge tanker, diesel</t>
  </si>
  <si>
    <t>transport, freight, inland waterways, barge tanker, diesel</t>
  </si>
  <si>
    <t>market for transport, freight, lorry, &gt;32 metric ton, diesel, EURO 6</t>
  </si>
  <si>
    <t>market for transport, freight, train, fleet average</t>
  </si>
  <si>
    <t>transport, freight, train, fleet average</t>
  </si>
  <si>
    <t>transport, freight, sea, bulk carrier for dry goods, heavy fuel oil</t>
  </si>
  <si>
    <t>industrial gases production, cryogenic air separation</t>
  </si>
  <si>
    <t>market for sawlog and veneer log, softwood, with bark, green, measured as green volume under bark</t>
  </si>
  <si>
    <t>sawlog and veneer log, softwood, with bark, green, measured as green volume under bark</t>
  </si>
  <si>
    <t>transport, freight, train, diesel</t>
  </si>
  <si>
    <t>market for galvanized steel deck</t>
  </si>
  <si>
    <t>steel deck</t>
  </si>
  <si>
    <t>Toronto to Saint-Georges</t>
  </si>
  <si>
    <t>market for chemical, organic, basic precursors and materials</t>
  </si>
  <si>
    <t>chemical, organic, basic precursors and materials</t>
  </si>
  <si>
    <t>transport, freight, sea, container ship, heavy fuel oil</t>
  </si>
  <si>
    <t>cement production, general use (GU), average</t>
  </si>
  <si>
    <t>hydrated lime production, loose</t>
  </si>
  <si>
    <t>hydrated lime, loose</t>
  </si>
  <si>
    <t>market for polyether polyols, short chain</t>
  </si>
  <si>
    <t>polyether polyols, short chain</t>
  </si>
  <si>
    <t>softwood peeler block</t>
  </si>
  <si>
    <t>Redacted for end user license agreement purposes</t>
  </si>
  <si>
    <t>968483b8728a76201d92dfa2af74abf5_copy1</t>
  </si>
  <si>
    <t>cement, general use (GU)</t>
  </si>
  <si>
    <t>clinker production, average</t>
  </si>
  <si>
    <t>41aa3b7da3fab699bd59ff1803801a82_copy1</t>
  </si>
  <si>
    <t>market for clinker</t>
  </si>
  <si>
    <t>9f4afe5e0655b7e1bfaa512c5188b8ba_copy1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</si>
</sst>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09]#,##0.0000;\-#,##0.0000"/>
    <numFmt numFmtId="165" formatCode="[$-10409]#,##0.00;\-#,##0.00"/>
    <numFmt numFmtId="166" formatCode="[$-10409]#,##0.0;\-#,##0.0"/>
    <numFmt numFmtId="167" formatCode="0.000"/>
    <numFmt numFmtId="168" formatCode="0.0"/>
    <numFmt numFmtId="169" formatCode="[$-10409]#,##0.000;\-#,##0.000"/>
    <numFmt numFmtId="170" formatCode="[$-10409]#,##0;\-#,##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i/>
      <u/>
      <sz val="11"/>
      <color theme="0" tint="-0.499984740745262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7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wrapText="1" readingOrder="1"/>
    </xf>
    <xf numFmtId="0" fontId="2" fillId="3" borderId="2" xfId="0" applyFont="1" applyFill="1" applyBorder="1" applyAlignment="1">
      <alignment horizontal="center" wrapText="1" readingOrder="1"/>
    </xf>
    <xf numFmtId="0" fontId="2" fillId="4" borderId="1" xfId="0" applyFont="1" applyFill="1" applyBorder="1" applyAlignment="1">
      <alignment vertical="center" wrapText="1" readingOrder="1"/>
    </xf>
    <xf numFmtId="164" fontId="2" fillId="0" borderId="1" xfId="0" applyNumberFormat="1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4" fillId="6" borderId="0" xfId="0" applyFont="1" applyFill="1"/>
    <xf numFmtId="0" fontId="0" fillId="6" borderId="0" xfId="0" applyFill="1" applyAlignment="1">
      <alignment vertical="top" wrapText="1"/>
    </xf>
    <xf numFmtId="0" fontId="5" fillId="7" borderId="1" xfId="0" applyFont="1" applyFill="1" applyBorder="1" applyAlignment="1">
      <alignment vertical="center" wrapText="1" readingOrder="1"/>
    </xf>
    <xf numFmtId="0" fontId="2" fillId="7" borderId="1" xfId="0" applyFont="1" applyFill="1" applyBorder="1" applyAlignment="1">
      <alignment vertical="center" wrapText="1" readingOrder="1"/>
    </xf>
    <xf numFmtId="164" fontId="2" fillId="6" borderId="1" xfId="0" applyNumberFormat="1" applyFont="1" applyFill="1" applyBorder="1" applyAlignment="1">
      <alignment horizontal="right" vertical="center" wrapText="1" readingOrder="1"/>
    </xf>
    <xf numFmtId="164" fontId="5" fillId="6" borderId="1" xfId="0" applyNumberFormat="1" applyFont="1" applyFill="1" applyBorder="1" applyAlignment="1">
      <alignment horizontal="right" vertical="center" wrapText="1" readingOrder="1"/>
    </xf>
    <xf numFmtId="0" fontId="2" fillId="6" borderId="1" xfId="0" applyFont="1" applyFill="1" applyBorder="1" applyAlignment="1">
      <alignment vertical="center" wrapText="1" readingOrder="1"/>
    </xf>
    <xf numFmtId="16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0" fillId="8" borderId="0" xfId="0" applyFill="1"/>
    <xf numFmtId="167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9" fontId="7" fillId="0" borderId="0" xfId="0" applyNumberFormat="1" applyFont="1" applyAlignment="1">
      <alignment horizontal="center"/>
    </xf>
    <xf numFmtId="0" fontId="5" fillId="9" borderId="1" xfId="0" applyFont="1" applyFill="1" applyBorder="1" applyAlignment="1">
      <alignment vertical="center" wrapText="1" readingOrder="1"/>
    </xf>
    <xf numFmtId="164" fontId="5" fillId="10" borderId="1" xfId="0" applyNumberFormat="1" applyFont="1" applyFill="1" applyBorder="1" applyAlignment="1">
      <alignment horizontal="right" vertical="center" wrapText="1" readingOrder="1"/>
    </xf>
    <xf numFmtId="0" fontId="5" fillId="10" borderId="1" xfId="0" applyFont="1" applyFill="1" applyBorder="1" applyAlignment="1">
      <alignment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textRotation="90"/>
    </xf>
    <xf numFmtId="0" fontId="0" fillId="6" borderId="0" xfId="0" applyFill="1" applyAlignment="1">
      <alignment horizontal="center" vertical="center" wrapText="1"/>
    </xf>
    <xf numFmtId="0" fontId="1" fillId="8" borderId="0" xfId="0" applyFont="1" applyFill="1"/>
    <xf numFmtId="164" fontId="2" fillId="8" borderId="1" xfId="0" applyNumberFormat="1" applyFont="1" applyFill="1" applyBorder="1" applyAlignment="1">
      <alignment horizontal="right" vertical="center" wrapText="1" readingOrder="1"/>
    </xf>
    <xf numFmtId="0" fontId="2" fillId="12" borderId="1" xfId="0" applyFont="1" applyFill="1" applyBorder="1" applyAlignment="1">
      <alignment wrapText="1" readingOrder="1"/>
    </xf>
    <xf numFmtId="0" fontId="3" fillId="13" borderId="2" xfId="0" applyFont="1" applyFill="1" applyBorder="1" applyAlignment="1">
      <alignment vertical="top" wrapText="1"/>
    </xf>
    <xf numFmtId="0" fontId="3" fillId="13" borderId="6" xfId="0" applyFont="1" applyFill="1" applyBorder="1" applyAlignment="1">
      <alignment vertical="top" wrapText="1"/>
    </xf>
    <xf numFmtId="164" fontId="2" fillId="8" borderId="7" xfId="0" applyNumberFormat="1" applyFont="1" applyFill="1" applyBorder="1" applyAlignment="1">
      <alignment horizontal="right" vertical="center" wrapText="1" readingOrder="1"/>
    </xf>
    <xf numFmtId="0" fontId="2" fillId="12" borderId="8" xfId="0" applyFont="1" applyFill="1" applyBorder="1" applyAlignment="1">
      <alignment wrapText="1" readingOrder="1"/>
    </xf>
    <xf numFmtId="0" fontId="2" fillId="8" borderId="8" xfId="0" applyFont="1" applyFill="1" applyBorder="1" applyAlignment="1">
      <alignment vertical="center" wrapText="1" readingOrder="1"/>
    </xf>
    <xf numFmtId="0" fontId="2" fillId="11" borderId="2" xfId="0" applyFont="1" applyFill="1" applyBorder="1" applyAlignment="1">
      <alignment vertical="center" wrapText="1" readingOrder="1"/>
    </xf>
    <xf numFmtId="1" fontId="0" fillId="8" borderId="0" xfId="0" applyNumberFormat="1" applyFill="1"/>
    <xf numFmtId="0" fontId="0" fillId="8" borderId="0" xfId="0" quotePrefix="1" applyFill="1"/>
    <xf numFmtId="0" fontId="2" fillId="11" borderId="0" xfId="0" applyFont="1" applyFill="1" applyAlignment="1">
      <alignment horizontal="center" vertical="center" wrapText="1" readingOrder="1"/>
    </xf>
    <xf numFmtId="0" fontId="2" fillId="11" borderId="0" xfId="0" applyFont="1" applyFill="1" applyAlignment="1">
      <alignment vertical="center" wrapText="1" readingOrder="1"/>
    </xf>
    <xf numFmtId="164" fontId="2" fillId="8" borderId="0" xfId="0" applyNumberFormat="1" applyFont="1" applyFill="1" applyAlignment="1">
      <alignment horizontal="right" vertical="center" wrapText="1" readingOrder="1"/>
    </xf>
    <xf numFmtId="0" fontId="2" fillId="8" borderId="0" xfId="0" applyFont="1" applyFill="1" applyAlignment="1">
      <alignment vertical="center" wrapText="1" readingOrder="1"/>
    </xf>
    <xf numFmtId="164" fontId="2" fillId="14" borderId="1" xfId="0" applyNumberFormat="1" applyFont="1" applyFill="1" applyBorder="1" applyAlignment="1">
      <alignment horizontal="right" vertical="center" wrapText="1" readingOrder="1"/>
    </xf>
    <xf numFmtId="0" fontId="10" fillId="11" borderId="0" xfId="0" applyFont="1" applyFill="1" applyAlignment="1">
      <alignment horizontal="left" vertical="center" readingOrder="1"/>
    </xf>
    <xf numFmtId="0" fontId="10" fillId="11" borderId="0" xfId="0" applyFont="1" applyFill="1" applyAlignment="1">
      <alignment horizontal="left" vertical="top" readingOrder="1"/>
    </xf>
    <xf numFmtId="0" fontId="3" fillId="13" borderId="2" xfId="0" applyFont="1" applyFill="1" applyBorder="1" applyAlignment="1">
      <alignment vertical="top"/>
    </xf>
    <xf numFmtId="0" fontId="2" fillId="12" borderId="1" xfId="0" applyFont="1" applyFill="1" applyBorder="1" applyAlignment="1">
      <alignment readingOrder="1"/>
    </xf>
    <xf numFmtId="0" fontId="3" fillId="13" borderId="6" xfId="0" applyFont="1" applyFill="1" applyBorder="1" applyAlignment="1">
      <alignment vertical="top"/>
    </xf>
    <xf numFmtId="0" fontId="2" fillId="12" borderId="8" xfId="0" applyFont="1" applyFill="1" applyBorder="1" applyAlignment="1">
      <alignment readingOrder="1"/>
    </xf>
    <xf numFmtId="164" fontId="2" fillId="8" borderId="0" xfId="0" applyNumberFormat="1" applyFont="1" applyFill="1" applyAlignment="1">
      <alignment horizontal="left" vertical="center" readingOrder="1"/>
    </xf>
    <xf numFmtId="0" fontId="3" fillId="13" borderId="10" xfId="0" applyFont="1" applyFill="1" applyBorder="1" applyAlignment="1">
      <alignment vertical="top"/>
    </xf>
    <xf numFmtId="0" fontId="2" fillId="12" borderId="11" xfId="0" applyFont="1" applyFill="1" applyBorder="1" applyAlignment="1">
      <alignment readingOrder="1"/>
    </xf>
    <xf numFmtId="0" fontId="3" fillId="13" borderId="12" xfId="0" applyFont="1" applyFill="1" applyBorder="1" applyAlignment="1">
      <alignment vertical="top"/>
    </xf>
    <xf numFmtId="0" fontId="2" fillId="12" borderId="9" xfId="0" applyFont="1" applyFill="1" applyBorder="1" applyAlignment="1">
      <alignment readingOrder="1"/>
    </xf>
    <xf numFmtId="0" fontId="2" fillId="0" borderId="8" xfId="0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 readingOrder="1"/>
    </xf>
    <xf numFmtId="0" fontId="0" fillId="15" borderId="8" xfId="0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 wrapText="1" readingOrder="1"/>
    </xf>
    <xf numFmtId="0" fontId="2" fillId="8" borderId="0" xfId="0" applyFont="1" applyFill="1" applyAlignment="1">
      <alignment horizontal="center" readingOrder="1"/>
    </xf>
    <xf numFmtId="0" fontId="3" fillId="8" borderId="0" xfId="0" applyFont="1" applyFill="1" applyAlignment="1">
      <alignment vertical="top"/>
    </xf>
    <xf numFmtId="0" fontId="2" fillId="8" borderId="0" xfId="0" applyFont="1" applyFill="1" applyAlignment="1">
      <alignment readingOrder="1"/>
    </xf>
    <xf numFmtId="0" fontId="2" fillId="16" borderId="8" xfId="0" applyFont="1" applyFill="1" applyBorder="1" applyAlignment="1">
      <alignment horizontal="center" readingOrder="1"/>
    </xf>
    <xf numFmtId="0" fontId="3" fillId="16" borderId="8" xfId="0" applyFont="1" applyFill="1" applyBorder="1" applyAlignment="1">
      <alignment vertical="top"/>
    </xf>
    <xf numFmtId="0" fontId="2" fillId="16" borderId="8" xfId="0" applyFont="1" applyFill="1" applyBorder="1" applyAlignment="1">
      <alignment readingOrder="1"/>
    </xf>
    <xf numFmtId="165" fontId="7" fillId="0" borderId="0" xfId="0" applyNumberFormat="1" applyFont="1" applyAlignment="1">
      <alignment horizontal="center" vertical="center"/>
    </xf>
    <xf numFmtId="0" fontId="11" fillId="0" borderId="0" xfId="1"/>
    <xf numFmtId="0" fontId="3" fillId="16" borderId="8" xfId="0" applyFont="1" applyFill="1" applyBorder="1" applyAlignment="1">
      <alignment horizontal="center" vertical="top"/>
    </xf>
    <xf numFmtId="0" fontId="7" fillId="8" borderId="0" xfId="0" applyFont="1" applyFill="1"/>
    <xf numFmtId="0" fontId="9" fillId="0" borderId="0" xfId="0" applyFont="1" applyAlignment="1">
      <alignment horizontal="left"/>
    </xf>
    <xf numFmtId="168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0" fontId="11" fillId="8" borderId="0" xfId="1" applyFill="1"/>
    <xf numFmtId="0" fontId="2" fillId="17" borderId="2" xfId="0" applyFont="1" applyFill="1" applyBorder="1" applyAlignment="1">
      <alignment vertical="center" wrapText="1" readingOrder="1"/>
    </xf>
    <xf numFmtId="0" fontId="2" fillId="14" borderId="1" xfId="0" applyFont="1" applyFill="1" applyBorder="1" applyAlignment="1">
      <alignment vertical="center" wrapText="1" readingOrder="1"/>
    </xf>
    <xf numFmtId="1" fontId="7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11" fillId="0" borderId="0" xfId="1" applyAlignment="1">
      <alignment vertical="center"/>
    </xf>
    <xf numFmtId="168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9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0" fillId="6" borderId="0" xfId="0" applyFill="1" applyAlignment="1">
      <alignment horizontal="left"/>
    </xf>
    <xf numFmtId="168" fontId="7" fillId="18" borderId="0" xfId="0" applyNumberFormat="1" applyFont="1" applyFill="1" applyAlignment="1">
      <alignment horizontal="center" vertical="center"/>
    </xf>
    <xf numFmtId="166" fontId="7" fillId="18" borderId="0" xfId="0" applyNumberFormat="1" applyFont="1" applyFill="1" applyAlignment="1">
      <alignment horizontal="center" vertical="center"/>
    </xf>
    <xf numFmtId="165" fontId="7" fillId="18" borderId="0" xfId="0" applyNumberFormat="1" applyFont="1" applyFill="1" applyAlignment="1">
      <alignment horizontal="center"/>
    </xf>
    <xf numFmtId="2" fontId="7" fillId="18" borderId="0" xfId="0" applyNumberFormat="1" applyFont="1" applyFill="1" applyAlignment="1">
      <alignment horizontal="center" vertical="center"/>
    </xf>
    <xf numFmtId="166" fontId="7" fillId="18" borderId="0" xfId="0" applyNumberFormat="1" applyFont="1" applyFill="1" applyAlignment="1">
      <alignment horizontal="center"/>
    </xf>
    <xf numFmtId="165" fontId="7" fillId="18" borderId="0" xfId="0" applyNumberFormat="1" applyFont="1" applyFill="1" applyAlignment="1">
      <alignment horizontal="center" vertical="center"/>
    </xf>
    <xf numFmtId="170" fontId="7" fillId="18" borderId="0" xfId="0" applyNumberFormat="1" applyFont="1" applyFill="1" applyAlignment="1">
      <alignment horizontal="center"/>
    </xf>
    <xf numFmtId="169" fontId="7" fillId="18" borderId="0" xfId="0" applyNumberFormat="1" applyFont="1" applyFill="1" applyAlignment="1">
      <alignment horizontal="center"/>
    </xf>
    <xf numFmtId="170" fontId="7" fillId="18" borderId="0" xfId="0" applyNumberFormat="1" applyFont="1" applyFill="1" applyAlignment="1">
      <alignment horizontal="center" vertical="center"/>
    </xf>
    <xf numFmtId="164" fontId="5" fillId="19" borderId="1" xfId="0" applyNumberFormat="1" applyFont="1" applyFill="1" applyBorder="1" applyAlignment="1">
      <alignment horizontal="right" vertical="center" wrapText="1" readingOrder="1"/>
    </xf>
    <xf numFmtId="0" fontId="12" fillId="0" borderId="0" xfId="0" applyFont="1"/>
    <xf numFmtId="0" fontId="0" fillId="0" borderId="0" xfId="0" applyAlignment="1">
      <alignment horizontal="left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5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5" fillId="7" borderId="1" xfId="0" applyFont="1" applyFill="1" applyBorder="1" applyAlignment="1">
      <alignment vertical="center" wrapText="1" readingOrder="1"/>
    </xf>
    <xf numFmtId="0" fontId="6" fillId="6" borderId="2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center" readingOrder="1"/>
    </xf>
    <xf numFmtId="0" fontId="6" fillId="10" borderId="2" xfId="0" applyFont="1" applyFill="1" applyBorder="1" applyAlignment="1">
      <alignment vertical="top"/>
    </xf>
    <xf numFmtId="0" fontId="2" fillId="4" borderId="1" xfId="0" applyFont="1" applyFill="1" applyBorder="1" applyAlignment="1">
      <alignment vertical="center" wrapText="1" readingOrder="1"/>
    </xf>
    <xf numFmtId="0" fontId="3" fillId="0" borderId="2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2" fillId="16" borderId="8" xfId="0" applyFont="1" applyFill="1" applyBorder="1" applyAlignment="1">
      <alignment horizontal="center" readingOrder="1"/>
    </xf>
    <xf numFmtId="0" fontId="2" fillId="12" borderId="9" xfId="0" applyFont="1" applyFill="1" applyBorder="1" applyAlignment="1">
      <alignment horizontal="center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15" borderId="13" xfId="0" applyFont="1" applyFill="1" applyBorder="1" applyAlignment="1">
      <alignment horizontal="center" vertical="center" wrapText="1" readingOrder="1"/>
    </xf>
    <xf numFmtId="0" fontId="2" fillId="15" borderId="14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0" fontId="2" fillId="17" borderId="8" xfId="0" applyFont="1" applyFill="1" applyBorder="1" applyAlignment="1">
      <alignment horizontal="center" vertical="center" wrapText="1" readingOrder="1"/>
    </xf>
    <xf numFmtId="0" fontId="2" fillId="12" borderId="8" xfId="0" applyFont="1" applyFill="1" applyBorder="1" applyAlignment="1">
      <alignment horizontal="center" readingOrder="1"/>
    </xf>
    <xf numFmtId="0" fontId="2" fillId="11" borderId="8" xfId="0" applyFont="1" applyFill="1" applyBorder="1" applyAlignment="1">
      <alignment horizontal="center" vertical="center" wrapText="1" readingOrder="1"/>
    </xf>
    <xf numFmtId="0" fontId="2" fillId="12" borderId="8" xfId="0" applyFont="1" applyFill="1" applyBorder="1" applyAlignment="1">
      <alignment horizont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54278</xdr:colOff>
      <xdr:row>193</xdr:row>
      <xdr:rowOff>151904</xdr:rowOff>
    </xdr:from>
    <xdr:to>
      <xdr:col>22</xdr:col>
      <xdr:colOff>0</xdr:colOff>
      <xdr:row>225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ABAE2C9-5C6C-46E7-A136-A6027E70CEC1}"/>
            </a:ext>
          </a:extLst>
        </xdr:cNvPr>
        <xdr:cNvGrpSpPr/>
      </xdr:nvGrpSpPr>
      <xdr:grpSpPr>
        <a:xfrm>
          <a:off x="12640885" y="37378779"/>
          <a:ext cx="7849204" cy="9554525"/>
          <a:chOff x="8534400" y="4762500"/>
          <a:chExt cx="8388571" cy="10246069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E1675FC-840B-DFDE-C77D-69D2CAD757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534400" y="7595235"/>
            <a:ext cx="8380952" cy="7413334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2294A5EC-08AA-827A-85A3-FCED66164C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534400" y="4762500"/>
            <a:ext cx="8388571" cy="2912381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0</xdr:colOff>
      <xdr:row>299</xdr:row>
      <xdr:rowOff>133350</xdr:rowOff>
    </xdr:from>
    <xdr:to>
      <xdr:col>23</xdr:col>
      <xdr:colOff>2290595</xdr:colOff>
      <xdr:row>310</xdr:row>
      <xdr:rowOff>34842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DADEF2-FD51-D3E7-C83B-727C4FF7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97850" y="72694800"/>
          <a:ext cx="9572625" cy="4530645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247</xdr:row>
      <xdr:rowOff>0</xdr:rowOff>
    </xdr:from>
    <xdr:to>
      <xdr:col>22</xdr:col>
      <xdr:colOff>0</xdr:colOff>
      <xdr:row>289</xdr:row>
      <xdr:rowOff>124321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81F3477-86AA-4BB9-89F7-5F6EB1B9485F}"/>
            </a:ext>
          </a:extLst>
        </xdr:cNvPr>
        <xdr:cNvGrpSpPr/>
      </xdr:nvGrpSpPr>
      <xdr:grpSpPr>
        <a:xfrm>
          <a:off x="12586607" y="51174196"/>
          <a:ext cx="7903482" cy="9785393"/>
          <a:chOff x="8534400" y="4762500"/>
          <a:chExt cx="8388571" cy="10246069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C1E823E-73AD-350B-42E8-22C6932547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534400" y="7595235"/>
            <a:ext cx="8380952" cy="7413334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7737BAA8-1805-7784-37E2-C7DFB93BC5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534400" y="4762500"/>
            <a:ext cx="8388571" cy="2912381"/>
          </a:xfrm>
          <a:prstGeom prst="rect">
            <a:avLst/>
          </a:prstGeom>
        </xdr:spPr>
      </xdr:pic>
    </xdr:grpSp>
    <xdr:clientData/>
  </xdr:twoCellAnchor>
  <xdr:twoCellAnchor editAs="oneCell">
    <xdr:from>
      <xdr:col>17</xdr:col>
      <xdr:colOff>38100</xdr:colOff>
      <xdr:row>293</xdr:row>
      <xdr:rowOff>9525</xdr:rowOff>
    </xdr:from>
    <xdr:to>
      <xdr:col>21</xdr:col>
      <xdr:colOff>5186143</xdr:colOff>
      <xdr:row>313</xdr:row>
      <xdr:rowOff>461861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18F4C55-97D3-9D54-9670-CEED8EC6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11075" y="70408800"/>
          <a:ext cx="7580952" cy="84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293</xdr:row>
      <xdr:rowOff>0</xdr:rowOff>
    </xdr:from>
    <xdr:to>
      <xdr:col>23</xdr:col>
      <xdr:colOff>2549731</xdr:colOff>
      <xdr:row>298</xdr:row>
      <xdr:rowOff>224970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A8B68F1-D897-DD35-AEC1-7B2AC859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55859" y="70399275"/>
          <a:ext cx="9824141" cy="2059483"/>
        </a:xfrm>
        <a:prstGeom prst="rect">
          <a:avLst/>
        </a:prstGeom>
      </xdr:spPr>
    </xdr:pic>
    <xdr:clientData/>
  </xdr:twoCellAnchor>
  <xdr:twoCellAnchor editAs="oneCell">
    <xdr:from>
      <xdr:col>17</xdr:col>
      <xdr:colOff>56030</xdr:colOff>
      <xdr:row>317</xdr:row>
      <xdr:rowOff>313765</xdr:rowOff>
    </xdr:from>
    <xdr:to>
      <xdr:col>22</xdr:col>
      <xdr:colOff>1100200</xdr:colOff>
      <xdr:row>326</xdr:row>
      <xdr:rowOff>231083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3AB317-3CDC-E6EC-7065-4D600A7EE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95412" y="80749589"/>
          <a:ext cx="8914286" cy="2561905"/>
        </a:xfrm>
        <a:prstGeom prst="rect">
          <a:avLst/>
        </a:prstGeom>
      </xdr:spPr>
    </xdr:pic>
    <xdr:clientData/>
  </xdr:twoCellAnchor>
  <xdr:twoCellAnchor editAs="oneCell">
    <xdr:from>
      <xdr:col>17</xdr:col>
      <xdr:colOff>134471</xdr:colOff>
      <xdr:row>328</xdr:row>
      <xdr:rowOff>11206</xdr:rowOff>
    </xdr:from>
    <xdr:to>
      <xdr:col>22</xdr:col>
      <xdr:colOff>913878</xdr:colOff>
      <xdr:row>348</xdr:row>
      <xdr:rowOff>4028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D3E8E8-2419-F3A4-7CA9-E66A5791C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73853" y="83618294"/>
          <a:ext cx="8657143" cy="4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pcan.com/wp-content/uploads/2017/02/sds-asphalt-saturated-felts-2021.pdf%20;" TargetMode="External"/><Relationship Id="rId18" Type="http://schemas.openxmlformats.org/officeDocument/2006/relationships/hyperlink" Target="https://certainteed.widen.net/content/opoyh8dp5n/pdf/117.2-CertainTeed-Gypsum-EPD-TypeC-OneHalfInch-Gypsum-Board-MontrealQC.pdf?u=nwk4fd%20;" TargetMode="External"/><Relationship Id="rId26" Type="http://schemas.openxmlformats.org/officeDocument/2006/relationships/hyperlink" Target="https://www.iko.com/comm/wp-content/uploads/sites/7/2024/02/SDS_1216-Roofing-Asphalt-Easy-Melt-FR.pdf%20;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s://www.iko.com/comm/wp-content/uploads/sites/7/2024/02/SDS_1216-Roofing-Asphalt-Easy-Melt-FR.pdf%20;" TargetMode="External"/><Relationship Id="rId34" Type="http://schemas.openxmlformats.org/officeDocument/2006/relationships/hyperlink" Target="https://www.iko.com/comm/wp-content/uploads/sites/7/2024/02/0640092-PDS-Type-IV-Glass-Ply-Sheet.pdf%20;" TargetMode="External"/><Relationship Id="rId7" Type="http://schemas.openxmlformats.org/officeDocument/2006/relationships/hyperlink" Target="https://bpcan.com/wp-content/uploads/2017/02/sds-asphalt-saturated-felts-2021.pdf%20;" TargetMode="External"/><Relationship Id="rId12" Type="http://schemas.openxmlformats.org/officeDocument/2006/relationships/hyperlink" Target="https://www.iko.com/comm/wp-content/uploads/sites/7/2024/02/SDS_1216-Roofing-Asphalt-Easy-Melt-FR.pdf%20;" TargetMode="External"/><Relationship Id="rId17" Type="http://schemas.openxmlformats.org/officeDocument/2006/relationships/hyperlink" Target="https://bpcan.com/wp-content/uploads/2017/02/sds-asphalt-saturated-felts-2021.pdf%20;" TargetMode="External"/><Relationship Id="rId25" Type="http://schemas.openxmlformats.org/officeDocument/2006/relationships/hyperlink" Target="https://www.iko.com/comm/wp-content/uploads/sites/7/2024/02/SDS_1216-Roofing-Asphalt-Easy-Melt-FR.pdf%20;" TargetMode="External"/><Relationship Id="rId33" Type="http://schemas.openxmlformats.org/officeDocument/2006/relationships/hyperlink" Target="https://www.iko.com/comm/wp-content/uploads/sites/7/2024/02/0640092-PDS-Type-IV-Glass-Ply-Sheet.pdf%20;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www.canadamasonrydesigncentre.com/wp-content/uploads/15th_symposium/051-Jandris.pdf" TargetMode="External"/><Relationship Id="rId16" Type="http://schemas.openxmlformats.org/officeDocument/2006/relationships/hyperlink" Target="https://www.iko.com/comm/wp-content/uploads/sites/7/2024/02/SDS_1216-Roofing-Asphalt-Easy-Melt-FR.pdf%20;" TargetMode="External"/><Relationship Id="rId20" Type="http://schemas.openxmlformats.org/officeDocument/2006/relationships/hyperlink" Target="https://bpcan.com/wp-content/uploads/2017/02/sds-asphalt-saturated-felts-2021.pdf%20;" TargetMode="External"/><Relationship Id="rId29" Type="http://schemas.openxmlformats.org/officeDocument/2006/relationships/hyperlink" Target="https://certainteed.widen.net/content/opoyh8dp5n/pdf/117.2-CertainTeed-Gypsum-EPD-TypeC-OneHalfInch-Gypsum-Board-MontrealQC.pdf?u=nwk4fd%20;" TargetMode="External"/><Relationship Id="rId1" Type="http://schemas.openxmlformats.org/officeDocument/2006/relationships/hyperlink" Target="https://www.gobrick.com/media/file/10-dimensioning-and-estimating-brick-masonry.pdf%20;" TargetMode="External"/><Relationship Id="rId6" Type="http://schemas.openxmlformats.org/officeDocument/2006/relationships/hyperlink" Target="https://www.iko.com/comm/wp-content/uploads/sites/7/2024/02/SDS_1216-Roofing-Asphalt-Easy-Melt-FR.pdf%20;" TargetMode="External"/><Relationship Id="rId11" Type="http://schemas.openxmlformats.org/officeDocument/2006/relationships/hyperlink" Target="https://certainteed.widen.net/content/opoyh8dp5n/pdf/117.2-CertainTeed-Gypsum-EPD-TypeC-OneHalfInch-Gypsum-Board-MontrealQC.pdf?u=nwk4fd%20;" TargetMode="External"/><Relationship Id="rId24" Type="http://schemas.openxmlformats.org/officeDocument/2006/relationships/hyperlink" Target="https://www.iko.com/comm/wp-content/uploads/sites/7/2024/02/SDS_1216-Roofing-Asphalt-Easy-Melt-FR.pdf%20;" TargetMode="External"/><Relationship Id="rId32" Type="http://schemas.openxmlformats.org/officeDocument/2006/relationships/hyperlink" Target="https://certainteed.widen.net/content/opoyh8dp5n/pdf/117.2-CertainTeed-Gypsum-EPD-TypeC-OneHalfInch-Gypsum-Board-MontrealQC.pdf?u=nwk4fd%20;" TargetMode="External"/><Relationship Id="rId37" Type="http://schemas.openxmlformats.org/officeDocument/2006/relationships/printerSettings" Target="../printerSettings/printerSettings1.bin"/><Relationship Id="rId40" Type="http://schemas.openxmlformats.org/officeDocument/2006/relationships/comments" Target="../comments1.xml"/><Relationship Id="rId5" Type="http://schemas.openxmlformats.org/officeDocument/2006/relationships/hyperlink" Target="https://www.iko.com/comm/wp-content/uploads/sites/7/2024/02/SDS_1216-Roofing-Asphalt-Easy-Melt-FR.pdf%20;" TargetMode="External"/><Relationship Id="rId15" Type="http://schemas.openxmlformats.org/officeDocument/2006/relationships/hyperlink" Target="https://www.iko.com/comm/wp-content/uploads/sites/7/2024/02/SDS_1216-Roofing-Asphalt-Easy-Melt-FR.pdf%20;" TargetMode="External"/><Relationship Id="rId23" Type="http://schemas.openxmlformats.org/officeDocument/2006/relationships/hyperlink" Target="https://www.iko.com/comm/wp-content/uploads/sites/7/2024/02/SDS_1216-Roofing-Asphalt-Easy-Melt-FR.pdf%20;" TargetMode="External"/><Relationship Id="rId28" Type="http://schemas.openxmlformats.org/officeDocument/2006/relationships/hyperlink" Target="https://www.iko.com/comm/wp-content/uploads/sites/7/2024/02/SDS_1216-Roofing-Asphalt-Easy-Melt-FR.pdf%20;" TargetMode="External"/><Relationship Id="rId36" Type="http://schemas.openxmlformats.org/officeDocument/2006/relationships/hyperlink" Target="https://www.iko.com/comm/wp-content/uploads/sites/7/2024/02/0640092-PDS-Type-IV-Glass-Ply-Sheet.pdf%20;" TargetMode="External"/><Relationship Id="rId10" Type="http://schemas.openxmlformats.org/officeDocument/2006/relationships/hyperlink" Target="https://bpcan.com/wp-content/uploads/2017/02/sds-asphalt-saturated-felts-2021.pdf%20;" TargetMode="External"/><Relationship Id="rId19" Type="http://schemas.openxmlformats.org/officeDocument/2006/relationships/hyperlink" Target="https://www.iko.com/comm/wp-content/uploads/sites/7/2024/02/SDS_1216-Roofing-Asphalt-Easy-Melt-FR.pdf%20;" TargetMode="External"/><Relationship Id="rId31" Type="http://schemas.openxmlformats.org/officeDocument/2006/relationships/hyperlink" Target="https://certainteed.widen.net/content/opoyh8dp5n/pdf/117.2-CertainTeed-Gypsum-EPD-TypeC-OneHalfInch-Gypsum-Board-MontrealQC.pdf?u=nwk4fd%20;" TargetMode="External"/><Relationship Id="rId4" Type="http://schemas.openxmlformats.org/officeDocument/2006/relationships/hyperlink" Target="https://www.iko.com/comm/wp-content/uploads/sites/7/2024/02/SDS_1216-Roofing-Asphalt-Easy-Melt-FR.pdf%20;" TargetMode="External"/><Relationship Id="rId9" Type="http://schemas.openxmlformats.org/officeDocument/2006/relationships/hyperlink" Target="https://www.iko.com/comm/wp-content/uploads/sites/7/2024/02/SDS_1216-Roofing-Asphalt-Easy-Melt-FR.pdf%20;" TargetMode="External"/><Relationship Id="rId14" Type="http://schemas.openxmlformats.org/officeDocument/2006/relationships/hyperlink" Target="https://bpcan.com/wp-content/uploads/2017/02/sds-asphalt-saturated-felts-2021.pdf%20;" TargetMode="External"/><Relationship Id="rId22" Type="http://schemas.openxmlformats.org/officeDocument/2006/relationships/hyperlink" Target="https://www.iko.com/comm/wp-content/uploads/sites/7/2024/02/SDS_1216-Roofing-Asphalt-Easy-Melt-FR.pdf%20;" TargetMode="External"/><Relationship Id="rId27" Type="http://schemas.openxmlformats.org/officeDocument/2006/relationships/hyperlink" Target="https://www.iko.com/comm/wp-content/uploads/sites/7/2024/02/SDS_1216-Roofing-Asphalt-Easy-Melt-FR.pdf%20;" TargetMode="External"/><Relationship Id="rId30" Type="http://schemas.openxmlformats.org/officeDocument/2006/relationships/hyperlink" Target="https://certainteed.widen.net/content/opoyh8dp5n/pdf/117.2-CertainTeed-Gypsum-EPD-TypeC-OneHalfInch-Gypsum-Board-MontrealQC.pdf?u=nwk4fd%20;" TargetMode="External"/><Relationship Id="rId35" Type="http://schemas.openxmlformats.org/officeDocument/2006/relationships/hyperlink" Target="https://www.iko.com/comm/wp-content/uploads/sites/7/2024/02/0640092-PDS-Type-IV-Glass-Ply-Sheet.pdf%20;" TargetMode="External"/><Relationship Id="rId8" Type="http://schemas.openxmlformats.org/officeDocument/2006/relationships/hyperlink" Target="https://bpcan.com/wp-content/uploads/2017/02/sds-asphalt-saturated-felts-2021.pdf%20;" TargetMode="External"/><Relationship Id="rId3" Type="http://schemas.openxmlformats.org/officeDocument/2006/relationships/hyperlink" Target="https://bpcan.com/wp-content/uploads/2017/02/sds-asphalt-saturated-felts-2021.pdf%2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6108-59CF-4C33-A39E-FB2FD4495E20}">
  <dimension ref="C1:AR359"/>
  <sheetViews>
    <sheetView topLeftCell="A50" zoomScale="84" zoomScaleNormal="84" workbookViewId="0">
      <selection activeCell="V74" sqref="V74"/>
    </sheetView>
  </sheetViews>
  <sheetFormatPr defaultRowHeight="15" x14ac:dyDescent="0.25"/>
  <cols>
    <col min="3" max="3" width="7.140625" customWidth="1"/>
    <col min="4" max="4" width="14.7109375" customWidth="1"/>
    <col min="7" max="7" width="25.28515625" customWidth="1"/>
    <col min="8" max="8" width="10.28515625" customWidth="1"/>
    <col min="12" max="12" width="10.28515625" bestFit="1" customWidth="1"/>
    <col min="13" max="13" width="12.42578125" customWidth="1"/>
    <col min="14" max="14" width="10.42578125" bestFit="1" customWidth="1"/>
    <col min="15" max="15" width="10.140625" customWidth="1"/>
    <col min="16" max="16" width="13.5703125" bestFit="1" customWidth="1"/>
    <col min="17" max="17" width="10.28515625" bestFit="1" customWidth="1"/>
    <col min="22" max="22" width="81.85546875" bestFit="1" customWidth="1"/>
    <col min="23" max="23" width="109.28515625" customWidth="1"/>
    <col min="24" max="24" width="83.7109375" customWidth="1"/>
  </cols>
  <sheetData>
    <row r="1" spans="4:24" ht="15.75" thickBot="1" x14ac:dyDescent="0.3"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4:24" ht="15.75" thickBot="1" x14ac:dyDescent="0.3">
      <c r="D2" s="10" t="s">
        <v>82</v>
      </c>
      <c r="E2" s="121" t="s">
        <v>52</v>
      </c>
      <c r="F2" s="121"/>
      <c r="G2" s="10" t="s">
        <v>53</v>
      </c>
      <c r="H2" s="121" t="s">
        <v>50</v>
      </c>
      <c r="I2" s="121"/>
      <c r="J2" s="121"/>
      <c r="K2" s="121"/>
      <c r="L2" s="121"/>
      <c r="M2" s="10" t="s">
        <v>54</v>
      </c>
      <c r="N2" s="10" t="s">
        <v>1</v>
      </c>
      <c r="O2" s="10" t="s">
        <v>55</v>
      </c>
      <c r="P2" s="10" t="s">
        <v>56</v>
      </c>
      <c r="Q2" s="10" t="s">
        <v>78</v>
      </c>
      <c r="R2" s="114" t="s">
        <v>53</v>
      </c>
      <c r="S2" s="114"/>
      <c r="T2" s="114"/>
      <c r="U2" s="114"/>
      <c r="V2" s="11" t="s">
        <v>89</v>
      </c>
      <c r="W2" s="11" t="s">
        <v>73</v>
      </c>
      <c r="X2" s="11" t="s">
        <v>153</v>
      </c>
    </row>
    <row r="3" spans="4:24" ht="15" customHeight="1" x14ac:dyDescent="0.25">
      <c r="D3" s="36" t="s">
        <v>83</v>
      </c>
      <c r="E3" s="14" t="s">
        <v>46</v>
      </c>
      <c r="F3" s="12"/>
      <c r="G3" s="12"/>
      <c r="H3" s="115"/>
      <c r="I3" s="115"/>
      <c r="J3" s="115"/>
      <c r="K3" s="115"/>
      <c r="L3" s="115"/>
      <c r="M3" s="12"/>
      <c r="N3" s="12"/>
      <c r="O3" s="12"/>
      <c r="P3" s="12"/>
      <c r="Q3" s="12"/>
      <c r="R3" s="116"/>
      <c r="S3" s="116"/>
      <c r="T3" s="116"/>
      <c r="U3" s="116"/>
      <c r="V3" s="13"/>
      <c r="W3" s="13"/>
      <c r="X3" s="13"/>
    </row>
    <row r="4" spans="4:24" ht="15" customHeight="1" x14ac:dyDescent="0.25">
      <c r="D4" s="134" t="s">
        <v>84</v>
      </c>
      <c r="E4" s="123" t="s">
        <v>72</v>
      </c>
      <c r="F4" s="123"/>
      <c r="G4" s="123" t="s">
        <v>90</v>
      </c>
      <c r="H4" s="122" t="s">
        <v>32</v>
      </c>
      <c r="I4" s="122"/>
      <c r="J4" s="122"/>
      <c r="K4" s="122"/>
      <c r="L4" s="122"/>
      <c r="M4" s="26">
        <f>K212*0.075*1000</f>
        <v>3.3648653849999994</v>
      </c>
      <c r="N4" s="27" t="s">
        <v>27</v>
      </c>
      <c r="O4" s="26" t="s">
        <v>27</v>
      </c>
      <c r="P4" s="99">
        <f>M4</f>
        <v>3.3648653849999994</v>
      </c>
      <c r="Q4" s="85">
        <f>P4/1000</f>
        <v>3.3648653849999996E-3</v>
      </c>
      <c r="R4" s="117" t="s">
        <v>74</v>
      </c>
      <c r="S4" s="117"/>
      <c r="T4" s="117"/>
      <c r="U4" s="117"/>
      <c r="V4" s="83" t="s">
        <v>187</v>
      </c>
      <c r="W4" s="32"/>
      <c r="X4" s="91" t="s">
        <v>179</v>
      </c>
    </row>
    <row r="5" spans="4:24" x14ac:dyDescent="0.25">
      <c r="D5" s="134"/>
      <c r="E5" s="123"/>
      <c r="F5" s="123"/>
      <c r="G5" s="123"/>
      <c r="H5" s="122" t="s">
        <v>63</v>
      </c>
      <c r="I5" s="122"/>
      <c r="J5" s="122"/>
      <c r="K5" s="122"/>
      <c r="L5" s="122"/>
      <c r="M5" s="26">
        <f>K206/G206*N206*0.075*1000</f>
        <v>632.99876424750005</v>
      </c>
      <c r="N5" s="27" t="s">
        <v>27</v>
      </c>
      <c r="O5" s="26" t="s">
        <v>27</v>
      </c>
      <c r="P5" s="100">
        <f>M5</f>
        <v>632.99876424750005</v>
      </c>
      <c r="Q5" s="85">
        <f>P5/1000</f>
        <v>0.63299876424750001</v>
      </c>
      <c r="R5" s="118" t="s">
        <v>181</v>
      </c>
      <c r="S5" s="118"/>
      <c r="T5" s="118"/>
      <c r="U5" s="118"/>
      <c r="V5" s="83" t="s">
        <v>188</v>
      </c>
      <c r="W5" s="32"/>
      <c r="X5" s="32" t="s">
        <v>180</v>
      </c>
    </row>
    <row r="6" spans="4:24" x14ac:dyDescent="0.25">
      <c r="D6" s="134"/>
      <c r="E6" s="123"/>
      <c r="F6" s="123"/>
      <c r="G6" s="123"/>
      <c r="H6" s="122" t="s">
        <v>69</v>
      </c>
      <c r="I6" s="122"/>
      <c r="J6" s="122"/>
      <c r="K6" s="122"/>
      <c r="L6" s="122"/>
      <c r="M6" s="26">
        <f>N218*0.075*1000</f>
        <v>3.9169478550000001</v>
      </c>
      <c r="N6" s="27" t="s">
        <v>27</v>
      </c>
      <c r="O6" s="26" t="s">
        <v>27</v>
      </c>
      <c r="P6" s="100">
        <f>M6</f>
        <v>3.9169478550000001</v>
      </c>
      <c r="Q6" s="85">
        <f>P6/1000</f>
        <v>3.9169478550000001E-3</v>
      </c>
      <c r="R6" s="117" t="s">
        <v>185</v>
      </c>
      <c r="S6" s="117"/>
      <c r="T6" s="117"/>
      <c r="U6" s="117"/>
      <c r="V6" s="32" t="s">
        <v>186</v>
      </c>
      <c r="W6" s="32"/>
      <c r="X6" s="80" t="s">
        <v>184</v>
      </c>
    </row>
    <row r="7" spans="4:24" x14ac:dyDescent="0.25">
      <c r="D7" s="134"/>
      <c r="E7" s="123"/>
      <c r="F7" s="123"/>
      <c r="G7" s="123"/>
      <c r="H7" s="124" t="s">
        <v>103</v>
      </c>
      <c r="I7" s="124"/>
      <c r="J7" s="124"/>
      <c r="K7" s="124"/>
      <c r="L7" s="124"/>
      <c r="M7" s="23">
        <f>K196*0.075</f>
        <v>66.9043461933</v>
      </c>
      <c r="N7" s="22" t="s">
        <v>12</v>
      </c>
      <c r="O7" s="21" t="s">
        <v>27</v>
      </c>
      <c r="P7" s="101">
        <f>N196*1000/G196*M7</f>
        <v>48.826330077782877</v>
      </c>
      <c r="Q7" s="28">
        <f>P7/1000</f>
        <v>4.8826330077782878E-2</v>
      </c>
      <c r="R7" s="113" t="s">
        <v>189</v>
      </c>
      <c r="S7" s="113"/>
      <c r="T7" s="113"/>
      <c r="U7" s="113"/>
      <c r="V7" s="83" t="s">
        <v>190</v>
      </c>
      <c r="W7" s="32"/>
      <c r="X7" s="80" t="s">
        <v>183</v>
      </c>
    </row>
    <row r="8" spans="4:24" x14ac:dyDescent="0.25">
      <c r="D8" s="134"/>
      <c r="E8" s="123"/>
      <c r="F8" s="123"/>
      <c r="G8" s="123"/>
      <c r="H8" s="122" t="s">
        <v>76</v>
      </c>
      <c r="I8" s="122"/>
      <c r="J8" s="122"/>
      <c r="K8" s="122"/>
      <c r="L8" s="122"/>
      <c r="M8" s="26">
        <v>100</v>
      </c>
      <c r="N8" s="27" t="s">
        <v>79</v>
      </c>
      <c r="O8" s="26" t="s">
        <v>80</v>
      </c>
      <c r="P8" s="100">
        <f>M8*P10/1000</f>
        <v>68.910690756528282</v>
      </c>
      <c r="R8" s="110" t="s">
        <v>262</v>
      </c>
      <c r="S8" s="110"/>
      <c r="T8" s="110"/>
      <c r="U8" s="110"/>
      <c r="V8" t="s">
        <v>174</v>
      </c>
      <c r="W8" s="92" t="s">
        <v>175</v>
      </c>
      <c r="X8" s="90"/>
    </row>
    <row r="9" spans="4:24" x14ac:dyDescent="0.25">
      <c r="D9" s="134"/>
      <c r="E9" s="123"/>
      <c r="F9" s="123"/>
      <c r="G9" s="123"/>
      <c r="H9" s="122" t="s">
        <v>77</v>
      </c>
      <c r="I9" s="122"/>
      <c r="J9" s="122"/>
      <c r="K9" s="122"/>
      <c r="L9" s="122"/>
      <c r="M9" s="26">
        <v>30</v>
      </c>
      <c r="N9" s="27" t="s">
        <v>79</v>
      </c>
      <c r="O9" s="26" t="s">
        <v>80</v>
      </c>
      <c r="P9" s="102">
        <f>M9*P10/1000</f>
        <v>20.673207226958485</v>
      </c>
      <c r="Q9" s="26"/>
      <c r="R9" s="110" t="s">
        <v>262</v>
      </c>
      <c r="S9" s="110"/>
      <c r="T9" s="110"/>
      <c r="U9" s="110"/>
      <c r="V9" t="s">
        <v>174</v>
      </c>
      <c r="W9" s="92" t="s">
        <v>176</v>
      </c>
      <c r="X9" s="90"/>
    </row>
    <row r="10" spans="4:24" x14ac:dyDescent="0.25">
      <c r="D10" s="134"/>
      <c r="E10" s="123"/>
      <c r="F10" s="123"/>
      <c r="G10" s="123"/>
      <c r="H10" s="122" t="s">
        <v>75</v>
      </c>
      <c r="I10" s="122"/>
      <c r="J10" s="122"/>
      <c r="K10" s="122"/>
      <c r="L10" s="122"/>
      <c r="M10" s="26"/>
      <c r="N10" s="27"/>
      <c r="O10" s="26" t="s">
        <v>27</v>
      </c>
      <c r="P10" s="100">
        <f>SUM(Q4:Q7)*1000</f>
        <v>689.10690756528288</v>
      </c>
      <c r="Q10" s="26"/>
      <c r="R10" s="110" t="s">
        <v>81</v>
      </c>
      <c r="S10" s="110"/>
      <c r="T10" s="110"/>
      <c r="U10" s="110"/>
      <c r="V10" t="s">
        <v>177</v>
      </c>
      <c r="W10" s="92" t="s">
        <v>178</v>
      </c>
      <c r="X10" s="90"/>
    </row>
    <row r="11" spans="4:24" x14ac:dyDescent="0.25">
      <c r="D11" s="134"/>
      <c r="E11" s="14" t="s">
        <v>47</v>
      </c>
      <c r="F11" s="12"/>
      <c r="G11" s="12"/>
      <c r="H11" s="119"/>
      <c r="I11" s="119"/>
      <c r="J11" s="119"/>
      <c r="K11" s="119"/>
      <c r="L11" s="119"/>
      <c r="M11" s="12"/>
      <c r="N11" s="12"/>
      <c r="O11" s="12"/>
      <c r="P11" s="12"/>
      <c r="Q11" s="12"/>
      <c r="R11" s="116"/>
      <c r="S11" s="116"/>
      <c r="T11" s="116"/>
      <c r="U11" s="116"/>
      <c r="V11" s="13"/>
      <c r="W11" s="98"/>
      <c r="X11" s="13"/>
    </row>
    <row r="12" spans="4:24" ht="15" customHeight="1" x14ac:dyDescent="0.25">
      <c r="D12" s="134"/>
      <c r="E12" s="123" t="s">
        <v>51</v>
      </c>
      <c r="F12" s="123"/>
      <c r="G12" s="123" t="s">
        <v>91</v>
      </c>
      <c r="H12" s="122" t="s">
        <v>32</v>
      </c>
      <c r="I12" s="122"/>
      <c r="J12" s="122"/>
      <c r="K12" s="122"/>
      <c r="L12" s="122"/>
      <c r="M12" s="26">
        <f>K212*0.325*1000</f>
        <v>14.581083335000001</v>
      </c>
      <c r="N12" s="27" t="s">
        <v>27</v>
      </c>
      <c r="O12" s="26" t="s">
        <v>27</v>
      </c>
      <c r="P12" s="99">
        <f>M12</f>
        <v>14.581083335000001</v>
      </c>
      <c r="Q12" s="85">
        <f>P12/1000</f>
        <v>1.4581083335E-2</v>
      </c>
      <c r="R12" s="117" t="s">
        <v>74</v>
      </c>
      <c r="S12" s="117"/>
      <c r="T12" s="117"/>
      <c r="U12" s="117"/>
      <c r="V12" s="83" t="s">
        <v>187</v>
      </c>
      <c r="W12" s="32"/>
      <c r="X12" s="91" t="s">
        <v>179</v>
      </c>
    </row>
    <row r="13" spans="4:24" ht="15" customHeight="1" x14ac:dyDescent="0.25">
      <c r="D13" s="134"/>
      <c r="E13" s="123"/>
      <c r="F13" s="123"/>
      <c r="G13" s="123"/>
      <c r="H13" s="122" t="s">
        <v>63</v>
      </c>
      <c r="I13" s="122"/>
      <c r="J13" s="122"/>
      <c r="K13" s="122"/>
      <c r="L13" s="122"/>
      <c r="M13" s="26">
        <f>K206/G206*N206*1000*0.325</f>
        <v>2742.9946450725006</v>
      </c>
      <c r="N13" s="27" t="s">
        <v>27</v>
      </c>
      <c r="O13" s="26" t="s">
        <v>27</v>
      </c>
      <c r="P13" s="99">
        <f>M13</f>
        <v>2742.9946450725006</v>
      </c>
      <c r="Q13" s="85">
        <f>P13/1000</f>
        <v>2.7429946450725007</v>
      </c>
      <c r="R13" s="118" t="s">
        <v>181</v>
      </c>
      <c r="S13" s="118"/>
      <c r="T13" s="118"/>
      <c r="U13" s="118"/>
      <c r="V13" s="83" t="s">
        <v>188</v>
      </c>
      <c r="W13" s="32"/>
      <c r="X13" s="32" t="s">
        <v>180</v>
      </c>
    </row>
    <row r="14" spans="4:24" ht="15" customHeight="1" x14ac:dyDescent="0.25">
      <c r="D14" s="134"/>
      <c r="E14" s="123"/>
      <c r="F14" s="123"/>
      <c r="G14" s="123"/>
      <c r="H14" s="122" t="s">
        <v>69</v>
      </c>
      <c r="I14" s="122"/>
      <c r="J14" s="122"/>
      <c r="K14" s="122"/>
      <c r="L14" s="122"/>
      <c r="M14" s="26">
        <f>N218*1000*0.325</f>
        <v>16.973440705000002</v>
      </c>
      <c r="N14" s="27" t="s">
        <v>27</v>
      </c>
      <c r="O14" s="26" t="s">
        <v>27</v>
      </c>
      <c r="P14" s="99">
        <f>M14</f>
        <v>16.973440705000002</v>
      </c>
      <c r="Q14" s="85">
        <f>P14/1000</f>
        <v>1.6973440705000002E-2</v>
      </c>
      <c r="R14" s="117" t="s">
        <v>185</v>
      </c>
      <c r="S14" s="117"/>
      <c r="T14" s="117"/>
      <c r="U14" s="117"/>
      <c r="V14" s="32" t="s">
        <v>186</v>
      </c>
      <c r="W14" s="32"/>
      <c r="X14" s="80" t="s">
        <v>184</v>
      </c>
    </row>
    <row r="15" spans="4:24" x14ac:dyDescent="0.25">
      <c r="D15" s="134"/>
      <c r="E15" s="123"/>
      <c r="F15" s="123"/>
      <c r="G15" s="123"/>
      <c r="H15" s="124" t="s">
        <v>200</v>
      </c>
      <c r="I15" s="124"/>
      <c r="J15" s="124"/>
      <c r="K15" s="124"/>
      <c r="L15" s="124"/>
      <c r="M15" s="21">
        <f>L202*0.1</f>
        <v>7.9562439063700001</v>
      </c>
      <c r="N15" s="22" t="s">
        <v>12</v>
      </c>
      <c r="O15" s="21" t="s">
        <v>12</v>
      </c>
      <c r="P15" s="103">
        <f>M15</f>
        <v>7.9562439063700001</v>
      </c>
      <c r="Q15" s="28">
        <f>P15*30.5/1000</f>
        <v>0.24266543914428501</v>
      </c>
      <c r="R15" s="113" t="s">
        <v>204</v>
      </c>
      <c r="S15" s="113"/>
      <c r="T15" s="113"/>
      <c r="U15" s="113"/>
      <c r="V15" s="83" t="s">
        <v>205</v>
      </c>
      <c r="W15" s="32" t="s">
        <v>206</v>
      </c>
      <c r="X15" t="s">
        <v>203</v>
      </c>
    </row>
    <row r="16" spans="4:24" ht="15" customHeight="1" x14ac:dyDescent="0.25">
      <c r="D16" s="134"/>
      <c r="E16" s="123"/>
      <c r="F16" s="123"/>
      <c r="G16" s="123"/>
      <c r="H16" s="124" t="s">
        <v>70</v>
      </c>
      <c r="I16" s="124"/>
      <c r="J16" s="124"/>
      <c r="K16" s="124"/>
      <c r="L16" s="124"/>
      <c r="M16" s="23">
        <f>2*((4*8*0.3048^2)*0.0127)</f>
        <v>7.5511590912000007E-2</v>
      </c>
      <c r="N16" s="22" t="s">
        <v>20</v>
      </c>
      <c r="O16" s="21" t="s">
        <v>20</v>
      </c>
      <c r="P16" s="101">
        <f>M16</f>
        <v>7.5511590912000007E-2</v>
      </c>
      <c r="Q16" s="23">
        <f>P16*500/1000</f>
        <v>3.7755795456000003E-2</v>
      </c>
      <c r="R16" s="113" t="s">
        <v>209</v>
      </c>
      <c r="S16" s="113"/>
      <c r="T16" s="113"/>
      <c r="U16" s="113"/>
      <c r="V16" s="83" t="s">
        <v>208</v>
      </c>
      <c r="W16" s="32" t="s">
        <v>104</v>
      </c>
      <c r="X16" t="s">
        <v>207</v>
      </c>
    </row>
    <row r="17" spans="4:44" x14ac:dyDescent="0.25">
      <c r="D17" s="134"/>
      <c r="E17" s="123"/>
      <c r="F17" s="123"/>
      <c r="G17" s="123"/>
      <c r="H17" s="124" t="s">
        <v>103</v>
      </c>
      <c r="I17" s="124"/>
      <c r="J17" s="124"/>
      <c r="K17" s="124"/>
      <c r="L17" s="124"/>
      <c r="M17" s="23">
        <f>MAX((4*8*0.3048^2)*2,K196*0.325)</f>
        <v>289.91883350430004</v>
      </c>
      <c r="N17" s="22" t="s">
        <v>12</v>
      </c>
      <c r="O17" s="21" t="s">
        <v>27</v>
      </c>
      <c r="P17" s="101">
        <f>N196*1000/G196*M17</f>
        <v>211.58076367039251</v>
      </c>
      <c r="Q17" s="28">
        <f>P17/1000</f>
        <v>0.21158076367039252</v>
      </c>
      <c r="R17" s="113" t="s">
        <v>218</v>
      </c>
      <c r="S17" s="113"/>
      <c r="T17" s="113"/>
      <c r="U17" s="113"/>
      <c r="V17" s="83" t="s">
        <v>190</v>
      </c>
      <c r="W17" s="32"/>
      <c r="X17" s="80" t="s">
        <v>183</v>
      </c>
    </row>
    <row r="18" spans="4:44" x14ac:dyDescent="0.25">
      <c r="D18" s="134"/>
      <c r="E18" s="123"/>
      <c r="F18" s="123"/>
      <c r="G18" s="123"/>
      <c r="H18" s="122" t="s">
        <v>76</v>
      </c>
      <c r="I18" s="122"/>
      <c r="J18" s="122"/>
      <c r="K18" s="122"/>
      <c r="L18" s="122"/>
      <c r="M18" s="26">
        <v>100</v>
      </c>
      <c r="N18" s="27" t="s">
        <v>79</v>
      </c>
      <c r="O18" s="26" t="s">
        <v>80</v>
      </c>
      <c r="P18" s="100">
        <f>M18*P20/1000</f>
        <v>326.65511673831782</v>
      </c>
      <c r="R18" s="110" t="s">
        <v>262</v>
      </c>
      <c r="S18" s="110"/>
      <c r="T18" s="110"/>
      <c r="U18" s="110"/>
      <c r="V18" t="s">
        <v>174</v>
      </c>
      <c r="W18" s="92" t="s">
        <v>175</v>
      </c>
    </row>
    <row r="19" spans="4:44" x14ac:dyDescent="0.25">
      <c r="D19" s="134"/>
      <c r="E19" s="123"/>
      <c r="F19" s="123"/>
      <c r="G19" s="123"/>
      <c r="H19" s="122" t="s">
        <v>77</v>
      </c>
      <c r="I19" s="122"/>
      <c r="J19" s="122"/>
      <c r="K19" s="122"/>
      <c r="L19" s="122"/>
      <c r="M19" s="26">
        <v>30</v>
      </c>
      <c r="N19" s="27" t="s">
        <v>79</v>
      </c>
      <c r="O19" s="26" t="s">
        <v>80</v>
      </c>
      <c r="P19" s="102">
        <f>M19*P20/1000</f>
        <v>97.996535021495347</v>
      </c>
      <c r="Q19" s="23"/>
      <c r="R19" s="110" t="s">
        <v>262</v>
      </c>
      <c r="S19" s="110"/>
      <c r="T19" s="110"/>
      <c r="U19" s="110"/>
      <c r="V19" t="s">
        <v>174</v>
      </c>
      <c r="W19" s="92" t="s">
        <v>176</v>
      </c>
    </row>
    <row r="20" spans="4:44" x14ac:dyDescent="0.25">
      <c r="D20" s="134"/>
      <c r="E20" s="123"/>
      <c r="F20" s="123"/>
      <c r="G20" s="123"/>
      <c r="H20" s="122" t="s">
        <v>75</v>
      </c>
      <c r="I20" s="122"/>
      <c r="J20" s="122"/>
      <c r="K20" s="122"/>
      <c r="L20" s="122"/>
      <c r="M20" s="23"/>
      <c r="N20" s="22"/>
      <c r="O20" s="26" t="s">
        <v>27</v>
      </c>
      <c r="P20" s="100">
        <f>SUM(Q12:Q17)*1000</f>
        <v>3266.5511673831784</v>
      </c>
      <c r="Q20" s="26"/>
      <c r="R20" s="110" t="s">
        <v>81</v>
      </c>
      <c r="S20" s="110"/>
      <c r="T20" s="110"/>
      <c r="U20" s="110"/>
      <c r="V20" t="s">
        <v>177</v>
      </c>
      <c r="W20" s="92" t="s">
        <v>178</v>
      </c>
    </row>
    <row r="21" spans="4:44" x14ac:dyDescent="0.25">
      <c r="D21" s="134"/>
      <c r="E21" s="14" t="s">
        <v>49</v>
      </c>
      <c r="F21" s="12"/>
      <c r="G21" s="12"/>
      <c r="H21" s="119"/>
      <c r="I21" s="119"/>
      <c r="J21" s="119"/>
      <c r="K21" s="119"/>
      <c r="L21" s="119"/>
      <c r="M21" s="12"/>
      <c r="N21" s="12"/>
      <c r="O21" s="12"/>
      <c r="P21" s="12"/>
      <c r="Q21" s="12"/>
      <c r="R21" s="116"/>
      <c r="S21" s="116"/>
      <c r="T21" s="116"/>
      <c r="U21" s="116"/>
      <c r="V21" s="13"/>
      <c r="W21" s="98"/>
      <c r="X21" s="13"/>
    </row>
    <row r="22" spans="4:44" ht="15" customHeight="1" x14ac:dyDescent="0.25">
      <c r="D22" s="134"/>
      <c r="E22" s="123" t="s">
        <v>57</v>
      </c>
      <c r="F22" s="123"/>
      <c r="G22" s="123" t="s">
        <v>92</v>
      </c>
      <c r="H22" s="122" t="s">
        <v>32</v>
      </c>
      <c r="I22" s="122"/>
      <c r="J22" s="122"/>
      <c r="K22" s="122"/>
      <c r="L22" s="122"/>
      <c r="M22" s="26">
        <f>K212*0.75*1000</f>
        <v>33.648653850000002</v>
      </c>
      <c r="N22" s="27" t="s">
        <v>27</v>
      </c>
      <c r="O22" s="26" t="s">
        <v>27</v>
      </c>
      <c r="P22" s="99">
        <f>M22</f>
        <v>33.648653850000002</v>
      </c>
      <c r="Q22" s="85">
        <f>P22/1000</f>
        <v>3.3648653850000002E-2</v>
      </c>
      <c r="R22" s="117" t="s">
        <v>74</v>
      </c>
      <c r="S22" s="117"/>
      <c r="T22" s="117"/>
      <c r="U22" s="117"/>
      <c r="V22" s="83" t="s">
        <v>187</v>
      </c>
      <c r="W22" s="32"/>
      <c r="X22" s="91" t="s">
        <v>179</v>
      </c>
    </row>
    <row r="23" spans="4:44" ht="15" customHeight="1" x14ac:dyDescent="0.25">
      <c r="D23" s="134"/>
      <c r="E23" s="123"/>
      <c r="F23" s="123"/>
      <c r="G23" s="123"/>
      <c r="H23" s="122" t="s">
        <v>63</v>
      </c>
      <c r="I23" s="122"/>
      <c r="J23" s="122"/>
      <c r="K23" s="122"/>
      <c r="L23" s="122"/>
      <c r="M23" s="26">
        <f>K206/G206*N206*0.75*1000</f>
        <v>6329.987642475</v>
      </c>
      <c r="N23" s="27" t="s">
        <v>27</v>
      </c>
      <c r="O23" s="26" t="s">
        <v>27</v>
      </c>
      <c r="P23" s="100">
        <f>M23</f>
        <v>6329.987642475</v>
      </c>
      <c r="Q23" s="85">
        <f>P23/1000</f>
        <v>6.3299876424750003</v>
      </c>
      <c r="R23" s="118" t="s">
        <v>181</v>
      </c>
      <c r="S23" s="118"/>
      <c r="T23" s="118"/>
      <c r="U23" s="118"/>
      <c r="V23" s="83" t="s">
        <v>188</v>
      </c>
      <c r="W23" s="32"/>
      <c r="X23" s="32" t="s">
        <v>180</v>
      </c>
    </row>
    <row r="24" spans="4:44" x14ac:dyDescent="0.25">
      <c r="D24" s="134"/>
      <c r="E24" s="123"/>
      <c r="F24" s="123"/>
      <c r="G24" s="123"/>
      <c r="H24" s="122" t="s">
        <v>69</v>
      </c>
      <c r="I24" s="122"/>
      <c r="J24" s="122"/>
      <c r="K24" s="122"/>
      <c r="L24" s="122"/>
      <c r="M24" s="26">
        <f>N218*1000*0.75</f>
        <v>39.169478550000001</v>
      </c>
      <c r="N24" s="27" t="s">
        <v>27</v>
      </c>
      <c r="O24" s="26" t="s">
        <v>27</v>
      </c>
      <c r="P24" s="100">
        <f>M24</f>
        <v>39.169478550000001</v>
      </c>
      <c r="Q24" s="85">
        <f>P24/1000</f>
        <v>3.9169478549999998E-2</v>
      </c>
      <c r="R24" s="117" t="s">
        <v>185</v>
      </c>
      <c r="S24" s="117"/>
      <c r="T24" s="117"/>
      <c r="U24" s="117"/>
      <c r="V24" s="32" t="s">
        <v>186</v>
      </c>
      <c r="W24" s="32"/>
      <c r="X24" s="80" t="s">
        <v>184</v>
      </c>
    </row>
    <row r="25" spans="4:44" ht="15" customHeight="1" x14ac:dyDescent="0.25">
      <c r="D25" s="134"/>
      <c r="E25" s="123"/>
      <c r="F25" s="123"/>
      <c r="G25" s="123"/>
      <c r="H25" s="124" t="s">
        <v>200</v>
      </c>
      <c r="I25" s="124"/>
      <c r="J25" s="124"/>
      <c r="K25" s="124"/>
      <c r="L25" s="124"/>
      <c r="M25" s="21">
        <f>L202*0.35</f>
        <v>27.846853672294998</v>
      </c>
      <c r="N25" s="22" t="s">
        <v>12</v>
      </c>
      <c r="O25" s="21" t="s">
        <v>12</v>
      </c>
      <c r="P25" s="103">
        <f>M25</f>
        <v>27.846853672294998</v>
      </c>
      <c r="Q25" s="28">
        <f>P25*30.5/1000</f>
        <v>0.8493290370049974</v>
      </c>
      <c r="R25" s="113" t="s">
        <v>204</v>
      </c>
      <c r="S25" s="113"/>
      <c r="T25" s="113"/>
      <c r="U25" s="113"/>
      <c r="V25" s="83" t="s">
        <v>205</v>
      </c>
      <c r="W25" s="32" t="s">
        <v>206</v>
      </c>
      <c r="X25" t="s">
        <v>203</v>
      </c>
    </row>
    <row r="26" spans="4:44" ht="15" customHeight="1" x14ac:dyDescent="0.25">
      <c r="D26" s="134"/>
      <c r="E26" s="123"/>
      <c r="F26" s="123"/>
      <c r="G26" s="123"/>
      <c r="H26" s="124" t="s">
        <v>70</v>
      </c>
      <c r="I26" s="124"/>
      <c r="J26" s="124"/>
      <c r="K26" s="124"/>
      <c r="L26" s="124"/>
      <c r="M26" s="23">
        <f>MIN((3*4*8*(0.3048^2)*0.0127),(0.25*K220*0.009))</f>
        <v>0.113267386368</v>
      </c>
      <c r="N26" s="22" t="s">
        <v>20</v>
      </c>
      <c r="O26" s="21" t="s">
        <v>20</v>
      </c>
      <c r="P26" s="101">
        <f>M26</f>
        <v>0.113267386368</v>
      </c>
      <c r="Q26" s="25">
        <f>P26*500/1000</f>
        <v>5.6633693184000002E-2</v>
      </c>
      <c r="R26" s="113" t="s">
        <v>209</v>
      </c>
      <c r="S26" s="113"/>
      <c r="T26" s="113"/>
      <c r="U26" s="113"/>
      <c r="V26" s="83" t="s">
        <v>208</v>
      </c>
      <c r="W26" s="32" t="s">
        <v>104</v>
      </c>
      <c r="X26" t="s">
        <v>207</v>
      </c>
    </row>
    <row r="27" spans="4:44" ht="15" customHeight="1" x14ac:dyDescent="0.25">
      <c r="D27" s="134"/>
      <c r="E27" s="123"/>
      <c r="F27" s="123"/>
      <c r="G27" s="123"/>
      <c r="H27" s="124" t="s">
        <v>103</v>
      </c>
      <c r="I27" s="124"/>
      <c r="J27" s="124"/>
      <c r="K27" s="124"/>
      <c r="L27" s="124"/>
      <c r="M27" s="23">
        <f>MAX(MIN((4*8*0.3048^2)*3,0.25*3010),0.75*K196)</f>
        <v>669.043461933</v>
      </c>
      <c r="N27" s="22" t="s">
        <v>12</v>
      </c>
      <c r="O27" s="21" t="s">
        <v>27</v>
      </c>
      <c r="P27" s="101">
        <f>N196*1000/G196*M27</f>
        <v>488.26330077782882</v>
      </c>
      <c r="Q27" s="28">
        <f>P27/1000</f>
        <v>0.48826330077782881</v>
      </c>
      <c r="R27" s="113" t="s">
        <v>218</v>
      </c>
      <c r="S27" s="113"/>
      <c r="T27" s="113"/>
      <c r="U27" s="113"/>
      <c r="V27" s="83" t="s">
        <v>190</v>
      </c>
      <c r="W27" s="32"/>
      <c r="X27" s="80" t="s">
        <v>183</v>
      </c>
    </row>
    <row r="28" spans="4:44" x14ac:dyDescent="0.25">
      <c r="D28" s="134"/>
      <c r="E28" s="123"/>
      <c r="F28" s="123"/>
      <c r="G28" s="123"/>
      <c r="H28" s="122" t="s">
        <v>76</v>
      </c>
      <c r="I28" s="122"/>
      <c r="J28" s="122"/>
      <c r="K28" s="122"/>
      <c r="L28" s="122"/>
      <c r="M28" s="26">
        <v>100</v>
      </c>
      <c r="N28" s="27" t="s">
        <v>79</v>
      </c>
      <c r="O28" s="26" t="s">
        <v>80</v>
      </c>
      <c r="P28" s="100">
        <f>M28*P30/1000</f>
        <v>779.70318058418275</v>
      </c>
      <c r="R28" s="110" t="s">
        <v>262</v>
      </c>
      <c r="S28" s="110"/>
      <c r="T28" s="110"/>
      <c r="U28" s="110"/>
      <c r="V28" t="s">
        <v>174</v>
      </c>
      <c r="W28" s="92" t="s">
        <v>175</v>
      </c>
    </row>
    <row r="29" spans="4:44" x14ac:dyDescent="0.25">
      <c r="D29" s="134"/>
      <c r="E29" s="123"/>
      <c r="F29" s="123"/>
      <c r="G29" s="123"/>
      <c r="H29" s="122" t="s">
        <v>77</v>
      </c>
      <c r="I29" s="122"/>
      <c r="J29" s="122"/>
      <c r="K29" s="122"/>
      <c r="L29" s="122"/>
      <c r="M29" s="26">
        <v>30</v>
      </c>
      <c r="N29" s="27" t="s">
        <v>79</v>
      </c>
      <c r="O29" s="26" t="s">
        <v>80</v>
      </c>
      <c r="P29" s="102">
        <f>M29*P30/1000</f>
        <v>233.9109541752548</v>
      </c>
      <c r="Q29" s="23"/>
      <c r="R29" s="110" t="s">
        <v>262</v>
      </c>
      <c r="S29" s="110"/>
      <c r="T29" s="110"/>
      <c r="U29" s="110"/>
      <c r="V29" t="s">
        <v>174</v>
      </c>
      <c r="W29" s="92" t="s">
        <v>176</v>
      </c>
    </row>
    <row r="30" spans="4:44" x14ac:dyDescent="0.25">
      <c r="D30" s="134"/>
      <c r="E30" s="123"/>
      <c r="F30" s="123"/>
      <c r="G30" s="123"/>
      <c r="H30" s="122" t="s">
        <v>75</v>
      </c>
      <c r="I30" s="122"/>
      <c r="J30" s="122"/>
      <c r="K30" s="122"/>
      <c r="L30" s="122"/>
      <c r="M30" s="23"/>
      <c r="N30" s="22"/>
      <c r="O30" s="26" t="s">
        <v>27</v>
      </c>
      <c r="P30" s="100">
        <f>SUM(Q22:Q27)*1000</f>
        <v>7797.031805841827</v>
      </c>
      <c r="Q30" s="26"/>
      <c r="R30" s="110" t="s">
        <v>81</v>
      </c>
      <c r="S30" s="110"/>
      <c r="T30" s="110"/>
      <c r="U30" s="110"/>
      <c r="V30" t="s">
        <v>177</v>
      </c>
      <c r="W30" s="92" t="s">
        <v>178</v>
      </c>
    </row>
    <row r="31" spans="4:44" x14ac:dyDescent="0.25">
      <c r="D31" s="134"/>
      <c r="E31" s="14" t="s">
        <v>48</v>
      </c>
      <c r="F31" s="12"/>
      <c r="G31" s="12"/>
      <c r="H31" s="119"/>
      <c r="I31" s="119"/>
      <c r="J31" s="119"/>
      <c r="K31" s="119"/>
      <c r="L31" s="119"/>
      <c r="M31" s="12"/>
      <c r="N31" s="12"/>
      <c r="O31" s="12"/>
      <c r="P31" s="12"/>
      <c r="Q31" s="12"/>
      <c r="R31" s="116"/>
      <c r="S31" s="116"/>
      <c r="T31" s="116"/>
      <c r="U31" s="116"/>
      <c r="V31" s="13"/>
      <c r="W31" s="98"/>
      <c r="X31" s="13"/>
    </row>
    <row r="32" spans="4:44" ht="15" customHeight="1" x14ac:dyDescent="0.25">
      <c r="D32" s="134"/>
      <c r="E32" s="123" t="s">
        <v>58</v>
      </c>
      <c r="F32" s="123"/>
      <c r="G32" s="123" t="s">
        <v>93</v>
      </c>
      <c r="H32" s="124" t="s">
        <v>59</v>
      </c>
      <c r="I32" s="124"/>
      <c r="J32" s="124"/>
      <c r="K32" s="124"/>
      <c r="L32" s="124"/>
      <c r="M32" s="21">
        <f>N197*1000</f>
        <v>7327.4678506</v>
      </c>
      <c r="N32" s="22" t="s">
        <v>27</v>
      </c>
      <c r="O32" s="21" t="s">
        <v>27</v>
      </c>
      <c r="P32" s="103">
        <f t="shared" ref="P32:P46" si="0">M32</f>
        <v>7327.4678506</v>
      </c>
      <c r="Q32" s="25">
        <f>(P32+AN32+0.7/76.2*AM32)/1000</f>
        <v>7.6265526861915189</v>
      </c>
      <c r="R32" s="110" t="s">
        <v>195</v>
      </c>
      <c r="S32" s="110"/>
      <c r="T32" s="110"/>
      <c r="U32" s="110"/>
      <c r="V32" s="90" t="s">
        <v>261</v>
      </c>
      <c r="W32" s="92" t="s">
        <v>196</v>
      </c>
      <c r="X32" s="93" t="s">
        <v>192</v>
      </c>
      <c r="Z32" s="94">
        <f>M32/9.3</f>
        <v>787.89976888172032</v>
      </c>
      <c r="AA32" s="90" t="s">
        <v>12</v>
      </c>
      <c r="AB32" s="95">
        <f>1184*0.3048/(3200*(0.3048^2))</f>
        <v>1.2139107611548556</v>
      </c>
      <c r="AC32" s="96" t="s">
        <v>193</v>
      </c>
      <c r="AD32" s="90"/>
      <c r="AE32" s="90">
        <f>77/(3200*(0.3048^2))/0.70297</f>
        <v>0.36844615616893706</v>
      </c>
      <c r="AF32" s="90" t="s">
        <v>194</v>
      </c>
      <c r="AG32" s="90"/>
      <c r="AH32" s="90"/>
      <c r="AI32" s="90"/>
      <c r="AJ32" s="90" t="s">
        <v>197</v>
      </c>
      <c r="AK32" s="90"/>
      <c r="AL32" s="90"/>
      <c r="AM32" s="97">
        <f>AB32*Z32</f>
        <v>956.44000815694392</v>
      </c>
      <c r="AN32" s="97">
        <f>AE32*Z32</f>
        <v>290.29864129086371</v>
      </c>
      <c r="AO32" s="97"/>
      <c r="AP32" s="90"/>
      <c r="AQ32" s="90"/>
      <c r="AR32" s="90"/>
    </row>
    <row r="33" spans="4:24" x14ac:dyDescent="0.25">
      <c r="D33" s="134"/>
      <c r="E33" s="123"/>
      <c r="F33" s="123"/>
      <c r="G33" s="123"/>
      <c r="H33" s="124" t="s">
        <v>60</v>
      </c>
      <c r="I33" s="124"/>
      <c r="J33" s="124"/>
      <c r="K33" s="124"/>
      <c r="L33" s="124"/>
      <c r="M33" s="21">
        <f>N200*1000</f>
        <v>1622.8420208</v>
      </c>
      <c r="N33" s="22" t="s">
        <v>27</v>
      </c>
      <c r="O33" s="21" t="s">
        <v>27</v>
      </c>
      <c r="P33" s="103">
        <f t="shared" si="0"/>
        <v>1622.8420208</v>
      </c>
      <c r="Q33" s="25">
        <f>P33/1000</f>
        <v>1.6228420208000001</v>
      </c>
      <c r="R33" s="113" t="s">
        <v>217</v>
      </c>
      <c r="S33" s="113"/>
      <c r="T33" s="113"/>
      <c r="U33" s="113"/>
      <c r="V33" s="32" t="s">
        <v>216</v>
      </c>
      <c r="W33" s="32" t="s">
        <v>214</v>
      </c>
      <c r="X33" t="s">
        <v>215</v>
      </c>
    </row>
    <row r="34" spans="4:24" ht="15" customHeight="1" x14ac:dyDescent="0.25">
      <c r="D34" s="134"/>
      <c r="E34" s="123"/>
      <c r="F34" s="123"/>
      <c r="G34" s="123"/>
      <c r="H34" s="124" t="s">
        <v>200</v>
      </c>
      <c r="I34" s="124"/>
      <c r="J34" s="124"/>
      <c r="K34" s="124"/>
      <c r="L34" s="124"/>
      <c r="M34" s="21">
        <f>G202</f>
        <v>79.562439063699998</v>
      </c>
      <c r="N34" s="22" t="s">
        <v>12</v>
      </c>
      <c r="O34" s="21" t="s">
        <v>12</v>
      </c>
      <c r="P34" s="103">
        <f t="shared" si="0"/>
        <v>79.562439063699998</v>
      </c>
      <c r="Q34" s="28">
        <f>P34*30.5/1000</f>
        <v>2.4266543914428498</v>
      </c>
      <c r="R34" s="113" t="s">
        <v>204</v>
      </c>
      <c r="S34" s="113"/>
      <c r="T34" s="113"/>
      <c r="U34" s="113"/>
      <c r="V34" s="83" t="s">
        <v>205</v>
      </c>
      <c r="W34" s="32" t="s">
        <v>206</v>
      </c>
      <c r="X34" t="s">
        <v>203</v>
      </c>
    </row>
    <row r="35" spans="4:24" x14ac:dyDescent="0.25">
      <c r="D35" s="134"/>
      <c r="E35" s="123"/>
      <c r="F35" s="123"/>
      <c r="G35" s="123"/>
      <c r="H35" s="124" t="s">
        <v>65</v>
      </c>
      <c r="I35" s="124"/>
      <c r="J35" s="124"/>
      <c r="K35" s="124"/>
      <c r="L35" s="124"/>
      <c r="M35" s="21">
        <f>N208*1000</f>
        <v>359.99998979999998</v>
      </c>
      <c r="N35" s="22" t="s">
        <v>27</v>
      </c>
      <c r="O35" s="21" t="s">
        <v>27</v>
      </c>
      <c r="P35" s="103">
        <f t="shared" si="0"/>
        <v>359.99998979999998</v>
      </c>
      <c r="Q35" s="25">
        <f t="shared" ref="Q35:Q41" si="1">P35/1000</f>
        <v>0.35999998979999998</v>
      </c>
      <c r="R35" s="113" t="s">
        <v>211</v>
      </c>
      <c r="S35" s="113"/>
      <c r="T35" s="113"/>
      <c r="U35" s="113"/>
      <c r="V35" s="32" t="s">
        <v>210</v>
      </c>
      <c r="W35" s="32"/>
      <c r="X35" t="s">
        <v>202</v>
      </c>
    </row>
    <row r="36" spans="4:24" x14ac:dyDescent="0.25">
      <c r="D36" s="134"/>
      <c r="E36" s="123"/>
      <c r="F36" s="123"/>
      <c r="G36" s="123"/>
      <c r="H36" s="124" t="s">
        <v>61</v>
      </c>
      <c r="I36" s="124"/>
      <c r="J36" s="124"/>
      <c r="K36" s="124"/>
      <c r="L36" s="124"/>
      <c r="M36" s="21">
        <f>N203*1000</f>
        <v>17.917200000000001</v>
      </c>
      <c r="N36" s="22" t="s">
        <v>27</v>
      </c>
      <c r="O36" s="21" t="s">
        <v>27</v>
      </c>
      <c r="P36" s="103">
        <f t="shared" si="0"/>
        <v>17.917200000000001</v>
      </c>
      <c r="Q36" s="25">
        <f t="shared" si="1"/>
        <v>1.7917200000000001E-2</v>
      </c>
      <c r="R36" s="113" t="s">
        <v>221</v>
      </c>
      <c r="S36" s="113"/>
      <c r="T36" s="113"/>
      <c r="U36" s="113"/>
      <c r="V36" s="32" t="s">
        <v>220</v>
      </c>
      <c r="W36" s="32" t="s">
        <v>214</v>
      </c>
      <c r="X36" t="s">
        <v>219</v>
      </c>
    </row>
    <row r="37" spans="4:24" x14ac:dyDescent="0.25">
      <c r="D37" s="134"/>
      <c r="E37" s="123"/>
      <c r="F37" s="123"/>
      <c r="G37" s="123"/>
      <c r="H37" s="122" t="s">
        <v>62</v>
      </c>
      <c r="I37" s="122"/>
      <c r="J37" s="122"/>
      <c r="K37" s="122"/>
      <c r="L37" s="122"/>
      <c r="M37" s="84">
        <f>N205*1000</f>
        <v>530.02224789999991</v>
      </c>
      <c r="N37" s="84" t="s">
        <v>27</v>
      </c>
      <c r="O37" s="84" t="s">
        <v>27</v>
      </c>
      <c r="P37" s="99">
        <f t="shared" si="0"/>
        <v>530.02224789999991</v>
      </c>
      <c r="Q37" s="85">
        <f t="shared" si="1"/>
        <v>0.53002224789999997</v>
      </c>
      <c r="R37" s="118" t="s">
        <v>213</v>
      </c>
      <c r="S37" s="118"/>
      <c r="T37" s="118"/>
      <c r="U37" s="118"/>
      <c r="V37" s="83" t="s">
        <v>212</v>
      </c>
      <c r="W37" s="32"/>
    </row>
    <row r="38" spans="4:24" x14ac:dyDescent="0.25">
      <c r="D38" s="134"/>
      <c r="E38" s="123"/>
      <c r="F38" s="123"/>
      <c r="G38" s="123"/>
      <c r="H38" s="122" t="s">
        <v>32</v>
      </c>
      <c r="I38" s="122"/>
      <c r="J38" s="122"/>
      <c r="K38" s="122"/>
      <c r="L38" s="122"/>
      <c r="M38" s="26">
        <f>N212*1000</f>
        <v>293.01536500000003</v>
      </c>
      <c r="N38" s="27" t="s">
        <v>27</v>
      </c>
      <c r="O38" s="26" t="s">
        <v>27</v>
      </c>
      <c r="P38" s="99">
        <f t="shared" si="0"/>
        <v>293.01536500000003</v>
      </c>
      <c r="Q38" s="85">
        <f t="shared" si="1"/>
        <v>0.29301536500000003</v>
      </c>
      <c r="R38" s="117" t="s">
        <v>74</v>
      </c>
      <c r="S38" s="117"/>
      <c r="T38" s="117"/>
      <c r="U38" s="117"/>
      <c r="V38" s="83" t="s">
        <v>187</v>
      </c>
      <c r="W38" s="32"/>
      <c r="X38" s="32" t="s">
        <v>179</v>
      </c>
    </row>
    <row r="39" spans="4:24" x14ac:dyDescent="0.25">
      <c r="D39" s="134"/>
      <c r="E39" s="123"/>
      <c r="F39" s="123"/>
      <c r="G39" s="123"/>
      <c r="H39" s="124" t="s">
        <v>64</v>
      </c>
      <c r="I39" s="124"/>
      <c r="J39" s="124"/>
      <c r="K39" s="124"/>
      <c r="L39" s="124"/>
      <c r="M39" s="21">
        <f>N207*1000</f>
        <v>315</v>
      </c>
      <c r="N39" s="22" t="s">
        <v>27</v>
      </c>
      <c r="O39" s="21" t="s">
        <v>27</v>
      </c>
      <c r="P39" s="103">
        <f t="shared" si="0"/>
        <v>315</v>
      </c>
      <c r="Q39" s="25">
        <f t="shared" si="1"/>
        <v>0.315</v>
      </c>
      <c r="R39" s="113" t="s">
        <v>227</v>
      </c>
      <c r="S39" s="113"/>
      <c r="T39" s="113"/>
      <c r="U39" s="113"/>
      <c r="V39" s="32" t="s">
        <v>226</v>
      </c>
      <c r="W39" s="32"/>
    </row>
    <row r="40" spans="4:24" ht="15" customHeight="1" x14ac:dyDescent="0.25">
      <c r="D40" s="134"/>
      <c r="E40" s="123"/>
      <c r="F40" s="123"/>
      <c r="G40" s="123"/>
      <c r="H40" s="122" t="s">
        <v>63</v>
      </c>
      <c r="I40" s="122"/>
      <c r="J40" s="122"/>
      <c r="K40" s="122"/>
      <c r="L40" s="122"/>
      <c r="M40" s="26">
        <f>N206*1000</f>
        <v>8439.9835233000013</v>
      </c>
      <c r="N40" s="27" t="s">
        <v>27</v>
      </c>
      <c r="O40" s="26" t="s">
        <v>27</v>
      </c>
      <c r="P40" s="99">
        <f t="shared" si="0"/>
        <v>8439.9835233000013</v>
      </c>
      <c r="Q40" s="85">
        <f t="shared" si="1"/>
        <v>8.4399835233000005</v>
      </c>
      <c r="R40" s="118" t="s">
        <v>181</v>
      </c>
      <c r="S40" s="118"/>
      <c r="T40" s="118"/>
      <c r="U40" s="118"/>
      <c r="V40" s="83" t="s">
        <v>188</v>
      </c>
      <c r="W40" s="32"/>
      <c r="X40" s="32" t="s">
        <v>180</v>
      </c>
    </row>
    <row r="41" spans="4:24" ht="15" customHeight="1" x14ac:dyDescent="0.25">
      <c r="D41" s="134"/>
      <c r="E41" s="123"/>
      <c r="F41" s="123"/>
      <c r="G41" s="123"/>
      <c r="H41" s="122" t="s">
        <v>69</v>
      </c>
      <c r="I41" s="122"/>
      <c r="J41" s="122"/>
      <c r="K41" s="122"/>
      <c r="L41" s="122"/>
      <c r="M41" s="26">
        <f>N218*1000</f>
        <v>52.225971399999999</v>
      </c>
      <c r="N41" s="27" t="s">
        <v>27</v>
      </c>
      <c r="O41" s="26" t="s">
        <v>27</v>
      </c>
      <c r="P41" s="99">
        <f t="shared" si="0"/>
        <v>52.225971399999999</v>
      </c>
      <c r="Q41" s="85">
        <f t="shared" si="1"/>
        <v>5.2225971400000001E-2</v>
      </c>
      <c r="R41" s="117" t="s">
        <v>185</v>
      </c>
      <c r="S41" s="117"/>
      <c r="T41" s="117"/>
      <c r="U41" s="117"/>
      <c r="V41" s="32" t="s">
        <v>186</v>
      </c>
      <c r="W41" s="32"/>
      <c r="X41" s="80" t="s">
        <v>184</v>
      </c>
    </row>
    <row r="42" spans="4:24" x14ac:dyDescent="0.25">
      <c r="D42" s="134"/>
      <c r="E42" s="123"/>
      <c r="F42" s="123"/>
      <c r="G42" s="123"/>
      <c r="H42" s="124" t="s">
        <v>66</v>
      </c>
      <c r="I42" s="124"/>
      <c r="J42" s="124"/>
      <c r="K42" s="124"/>
      <c r="L42" s="124"/>
      <c r="M42" s="21">
        <f>G210</f>
        <v>0.33329999269999999</v>
      </c>
      <c r="N42" s="22" t="s">
        <v>20</v>
      </c>
      <c r="O42" s="22" t="s">
        <v>20</v>
      </c>
      <c r="P42" s="103">
        <f t="shared" si="0"/>
        <v>0.33329999269999999</v>
      </c>
      <c r="Q42" s="25">
        <f>P42*500/1000</f>
        <v>0.16664999635</v>
      </c>
      <c r="R42" s="113" t="s">
        <v>233</v>
      </c>
      <c r="S42" s="113"/>
      <c r="T42" s="113"/>
      <c r="U42" s="113"/>
      <c r="V42" s="83" t="s">
        <v>232</v>
      </c>
      <c r="W42" s="32"/>
      <c r="X42" t="s">
        <v>231</v>
      </c>
    </row>
    <row r="43" spans="4:24" x14ac:dyDescent="0.25">
      <c r="D43" s="134"/>
      <c r="E43" s="123"/>
      <c r="F43" s="123"/>
      <c r="G43" s="123"/>
      <c r="H43" s="124" t="s">
        <v>67</v>
      </c>
      <c r="I43" s="124"/>
      <c r="J43" s="124"/>
      <c r="K43" s="124"/>
      <c r="L43" s="124"/>
      <c r="M43" s="21">
        <f>G211+G219</f>
        <v>29.067410657299998</v>
      </c>
      <c r="N43" s="22" t="s">
        <v>20</v>
      </c>
      <c r="O43" s="21" t="s">
        <v>20</v>
      </c>
      <c r="P43" s="103">
        <f t="shared" si="0"/>
        <v>29.067410657299998</v>
      </c>
      <c r="Q43" s="25">
        <f>P43*500/1000</f>
        <v>14.533705328649999</v>
      </c>
      <c r="R43" s="113" t="s">
        <v>223</v>
      </c>
      <c r="S43" s="113"/>
      <c r="T43" s="113"/>
      <c r="U43" s="113"/>
      <c r="V43" s="83" t="s">
        <v>222</v>
      </c>
      <c r="W43" s="32" t="s">
        <v>214</v>
      </c>
    </row>
    <row r="44" spans="4:24" x14ac:dyDescent="0.25">
      <c r="D44" s="134"/>
      <c r="E44" s="123"/>
      <c r="F44" s="123"/>
      <c r="G44" s="123"/>
      <c r="H44" s="124" t="s">
        <v>68</v>
      </c>
      <c r="I44" s="124"/>
      <c r="J44" s="124"/>
      <c r="K44" s="124"/>
      <c r="L44" s="124"/>
      <c r="M44" s="21">
        <f>G213*0.009</f>
        <v>7.6825468936520984</v>
      </c>
      <c r="N44" s="22" t="s">
        <v>20</v>
      </c>
      <c r="O44" s="21" t="s">
        <v>20</v>
      </c>
      <c r="P44" s="103">
        <f t="shared" si="0"/>
        <v>7.6825468936520984</v>
      </c>
      <c r="Q44" s="25">
        <f>P44*700/1000</f>
        <v>5.3777828255564692</v>
      </c>
      <c r="R44" s="113" t="s">
        <v>230</v>
      </c>
      <c r="S44" s="113"/>
      <c r="T44" s="113"/>
      <c r="U44" s="113"/>
      <c r="V44" s="83" t="s">
        <v>229</v>
      </c>
      <c r="W44" s="32"/>
      <c r="X44" t="s">
        <v>228</v>
      </c>
    </row>
    <row r="45" spans="4:24" ht="15" customHeight="1" x14ac:dyDescent="0.25">
      <c r="D45" s="134"/>
      <c r="E45" s="123"/>
      <c r="F45" s="123"/>
      <c r="G45" s="123"/>
      <c r="H45" s="124" t="s">
        <v>70</v>
      </c>
      <c r="I45" s="124"/>
      <c r="J45" s="124"/>
      <c r="K45" s="124"/>
      <c r="L45" s="124"/>
      <c r="M45" s="21">
        <f>G220*0.009</f>
        <v>3.1134781042406998</v>
      </c>
      <c r="N45" s="22" t="s">
        <v>20</v>
      </c>
      <c r="O45" s="21" t="s">
        <v>20</v>
      </c>
      <c r="P45" s="101">
        <f t="shared" si="0"/>
        <v>3.1134781042406998</v>
      </c>
      <c r="Q45" s="25">
        <f>P45*700/1000</f>
        <v>2.1794346729684899</v>
      </c>
      <c r="R45" s="113" t="s">
        <v>209</v>
      </c>
      <c r="S45" s="113"/>
      <c r="T45" s="113"/>
      <c r="U45" s="113"/>
      <c r="V45" s="83" t="s">
        <v>208</v>
      </c>
      <c r="W45" s="32" t="s">
        <v>104</v>
      </c>
      <c r="X45" t="s">
        <v>207</v>
      </c>
    </row>
    <row r="46" spans="4:24" x14ac:dyDescent="0.25">
      <c r="D46" s="134"/>
      <c r="E46" s="123"/>
      <c r="F46" s="123"/>
      <c r="G46" s="123"/>
      <c r="H46" s="124" t="s">
        <v>71</v>
      </c>
      <c r="I46" s="124"/>
      <c r="J46" s="124"/>
      <c r="K46" s="124"/>
      <c r="L46" s="124"/>
      <c r="M46" s="21">
        <f>(N221+N222)*1000</f>
        <v>361.21417960000002</v>
      </c>
      <c r="N46" s="22" t="s">
        <v>27</v>
      </c>
      <c r="O46" s="21" t="s">
        <v>27</v>
      </c>
      <c r="P46" s="103">
        <f t="shared" si="0"/>
        <v>361.21417960000002</v>
      </c>
      <c r="Q46" s="25">
        <f>P46/1000</f>
        <v>0.36121417960000002</v>
      </c>
      <c r="R46" s="113" t="s">
        <v>225</v>
      </c>
      <c r="S46" s="113"/>
      <c r="T46" s="113"/>
      <c r="U46" s="113"/>
      <c r="V46" s="32" t="s">
        <v>224</v>
      </c>
      <c r="W46" s="32"/>
    </row>
    <row r="47" spans="4:24" ht="15" customHeight="1" x14ac:dyDescent="0.25">
      <c r="D47" s="134"/>
      <c r="E47" s="123"/>
      <c r="F47" s="123"/>
      <c r="G47" s="123"/>
      <c r="H47" s="124" t="s">
        <v>103</v>
      </c>
      <c r="I47" s="124"/>
      <c r="J47" s="124"/>
      <c r="K47" s="124"/>
      <c r="L47" s="124"/>
      <c r="M47" s="23">
        <f>G196</f>
        <v>1187.1118153616001</v>
      </c>
      <c r="N47" s="22" t="s">
        <v>12</v>
      </c>
      <c r="O47" s="21" t="s">
        <v>27</v>
      </c>
      <c r="P47" s="101">
        <f>N196*1000/G196*M47</f>
        <v>866.34600939999996</v>
      </c>
      <c r="Q47" s="28">
        <f>P47/1000</f>
        <v>0.86634600939999995</v>
      </c>
      <c r="R47" s="113" t="s">
        <v>218</v>
      </c>
      <c r="S47" s="113"/>
      <c r="T47" s="113"/>
      <c r="U47" s="113"/>
      <c r="V47" s="83" t="s">
        <v>190</v>
      </c>
      <c r="W47" s="32"/>
      <c r="X47" s="80" t="s">
        <v>183</v>
      </c>
    </row>
    <row r="48" spans="4:24" x14ac:dyDescent="0.25">
      <c r="D48" s="134"/>
      <c r="E48" s="123"/>
      <c r="F48" s="123"/>
      <c r="G48" s="123"/>
      <c r="H48" s="124" t="s">
        <v>108</v>
      </c>
      <c r="I48" s="124"/>
      <c r="J48" s="124"/>
      <c r="K48" s="124"/>
      <c r="L48" s="124"/>
      <c r="M48" s="23">
        <f>N199*1000</f>
        <v>16.755648800000003</v>
      </c>
      <c r="N48" s="22" t="s">
        <v>27</v>
      </c>
      <c r="O48" s="21" t="s">
        <v>27</v>
      </c>
      <c r="P48" s="101">
        <f>M48</f>
        <v>16.755648800000003</v>
      </c>
      <c r="Q48" s="28">
        <f>P48/1000</f>
        <v>1.6755648800000002E-2</v>
      </c>
      <c r="R48" s="113" t="s">
        <v>235</v>
      </c>
      <c r="S48" s="113"/>
      <c r="T48" s="113"/>
      <c r="U48" s="113"/>
      <c r="V48" s="83" t="s">
        <v>234</v>
      </c>
      <c r="W48" s="32"/>
    </row>
    <row r="49" spans="4:27" x14ac:dyDescent="0.25">
      <c r="D49" s="134"/>
      <c r="E49" s="123"/>
      <c r="F49" s="123"/>
      <c r="G49" s="123"/>
      <c r="H49" s="126" t="s">
        <v>146</v>
      </c>
      <c r="I49" s="126"/>
      <c r="J49" s="126"/>
      <c r="K49" s="126"/>
      <c r="L49" s="126"/>
      <c r="M49" s="79">
        <f>348.096</f>
        <v>348.096</v>
      </c>
      <c r="N49" s="79" t="s">
        <v>12</v>
      </c>
      <c r="O49" s="79" t="s">
        <v>12</v>
      </c>
      <c r="P49" s="104">
        <f>M49</f>
        <v>348.096</v>
      </c>
      <c r="Q49" s="79">
        <f>P49*(2.2785+0.026)/1000</f>
        <v>0.80218723199999997</v>
      </c>
      <c r="R49" s="113" t="s">
        <v>149</v>
      </c>
      <c r="S49" s="113"/>
      <c r="T49" s="113"/>
      <c r="U49" s="113"/>
      <c r="V49" s="32" t="s">
        <v>149</v>
      </c>
      <c r="W49" s="32" t="s">
        <v>157</v>
      </c>
      <c r="X49" s="32" t="s">
        <v>145</v>
      </c>
    </row>
    <row r="50" spans="4:27" x14ac:dyDescent="0.25">
      <c r="D50" s="134"/>
      <c r="E50" s="123"/>
      <c r="F50" s="123"/>
      <c r="G50" s="123"/>
      <c r="H50" s="125" t="s">
        <v>147</v>
      </c>
      <c r="I50" s="125"/>
      <c r="J50" s="125"/>
      <c r="K50" s="125"/>
      <c r="L50" s="125"/>
      <c r="M50" s="23">
        <f>348.096</f>
        <v>348.096</v>
      </c>
      <c r="N50" s="23" t="s">
        <v>12</v>
      </c>
      <c r="O50" s="79" t="s">
        <v>12</v>
      </c>
      <c r="P50" s="104">
        <f>M50</f>
        <v>348.096</v>
      </c>
      <c r="Q50" s="79">
        <f>(5.334+0.124+0.002858*450)*P50/1000</f>
        <v>2.3475942335999997</v>
      </c>
      <c r="R50" s="113" t="s">
        <v>152</v>
      </c>
      <c r="S50" s="113"/>
      <c r="T50" s="113"/>
      <c r="U50" s="113"/>
      <c r="V50" s="32" t="s">
        <v>152</v>
      </c>
      <c r="W50" s="32" t="s">
        <v>158</v>
      </c>
      <c r="X50" s="32" t="s">
        <v>150</v>
      </c>
      <c r="Z50">
        <f>(3/8*1.5*5)*(0.0254^3)/((5*5)*(0.0254^2))</f>
        <v>2.8574999999999994E-3</v>
      </c>
      <c r="AA50" t="s">
        <v>151</v>
      </c>
    </row>
    <row r="51" spans="4:27" x14ac:dyDescent="0.25">
      <c r="D51" s="134"/>
      <c r="E51" s="123"/>
      <c r="F51" s="123"/>
      <c r="G51" s="123"/>
      <c r="H51" s="125" t="s">
        <v>148</v>
      </c>
      <c r="I51" s="125"/>
      <c r="J51" s="125"/>
      <c r="K51" s="125"/>
      <c r="L51" s="125"/>
      <c r="M51" s="23">
        <f>348.096</f>
        <v>348.096</v>
      </c>
      <c r="N51" s="23" t="s">
        <v>12</v>
      </c>
      <c r="O51" s="79" t="s">
        <v>12</v>
      </c>
      <c r="P51" s="104">
        <f>M51</f>
        <v>348.096</v>
      </c>
      <c r="Q51" s="26">
        <f>(127.72+0.2+328.8)*P51/1000</f>
        <v>158.98240512000001</v>
      </c>
      <c r="R51" s="113" t="s">
        <v>156</v>
      </c>
      <c r="S51" s="113"/>
      <c r="T51" s="113"/>
      <c r="U51" s="113"/>
      <c r="V51" s="32" t="s">
        <v>156</v>
      </c>
      <c r="W51" s="32" t="s">
        <v>159</v>
      </c>
      <c r="X51" s="80" t="s">
        <v>155</v>
      </c>
    </row>
    <row r="52" spans="4:27" x14ac:dyDescent="0.25">
      <c r="D52" s="134"/>
      <c r="E52" s="123"/>
      <c r="F52" s="123"/>
      <c r="G52" s="123"/>
      <c r="H52" s="122" t="s">
        <v>76</v>
      </c>
      <c r="I52" s="122"/>
      <c r="J52" s="122"/>
      <c r="K52" s="122"/>
      <c r="L52" s="122"/>
      <c r="M52" s="26">
        <v>100</v>
      </c>
      <c r="N52" s="27" t="s">
        <v>79</v>
      </c>
      <c r="O52" s="26" t="s">
        <v>80</v>
      </c>
      <c r="P52" s="100">
        <f>M52*P54/1000</f>
        <v>4518.6102057159324</v>
      </c>
      <c r="R52" s="110" t="s">
        <v>262</v>
      </c>
      <c r="S52" s="110"/>
      <c r="T52" s="110"/>
      <c r="U52" s="110"/>
      <c r="V52" t="s">
        <v>174</v>
      </c>
      <c r="W52" s="92" t="s">
        <v>175</v>
      </c>
    </row>
    <row r="53" spans="4:27" x14ac:dyDescent="0.25">
      <c r="D53" s="134"/>
      <c r="E53" s="123"/>
      <c r="F53" s="123"/>
      <c r="G53" s="123"/>
      <c r="H53" s="122" t="s">
        <v>77</v>
      </c>
      <c r="I53" s="122"/>
      <c r="J53" s="122"/>
      <c r="K53" s="122"/>
      <c r="L53" s="122"/>
      <c r="M53" s="26">
        <v>30</v>
      </c>
      <c r="N53" s="27" t="s">
        <v>79</v>
      </c>
      <c r="O53" s="26" t="s">
        <v>80</v>
      </c>
      <c r="P53" s="102">
        <f>M53*P54/1000</f>
        <v>1355.5830617147797</v>
      </c>
      <c r="Q53" s="22"/>
      <c r="R53" s="110" t="s">
        <v>262</v>
      </c>
      <c r="S53" s="110"/>
      <c r="T53" s="110"/>
      <c r="U53" s="110"/>
      <c r="V53" t="s">
        <v>174</v>
      </c>
      <c r="W53" s="92" t="s">
        <v>176</v>
      </c>
    </row>
    <row r="54" spans="4:27" x14ac:dyDescent="0.25">
      <c r="D54" s="134"/>
      <c r="E54" s="123"/>
      <c r="F54" s="123"/>
      <c r="G54" s="123"/>
      <c r="H54" s="122" t="s">
        <v>75</v>
      </c>
      <c r="I54" s="122"/>
      <c r="J54" s="122"/>
      <c r="K54" s="122"/>
      <c r="L54" s="122"/>
      <c r="M54" s="21"/>
      <c r="N54" s="22"/>
      <c r="O54" s="26" t="s">
        <v>27</v>
      </c>
      <c r="P54" s="100">
        <f>SUM(Q32:Q48)*1000</f>
        <v>45186.102057159318</v>
      </c>
      <c r="Q54" s="26"/>
      <c r="R54" s="110" t="s">
        <v>81</v>
      </c>
      <c r="S54" s="110"/>
      <c r="T54" s="110"/>
      <c r="U54" s="110"/>
      <c r="V54" t="s">
        <v>177</v>
      </c>
      <c r="W54" s="92" t="s">
        <v>178</v>
      </c>
    </row>
    <row r="55" spans="4:27" x14ac:dyDescent="0.25">
      <c r="D55" s="36" t="s">
        <v>85</v>
      </c>
      <c r="E55" s="14" t="s">
        <v>46</v>
      </c>
      <c r="F55" s="15"/>
      <c r="G55" s="15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19"/>
      <c r="S55" s="119"/>
      <c r="T55" s="119"/>
      <c r="U55" s="119"/>
      <c r="V55" s="13"/>
      <c r="W55" s="98"/>
      <c r="X55" s="13"/>
    </row>
    <row r="56" spans="4:27" ht="15" customHeight="1" x14ac:dyDescent="0.25">
      <c r="D56" s="135" t="s">
        <v>86</v>
      </c>
      <c r="E56" s="123" t="s">
        <v>72</v>
      </c>
      <c r="F56" s="123"/>
      <c r="G56" s="123" t="s">
        <v>94</v>
      </c>
      <c r="H56" s="122" t="s">
        <v>32</v>
      </c>
      <c r="I56" s="122"/>
      <c r="J56" s="122"/>
      <c r="K56" s="122"/>
      <c r="L56" s="122"/>
      <c r="M56" s="26">
        <f>K265*0.075*1000</f>
        <v>3.3648653849999994</v>
      </c>
      <c r="N56" s="27" t="s">
        <v>27</v>
      </c>
      <c r="O56" s="26" t="s">
        <v>27</v>
      </c>
      <c r="P56" s="99">
        <f>M56</f>
        <v>3.3648653849999994</v>
      </c>
      <c r="Q56" s="85">
        <f>P56/1000</f>
        <v>3.3648653849999996E-3</v>
      </c>
      <c r="R56" s="117" t="s">
        <v>74</v>
      </c>
      <c r="S56" s="117"/>
      <c r="T56" s="117"/>
      <c r="U56" s="117"/>
      <c r="V56" s="83" t="s">
        <v>187</v>
      </c>
      <c r="W56" s="32"/>
      <c r="X56" s="91" t="s">
        <v>179</v>
      </c>
    </row>
    <row r="57" spans="4:27" ht="15" customHeight="1" x14ac:dyDescent="0.25">
      <c r="D57" s="135"/>
      <c r="E57" s="123"/>
      <c r="F57" s="123"/>
      <c r="G57" s="123"/>
      <c r="H57" s="122" t="s">
        <v>63</v>
      </c>
      <c r="I57" s="122"/>
      <c r="J57" s="122"/>
      <c r="K57" s="122"/>
      <c r="L57" s="122"/>
      <c r="M57" s="26">
        <f>K259/G259*N259*0.075*1000</f>
        <v>632.99876424750005</v>
      </c>
      <c r="N57" s="27" t="s">
        <v>27</v>
      </c>
      <c r="O57" s="26" t="s">
        <v>27</v>
      </c>
      <c r="P57" s="100">
        <f>M57</f>
        <v>632.99876424750005</v>
      </c>
      <c r="Q57" s="85">
        <f>P57/1000</f>
        <v>0.63299876424750001</v>
      </c>
      <c r="R57" s="118" t="s">
        <v>181</v>
      </c>
      <c r="S57" s="118"/>
      <c r="T57" s="118"/>
      <c r="U57" s="118"/>
      <c r="V57" s="83" t="s">
        <v>188</v>
      </c>
      <c r="W57" s="32"/>
      <c r="X57" s="32" t="s">
        <v>180</v>
      </c>
    </row>
    <row r="58" spans="4:27" ht="15" customHeight="1" x14ac:dyDescent="0.25">
      <c r="D58" s="135"/>
      <c r="E58" s="123"/>
      <c r="F58" s="123"/>
      <c r="G58" s="123"/>
      <c r="H58" s="122" t="s">
        <v>69</v>
      </c>
      <c r="I58" s="122"/>
      <c r="J58" s="122"/>
      <c r="K58" s="122"/>
      <c r="L58" s="122"/>
      <c r="M58" s="26">
        <f>N271*0.075*1000</f>
        <v>3.9169478550000001</v>
      </c>
      <c r="N58" s="27" t="s">
        <v>27</v>
      </c>
      <c r="O58" s="26" t="s">
        <v>27</v>
      </c>
      <c r="P58" s="100">
        <f>M58</f>
        <v>3.9169478550000001</v>
      </c>
      <c r="Q58" s="85">
        <f>P58/1000</f>
        <v>3.9169478550000001E-3</v>
      </c>
      <c r="R58" s="117" t="s">
        <v>185</v>
      </c>
      <c r="S58" s="117"/>
      <c r="T58" s="117"/>
      <c r="U58" s="117"/>
      <c r="V58" s="32" t="s">
        <v>186</v>
      </c>
      <c r="W58" s="32"/>
      <c r="X58" s="80" t="s">
        <v>184</v>
      </c>
    </row>
    <row r="59" spans="4:27" ht="15" customHeight="1" x14ac:dyDescent="0.25">
      <c r="D59" s="135"/>
      <c r="E59" s="123"/>
      <c r="F59" s="123"/>
      <c r="G59" s="123"/>
      <c r="H59" s="124" t="s">
        <v>103</v>
      </c>
      <c r="I59" s="124"/>
      <c r="J59" s="124"/>
      <c r="K59" s="124"/>
      <c r="L59" s="124"/>
      <c r="M59" s="23">
        <f>K249*0.075</f>
        <v>66.9043461933</v>
      </c>
      <c r="N59" s="22" t="s">
        <v>12</v>
      </c>
      <c r="O59" s="21" t="s">
        <v>27</v>
      </c>
      <c r="P59" s="101">
        <f>N196*1000/G196*M59</f>
        <v>48.826330077782877</v>
      </c>
      <c r="Q59" s="28">
        <f>P59/1000</f>
        <v>4.8826330077782878E-2</v>
      </c>
      <c r="R59" s="113" t="s">
        <v>218</v>
      </c>
      <c r="S59" s="113"/>
      <c r="T59" s="113"/>
      <c r="U59" s="113"/>
      <c r="V59" s="83" t="s">
        <v>190</v>
      </c>
      <c r="W59" s="32"/>
      <c r="X59" s="80" t="s">
        <v>183</v>
      </c>
    </row>
    <row r="60" spans="4:27" x14ac:dyDescent="0.25">
      <c r="D60" s="135"/>
      <c r="E60" s="123"/>
      <c r="F60" s="123"/>
      <c r="G60" s="123"/>
      <c r="H60" s="122" t="s">
        <v>76</v>
      </c>
      <c r="I60" s="122"/>
      <c r="J60" s="122"/>
      <c r="K60" s="122"/>
      <c r="L60" s="122"/>
      <c r="M60" s="26">
        <v>100</v>
      </c>
      <c r="N60" s="27" t="s">
        <v>79</v>
      </c>
      <c r="O60" s="26" t="s">
        <v>80</v>
      </c>
      <c r="P60" s="100">
        <f>M60*P62/1000</f>
        <v>68.910690756528282</v>
      </c>
      <c r="R60" s="110" t="s">
        <v>262</v>
      </c>
      <c r="S60" s="110"/>
      <c r="T60" s="110"/>
      <c r="U60" s="110"/>
      <c r="V60" t="s">
        <v>174</v>
      </c>
      <c r="W60" s="92" t="s">
        <v>175</v>
      </c>
    </row>
    <row r="61" spans="4:27" x14ac:dyDescent="0.25">
      <c r="D61" s="135"/>
      <c r="E61" s="123"/>
      <c r="F61" s="123"/>
      <c r="G61" s="123"/>
      <c r="H61" s="122" t="s">
        <v>77</v>
      </c>
      <c r="I61" s="122"/>
      <c r="J61" s="122"/>
      <c r="K61" s="122"/>
      <c r="L61" s="122"/>
      <c r="M61" s="26">
        <v>30</v>
      </c>
      <c r="N61" s="27" t="s">
        <v>79</v>
      </c>
      <c r="O61" s="26" t="s">
        <v>80</v>
      </c>
      <c r="P61" s="102">
        <f>M61*P62/1000</f>
        <v>20.673207226958485</v>
      </c>
      <c r="Q61" s="26"/>
      <c r="R61" s="110" t="s">
        <v>262</v>
      </c>
      <c r="S61" s="110"/>
      <c r="T61" s="110"/>
      <c r="U61" s="110"/>
      <c r="V61" t="s">
        <v>174</v>
      </c>
      <c r="W61" s="92" t="s">
        <v>176</v>
      </c>
    </row>
    <row r="62" spans="4:27" x14ac:dyDescent="0.25">
      <c r="D62" s="135"/>
      <c r="E62" s="123"/>
      <c r="F62" s="123"/>
      <c r="G62" s="123"/>
      <c r="H62" s="122" t="s">
        <v>75</v>
      </c>
      <c r="I62" s="122"/>
      <c r="J62" s="122"/>
      <c r="K62" s="122"/>
      <c r="L62" s="122"/>
      <c r="M62" s="26"/>
      <c r="N62" s="27"/>
      <c r="O62" s="26" t="s">
        <v>27</v>
      </c>
      <c r="P62" s="100">
        <f>SUM(Q56:Q59)*1000</f>
        <v>689.10690756528288</v>
      </c>
      <c r="Q62" s="26"/>
      <c r="R62" s="110" t="s">
        <v>81</v>
      </c>
      <c r="S62" s="110"/>
      <c r="T62" s="110"/>
      <c r="U62" s="110"/>
      <c r="V62" t="s">
        <v>177</v>
      </c>
      <c r="W62" s="92" t="s">
        <v>178</v>
      </c>
    </row>
    <row r="63" spans="4:27" x14ac:dyDescent="0.25">
      <c r="D63" s="135"/>
      <c r="E63" s="14" t="s">
        <v>47</v>
      </c>
      <c r="F63" s="12"/>
      <c r="G63" s="12"/>
      <c r="H63" s="119"/>
      <c r="I63" s="119"/>
      <c r="J63" s="119"/>
      <c r="K63" s="119"/>
      <c r="L63" s="119"/>
      <c r="M63" s="12"/>
      <c r="N63" s="12"/>
      <c r="O63" s="12"/>
      <c r="P63" s="12"/>
      <c r="Q63" s="12"/>
      <c r="R63" s="119"/>
      <c r="S63" s="119"/>
      <c r="T63" s="119"/>
      <c r="U63" s="119"/>
      <c r="V63" s="13"/>
      <c r="W63" s="98"/>
      <c r="X63" s="13"/>
    </row>
    <row r="64" spans="4:27" x14ac:dyDescent="0.25">
      <c r="D64" s="135"/>
      <c r="E64" s="123" t="s">
        <v>51</v>
      </c>
      <c r="F64" s="123"/>
      <c r="G64" s="123" t="s">
        <v>96</v>
      </c>
      <c r="H64" s="122" t="s">
        <v>32</v>
      </c>
      <c r="I64" s="122"/>
      <c r="J64" s="122"/>
      <c r="K64" s="122"/>
      <c r="L64" s="122"/>
      <c r="M64" s="26">
        <f>K265*0.325*1000</f>
        <v>14.581083335000001</v>
      </c>
      <c r="N64" s="27" t="s">
        <v>27</v>
      </c>
      <c r="O64" s="26" t="s">
        <v>27</v>
      </c>
      <c r="P64" s="99">
        <f>M64</f>
        <v>14.581083335000001</v>
      </c>
      <c r="Q64" s="85">
        <f>P64/1000</f>
        <v>1.4581083335E-2</v>
      </c>
      <c r="R64" s="117" t="s">
        <v>74</v>
      </c>
      <c r="S64" s="117"/>
      <c r="T64" s="117"/>
      <c r="U64" s="117"/>
      <c r="V64" s="83" t="s">
        <v>187</v>
      </c>
      <c r="W64" s="32"/>
      <c r="X64" s="32" t="s">
        <v>179</v>
      </c>
    </row>
    <row r="65" spans="4:24" ht="15" customHeight="1" x14ac:dyDescent="0.25">
      <c r="D65" s="135"/>
      <c r="E65" s="123"/>
      <c r="F65" s="123"/>
      <c r="G65" s="123"/>
      <c r="H65" s="122" t="s">
        <v>63</v>
      </c>
      <c r="I65" s="122"/>
      <c r="J65" s="122"/>
      <c r="K65" s="122"/>
      <c r="L65" s="122"/>
      <c r="M65" s="26">
        <f>K259/G259*N259*1000*0.325</f>
        <v>2742.9946450725006</v>
      </c>
      <c r="N65" s="27" t="s">
        <v>27</v>
      </c>
      <c r="O65" s="26" t="s">
        <v>27</v>
      </c>
      <c r="P65" s="99">
        <f>M65</f>
        <v>2742.9946450725006</v>
      </c>
      <c r="Q65" s="85">
        <f>P65/1000</f>
        <v>2.7429946450725007</v>
      </c>
      <c r="R65" s="118" t="s">
        <v>181</v>
      </c>
      <c r="S65" s="118"/>
      <c r="T65" s="118"/>
      <c r="U65" s="118"/>
      <c r="V65" s="83" t="s">
        <v>188</v>
      </c>
      <c r="W65" s="32"/>
      <c r="X65" s="32" t="s">
        <v>180</v>
      </c>
    </row>
    <row r="66" spans="4:24" ht="15" customHeight="1" x14ac:dyDescent="0.25">
      <c r="D66" s="135"/>
      <c r="E66" s="123"/>
      <c r="F66" s="123"/>
      <c r="G66" s="123"/>
      <c r="H66" s="122" t="s">
        <v>69</v>
      </c>
      <c r="I66" s="122"/>
      <c r="J66" s="122"/>
      <c r="K66" s="122"/>
      <c r="L66" s="122"/>
      <c r="M66" s="26">
        <f>N271*1000*0.325</f>
        <v>16.973440705000002</v>
      </c>
      <c r="N66" s="27" t="s">
        <v>27</v>
      </c>
      <c r="O66" s="26" t="s">
        <v>27</v>
      </c>
      <c r="P66" s="99">
        <f>M66</f>
        <v>16.973440705000002</v>
      </c>
      <c r="Q66" s="85">
        <f>P66/1000</f>
        <v>1.6973440705000002E-2</v>
      </c>
      <c r="R66" s="117" t="s">
        <v>185</v>
      </c>
      <c r="S66" s="117"/>
      <c r="T66" s="117"/>
      <c r="U66" s="117"/>
      <c r="V66" s="32" t="s">
        <v>186</v>
      </c>
      <c r="W66" s="32"/>
      <c r="X66" s="80" t="s">
        <v>184</v>
      </c>
    </row>
    <row r="67" spans="4:24" ht="15" customHeight="1" x14ac:dyDescent="0.25">
      <c r="D67" s="135"/>
      <c r="E67" s="123"/>
      <c r="F67" s="123"/>
      <c r="G67" s="123"/>
      <c r="H67" s="124" t="s">
        <v>200</v>
      </c>
      <c r="I67" s="124"/>
      <c r="J67" s="124"/>
      <c r="K67" s="124"/>
      <c r="L67" s="124"/>
      <c r="M67" s="21">
        <f>L255*0.1</f>
        <v>7.9562439063700001</v>
      </c>
      <c r="N67" s="22" t="s">
        <v>12</v>
      </c>
      <c r="O67" s="21" t="s">
        <v>12</v>
      </c>
      <c r="P67" s="103">
        <f>M67</f>
        <v>7.9562439063700001</v>
      </c>
      <c r="Q67" s="28">
        <f>P67*30.5/1000</f>
        <v>0.24266543914428501</v>
      </c>
      <c r="R67" s="113" t="s">
        <v>204</v>
      </c>
      <c r="S67" s="113"/>
      <c r="T67" s="113"/>
      <c r="U67" s="113"/>
      <c r="V67" s="83" t="s">
        <v>205</v>
      </c>
      <c r="W67" s="32" t="s">
        <v>206</v>
      </c>
      <c r="X67" t="s">
        <v>203</v>
      </c>
    </row>
    <row r="68" spans="4:24" ht="15" customHeight="1" x14ac:dyDescent="0.25">
      <c r="D68" s="135"/>
      <c r="E68" s="123"/>
      <c r="F68" s="123"/>
      <c r="G68" s="123"/>
      <c r="H68" s="124" t="s">
        <v>70</v>
      </c>
      <c r="I68" s="124"/>
      <c r="J68" s="124"/>
      <c r="K68" s="124"/>
      <c r="L68" s="124"/>
      <c r="M68" s="23">
        <f>2*((4*8*0.3048^2)*0.0127)</f>
        <v>7.5511590912000007E-2</v>
      </c>
      <c r="N68" s="22" t="s">
        <v>20</v>
      </c>
      <c r="O68" s="21" t="s">
        <v>20</v>
      </c>
      <c r="P68" s="101">
        <f>M68</f>
        <v>7.5511590912000007E-2</v>
      </c>
      <c r="Q68" s="23">
        <f>P68*500/1000</f>
        <v>3.7755795456000003E-2</v>
      </c>
      <c r="R68" s="113" t="s">
        <v>209</v>
      </c>
      <c r="S68" s="113"/>
      <c r="T68" s="113"/>
      <c r="U68" s="113"/>
      <c r="V68" s="83" t="s">
        <v>208</v>
      </c>
      <c r="W68" s="32" t="s">
        <v>104</v>
      </c>
      <c r="X68" t="s">
        <v>207</v>
      </c>
    </row>
    <row r="69" spans="4:24" ht="15" customHeight="1" x14ac:dyDescent="0.25">
      <c r="D69" s="135"/>
      <c r="E69" s="123"/>
      <c r="F69" s="123"/>
      <c r="G69" s="123"/>
      <c r="H69" s="124" t="s">
        <v>103</v>
      </c>
      <c r="I69" s="124"/>
      <c r="J69" s="124"/>
      <c r="K69" s="124"/>
      <c r="L69" s="124"/>
      <c r="M69" s="23">
        <f>MAX((4*8*0.3048^2)*2,K249*0.325)</f>
        <v>289.91883350430004</v>
      </c>
      <c r="N69" s="22" t="s">
        <v>12</v>
      </c>
      <c r="O69" s="21" t="s">
        <v>27</v>
      </c>
      <c r="P69" s="101">
        <f>N249*1000/G249*M69</f>
        <v>211.58076367039251</v>
      </c>
      <c r="Q69" s="28">
        <f>P69/1000</f>
        <v>0.21158076367039252</v>
      </c>
      <c r="R69" s="113" t="s">
        <v>218</v>
      </c>
      <c r="S69" s="113"/>
      <c r="T69" s="113"/>
      <c r="U69" s="113"/>
      <c r="V69" s="83" t="s">
        <v>190</v>
      </c>
      <c r="W69" s="32"/>
      <c r="X69" s="80" t="s">
        <v>183</v>
      </c>
    </row>
    <row r="70" spans="4:24" x14ac:dyDescent="0.25">
      <c r="D70" s="135"/>
      <c r="E70" s="123"/>
      <c r="F70" s="123"/>
      <c r="G70" s="123"/>
      <c r="H70" s="122" t="s">
        <v>76</v>
      </c>
      <c r="I70" s="122"/>
      <c r="J70" s="122"/>
      <c r="K70" s="122"/>
      <c r="L70" s="122"/>
      <c r="M70" s="26">
        <v>100</v>
      </c>
      <c r="N70" s="27" t="s">
        <v>79</v>
      </c>
      <c r="O70" s="26" t="s">
        <v>80</v>
      </c>
      <c r="P70" s="100">
        <f>M70*P72/1000</f>
        <v>326.65511673831782</v>
      </c>
      <c r="R70" s="110" t="s">
        <v>262</v>
      </c>
      <c r="S70" s="110"/>
      <c r="T70" s="110"/>
      <c r="U70" s="110"/>
      <c r="V70" t="s">
        <v>174</v>
      </c>
      <c r="W70" s="92" t="s">
        <v>175</v>
      </c>
    </row>
    <row r="71" spans="4:24" x14ac:dyDescent="0.25">
      <c r="D71" s="135"/>
      <c r="E71" s="123"/>
      <c r="F71" s="123"/>
      <c r="G71" s="123"/>
      <c r="H71" s="122" t="s">
        <v>77</v>
      </c>
      <c r="I71" s="122"/>
      <c r="J71" s="122"/>
      <c r="K71" s="122"/>
      <c r="L71" s="122"/>
      <c r="M71" s="26">
        <v>30</v>
      </c>
      <c r="N71" s="27" t="s">
        <v>79</v>
      </c>
      <c r="O71" s="26" t="s">
        <v>80</v>
      </c>
      <c r="P71" s="102">
        <f>M71*P72/1000</f>
        <v>97.996535021495347</v>
      </c>
      <c r="Q71" s="23"/>
      <c r="R71" s="110" t="s">
        <v>262</v>
      </c>
      <c r="S71" s="110"/>
      <c r="T71" s="110"/>
      <c r="U71" s="110"/>
      <c r="V71" t="s">
        <v>174</v>
      </c>
      <c r="W71" s="92" t="s">
        <v>176</v>
      </c>
    </row>
    <row r="72" spans="4:24" x14ac:dyDescent="0.25">
      <c r="D72" s="135"/>
      <c r="E72" s="123"/>
      <c r="F72" s="123"/>
      <c r="G72" s="123"/>
      <c r="H72" s="122" t="s">
        <v>75</v>
      </c>
      <c r="I72" s="122"/>
      <c r="J72" s="122"/>
      <c r="K72" s="122"/>
      <c r="L72" s="122"/>
      <c r="M72" s="23"/>
      <c r="N72" s="22"/>
      <c r="O72" s="26" t="s">
        <v>27</v>
      </c>
      <c r="P72" s="100">
        <f>SUM(Q64:Q69)*1000</f>
        <v>3266.5511673831784</v>
      </c>
      <c r="Q72" s="26"/>
      <c r="R72" s="110" t="s">
        <v>81</v>
      </c>
      <c r="S72" s="110"/>
      <c r="T72" s="110"/>
      <c r="U72" s="110"/>
      <c r="V72" t="s">
        <v>177</v>
      </c>
      <c r="W72" s="92" t="s">
        <v>178</v>
      </c>
    </row>
    <row r="73" spans="4:24" x14ac:dyDescent="0.25">
      <c r="D73" s="135"/>
      <c r="E73" s="14" t="s">
        <v>49</v>
      </c>
      <c r="F73" s="12"/>
      <c r="G73" s="12"/>
      <c r="H73" s="119"/>
      <c r="I73" s="119"/>
      <c r="J73" s="119"/>
      <c r="K73" s="119"/>
      <c r="L73" s="119"/>
      <c r="M73" s="12"/>
      <c r="N73" s="12"/>
      <c r="O73" s="12"/>
      <c r="P73" s="12"/>
      <c r="Q73" s="12"/>
      <c r="R73" s="119"/>
      <c r="S73" s="119"/>
      <c r="T73" s="119"/>
      <c r="U73" s="119"/>
      <c r="V73" s="13"/>
      <c r="W73" s="98"/>
      <c r="X73" s="13"/>
    </row>
    <row r="74" spans="4:24" x14ac:dyDescent="0.25">
      <c r="D74" s="135"/>
      <c r="E74" s="123" t="s">
        <v>57</v>
      </c>
      <c r="F74" s="123"/>
      <c r="G74" s="123" t="s">
        <v>95</v>
      </c>
      <c r="H74" s="122" t="s">
        <v>32</v>
      </c>
      <c r="I74" s="122"/>
      <c r="J74" s="122"/>
      <c r="K74" s="122"/>
      <c r="L74" s="122"/>
      <c r="M74" s="26">
        <f>K265*0.75*1000</f>
        <v>33.648653850000002</v>
      </c>
      <c r="N74" s="27" t="s">
        <v>27</v>
      </c>
      <c r="O74" s="26" t="s">
        <v>27</v>
      </c>
      <c r="P74" s="99">
        <f>M74</f>
        <v>33.648653850000002</v>
      </c>
      <c r="Q74" s="85">
        <f>P74/1000</f>
        <v>3.3648653850000002E-2</v>
      </c>
      <c r="R74" s="117" t="s">
        <v>74</v>
      </c>
      <c r="S74" s="117"/>
      <c r="T74" s="117"/>
      <c r="U74" s="117"/>
      <c r="V74" s="83" t="s">
        <v>187</v>
      </c>
      <c r="W74" s="32"/>
      <c r="X74" s="32" t="s">
        <v>179</v>
      </c>
    </row>
    <row r="75" spans="4:24" ht="15" customHeight="1" x14ac:dyDescent="0.25">
      <c r="D75" s="135"/>
      <c r="E75" s="123"/>
      <c r="F75" s="123"/>
      <c r="G75" s="123"/>
      <c r="H75" s="122" t="s">
        <v>63</v>
      </c>
      <c r="I75" s="122"/>
      <c r="J75" s="122"/>
      <c r="K75" s="122"/>
      <c r="L75" s="122"/>
      <c r="M75" s="26">
        <f>K259/G259*N259*0.75*1000</f>
        <v>6329.987642475</v>
      </c>
      <c r="N75" s="27" t="s">
        <v>27</v>
      </c>
      <c r="O75" s="26" t="s">
        <v>27</v>
      </c>
      <c r="P75" s="100">
        <f>M75</f>
        <v>6329.987642475</v>
      </c>
      <c r="Q75" s="85">
        <f>P75/1000</f>
        <v>6.3299876424750003</v>
      </c>
      <c r="R75" s="118" t="s">
        <v>181</v>
      </c>
      <c r="S75" s="118"/>
      <c r="T75" s="118"/>
      <c r="U75" s="118"/>
      <c r="V75" s="83" t="s">
        <v>188</v>
      </c>
      <c r="W75" s="32"/>
      <c r="X75" s="32" t="s">
        <v>180</v>
      </c>
    </row>
    <row r="76" spans="4:24" ht="15" customHeight="1" x14ac:dyDescent="0.25">
      <c r="D76" s="135"/>
      <c r="E76" s="123"/>
      <c r="F76" s="123"/>
      <c r="G76" s="123"/>
      <c r="H76" s="122" t="s">
        <v>69</v>
      </c>
      <c r="I76" s="122"/>
      <c r="J76" s="122"/>
      <c r="K76" s="122"/>
      <c r="L76" s="122"/>
      <c r="M76" s="26">
        <f>N271*1000*0.75</f>
        <v>39.169478550000001</v>
      </c>
      <c r="N76" s="27" t="s">
        <v>27</v>
      </c>
      <c r="O76" s="26" t="s">
        <v>27</v>
      </c>
      <c r="P76" s="100">
        <f>M76</f>
        <v>39.169478550000001</v>
      </c>
      <c r="Q76" s="85">
        <f>P76/1000</f>
        <v>3.9169478549999998E-2</v>
      </c>
      <c r="R76" s="117" t="s">
        <v>185</v>
      </c>
      <c r="S76" s="117"/>
      <c r="T76" s="117"/>
      <c r="U76" s="117"/>
      <c r="V76" s="32" t="s">
        <v>186</v>
      </c>
      <c r="W76" s="32"/>
      <c r="X76" s="80" t="s">
        <v>184</v>
      </c>
    </row>
    <row r="77" spans="4:24" ht="15" customHeight="1" x14ac:dyDescent="0.25">
      <c r="D77" s="135"/>
      <c r="E77" s="123"/>
      <c r="F77" s="123"/>
      <c r="G77" s="123"/>
      <c r="H77" s="124" t="s">
        <v>200</v>
      </c>
      <c r="I77" s="124"/>
      <c r="J77" s="124"/>
      <c r="K77" s="124"/>
      <c r="L77" s="124"/>
      <c r="M77" s="21">
        <f>L255*0.35</f>
        <v>27.846853672294998</v>
      </c>
      <c r="N77" s="22" t="s">
        <v>12</v>
      </c>
      <c r="O77" s="21" t="s">
        <v>12</v>
      </c>
      <c r="P77" s="103">
        <f>M77</f>
        <v>27.846853672294998</v>
      </c>
      <c r="Q77" s="28">
        <f>P77*30.5/1000</f>
        <v>0.8493290370049974</v>
      </c>
      <c r="R77" s="113" t="s">
        <v>204</v>
      </c>
      <c r="S77" s="113"/>
      <c r="T77" s="113"/>
      <c r="U77" s="113"/>
      <c r="V77" s="83" t="s">
        <v>205</v>
      </c>
      <c r="W77" s="32" t="s">
        <v>206</v>
      </c>
      <c r="X77" t="s">
        <v>203</v>
      </c>
    </row>
    <row r="78" spans="4:24" ht="15" customHeight="1" x14ac:dyDescent="0.25">
      <c r="D78" s="135"/>
      <c r="E78" s="123"/>
      <c r="F78" s="123"/>
      <c r="G78" s="123"/>
      <c r="H78" s="124" t="s">
        <v>70</v>
      </c>
      <c r="I78" s="124"/>
      <c r="J78" s="124"/>
      <c r="K78" s="124"/>
      <c r="L78" s="124"/>
      <c r="M78" s="23">
        <f>MIN((3*4*8*(0.3048^2)*0.0127),(0.25*K273*0.009))</f>
        <v>0.113267386368</v>
      </c>
      <c r="N78" s="22" t="s">
        <v>20</v>
      </c>
      <c r="O78" s="21" t="s">
        <v>20</v>
      </c>
      <c r="P78" s="101">
        <f>M78</f>
        <v>0.113267386368</v>
      </c>
      <c r="Q78" s="25">
        <f>P78*500/1000</f>
        <v>5.6633693184000002E-2</v>
      </c>
      <c r="R78" s="113" t="s">
        <v>209</v>
      </c>
      <c r="S78" s="113"/>
      <c r="T78" s="113"/>
      <c r="U78" s="113"/>
      <c r="V78" s="83" t="s">
        <v>208</v>
      </c>
      <c r="W78" s="32" t="s">
        <v>104</v>
      </c>
      <c r="X78" t="s">
        <v>207</v>
      </c>
    </row>
    <row r="79" spans="4:24" ht="15" customHeight="1" x14ac:dyDescent="0.25">
      <c r="D79" s="135"/>
      <c r="E79" s="123"/>
      <c r="F79" s="123"/>
      <c r="G79" s="123"/>
      <c r="H79" s="124" t="s">
        <v>103</v>
      </c>
      <c r="I79" s="124"/>
      <c r="J79" s="124"/>
      <c r="K79" s="124"/>
      <c r="L79" s="124"/>
      <c r="M79" s="23">
        <f>MAX(MIN((4*8*0.3048^2)*3,0.25*3010),0.75*K249)</f>
        <v>669.043461933</v>
      </c>
      <c r="N79" s="22" t="s">
        <v>12</v>
      </c>
      <c r="O79" s="21" t="s">
        <v>27</v>
      </c>
      <c r="P79" s="101">
        <f>N249*1000/G249*M79</f>
        <v>488.26330077782882</v>
      </c>
      <c r="Q79" s="28">
        <f>P79/1000</f>
        <v>0.48826330077782881</v>
      </c>
      <c r="R79" s="113" t="s">
        <v>218</v>
      </c>
      <c r="S79" s="113"/>
      <c r="T79" s="113"/>
      <c r="U79" s="113"/>
      <c r="V79" s="83" t="s">
        <v>190</v>
      </c>
      <c r="W79" s="32"/>
      <c r="X79" s="80" t="s">
        <v>183</v>
      </c>
    </row>
    <row r="80" spans="4:24" x14ac:dyDescent="0.25">
      <c r="D80" s="135"/>
      <c r="E80" s="123"/>
      <c r="F80" s="123"/>
      <c r="G80" s="123"/>
      <c r="H80" s="122" t="s">
        <v>76</v>
      </c>
      <c r="I80" s="122"/>
      <c r="J80" s="122"/>
      <c r="K80" s="122"/>
      <c r="L80" s="122"/>
      <c r="M80" s="26">
        <v>100</v>
      </c>
      <c r="N80" s="27" t="s">
        <v>79</v>
      </c>
      <c r="O80" s="26" t="s">
        <v>80</v>
      </c>
      <c r="P80" s="100">
        <f>M80*P82/1000</f>
        <v>779.70318058418275</v>
      </c>
      <c r="R80" s="110" t="s">
        <v>262</v>
      </c>
      <c r="S80" s="110"/>
      <c r="T80" s="110"/>
      <c r="U80" s="110"/>
      <c r="V80" t="s">
        <v>174</v>
      </c>
      <c r="W80" s="92" t="s">
        <v>175</v>
      </c>
    </row>
    <row r="81" spans="4:42" x14ac:dyDescent="0.25">
      <c r="D81" s="135"/>
      <c r="E81" s="123"/>
      <c r="F81" s="123"/>
      <c r="G81" s="123"/>
      <c r="H81" s="122" t="s">
        <v>77</v>
      </c>
      <c r="I81" s="122"/>
      <c r="J81" s="122"/>
      <c r="K81" s="122"/>
      <c r="L81" s="122"/>
      <c r="M81" s="26">
        <v>30</v>
      </c>
      <c r="N81" s="27" t="s">
        <v>79</v>
      </c>
      <c r="O81" s="26" t="s">
        <v>80</v>
      </c>
      <c r="P81" s="102">
        <f>M81*P82/1000</f>
        <v>233.9109541752548</v>
      </c>
      <c r="Q81" s="23"/>
      <c r="R81" s="110" t="s">
        <v>262</v>
      </c>
      <c r="S81" s="110"/>
      <c r="T81" s="110"/>
      <c r="U81" s="110"/>
      <c r="V81" t="s">
        <v>174</v>
      </c>
      <c r="W81" s="92" t="s">
        <v>176</v>
      </c>
    </row>
    <row r="82" spans="4:42" x14ac:dyDescent="0.25">
      <c r="D82" s="135"/>
      <c r="E82" s="123"/>
      <c r="F82" s="123"/>
      <c r="G82" s="123"/>
      <c r="H82" s="122" t="s">
        <v>75</v>
      </c>
      <c r="I82" s="122"/>
      <c r="J82" s="122"/>
      <c r="K82" s="122"/>
      <c r="L82" s="122"/>
      <c r="M82" s="23"/>
      <c r="N82" s="22"/>
      <c r="O82" s="26" t="s">
        <v>27</v>
      </c>
      <c r="P82" s="100">
        <f>SUM(Q74:Q79)*1000</f>
        <v>7797.031805841827</v>
      </c>
      <c r="Q82" s="26"/>
      <c r="R82" s="110" t="s">
        <v>81</v>
      </c>
      <c r="S82" s="110"/>
      <c r="T82" s="110"/>
      <c r="U82" s="110"/>
      <c r="V82" t="s">
        <v>177</v>
      </c>
      <c r="W82" s="92" t="s">
        <v>178</v>
      </c>
    </row>
    <row r="83" spans="4:42" x14ac:dyDescent="0.25">
      <c r="D83" s="135"/>
      <c r="E83" s="14" t="s">
        <v>48</v>
      </c>
      <c r="F83" s="12"/>
      <c r="G83" s="12"/>
      <c r="H83" s="119"/>
      <c r="I83" s="119"/>
      <c r="J83" s="119"/>
      <c r="K83" s="119"/>
      <c r="L83" s="119"/>
      <c r="M83" s="12"/>
      <c r="N83" s="12"/>
      <c r="O83" s="12"/>
      <c r="P83" s="12"/>
      <c r="Q83" s="12"/>
      <c r="R83" s="119"/>
      <c r="S83" s="119"/>
      <c r="T83" s="119"/>
      <c r="U83" s="119"/>
      <c r="V83" s="13"/>
      <c r="W83" s="98"/>
      <c r="X83" s="13"/>
    </row>
    <row r="84" spans="4:42" ht="15" customHeight="1" x14ac:dyDescent="0.25">
      <c r="D84" s="135"/>
      <c r="E84" s="123" t="s">
        <v>58</v>
      </c>
      <c r="F84" s="123"/>
      <c r="G84" s="123" t="s">
        <v>97</v>
      </c>
      <c r="H84" s="124" t="s">
        <v>59</v>
      </c>
      <c r="I84" s="124"/>
      <c r="J84" s="124"/>
      <c r="K84" s="124"/>
      <c r="L84" s="124"/>
      <c r="M84" s="21">
        <f>N250*1000</f>
        <v>7327.4678506</v>
      </c>
      <c r="N84" s="22" t="s">
        <v>27</v>
      </c>
      <c r="O84" s="21" t="s">
        <v>27</v>
      </c>
      <c r="P84" s="103">
        <f t="shared" ref="P84:P98" si="2">M84</f>
        <v>7327.4678506</v>
      </c>
      <c r="Q84" s="25">
        <f>P84/1000</f>
        <v>7.3274678505999997</v>
      </c>
      <c r="R84" s="110" t="s">
        <v>195</v>
      </c>
      <c r="S84" s="110"/>
      <c r="T84" s="110"/>
      <c r="U84" s="110"/>
      <c r="V84" s="90" t="s">
        <v>261</v>
      </c>
      <c r="W84" s="92" t="s">
        <v>196</v>
      </c>
      <c r="X84" s="93" t="s">
        <v>192</v>
      </c>
      <c r="Z84" s="94">
        <f>M84/9.3</f>
        <v>787.89976888172032</v>
      </c>
      <c r="AA84" s="90" t="s">
        <v>12</v>
      </c>
      <c r="AB84" s="95">
        <f>1184*0.3048/(3200*(0.3048^2))</f>
        <v>1.2139107611548556</v>
      </c>
      <c r="AC84" s="96" t="s">
        <v>193</v>
      </c>
      <c r="AD84" s="90"/>
      <c r="AE84" s="90">
        <f>77/(3200*(0.3048^2))/0.70297</f>
        <v>0.36844615616893706</v>
      </c>
      <c r="AF84" s="90" t="s">
        <v>194</v>
      </c>
      <c r="AG84" s="90"/>
      <c r="AH84" s="90"/>
      <c r="AI84" s="90"/>
      <c r="AJ84" s="90" t="s">
        <v>197</v>
      </c>
      <c r="AK84" s="90"/>
      <c r="AL84" s="90"/>
      <c r="AM84" s="97">
        <f>AB84*Z84</f>
        <v>956.44000815694392</v>
      </c>
      <c r="AN84" s="97">
        <f>AE84*Z84</f>
        <v>290.29864129086371</v>
      </c>
      <c r="AO84" s="97"/>
      <c r="AP84" s="90"/>
    </row>
    <row r="85" spans="4:42" ht="15" customHeight="1" x14ac:dyDescent="0.25">
      <c r="D85" s="135"/>
      <c r="E85" s="123"/>
      <c r="F85" s="123"/>
      <c r="G85" s="123"/>
      <c r="H85" s="124" t="s">
        <v>60</v>
      </c>
      <c r="I85" s="124"/>
      <c r="J85" s="124"/>
      <c r="K85" s="124"/>
      <c r="L85" s="124"/>
      <c r="M85" s="21">
        <f>N253*1000</f>
        <v>1622.8420208</v>
      </c>
      <c r="N85" s="22" t="s">
        <v>27</v>
      </c>
      <c r="O85" s="21" t="s">
        <v>27</v>
      </c>
      <c r="P85" s="103">
        <f t="shared" si="2"/>
        <v>1622.8420208</v>
      </c>
      <c r="Q85" s="25">
        <f>P85/1000</f>
        <v>1.6228420208000001</v>
      </c>
      <c r="R85" s="113" t="s">
        <v>217</v>
      </c>
      <c r="S85" s="113"/>
      <c r="T85" s="113"/>
      <c r="U85" s="113"/>
      <c r="V85" s="32" t="s">
        <v>216</v>
      </c>
      <c r="W85" s="32" t="s">
        <v>214</v>
      </c>
      <c r="X85" t="s">
        <v>215</v>
      </c>
    </row>
    <row r="86" spans="4:42" ht="15" customHeight="1" x14ac:dyDescent="0.25">
      <c r="D86" s="135"/>
      <c r="E86" s="123"/>
      <c r="F86" s="123"/>
      <c r="G86" s="123"/>
      <c r="H86" s="124" t="s">
        <v>200</v>
      </c>
      <c r="I86" s="124"/>
      <c r="J86" s="124"/>
      <c r="K86" s="124"/>
      <c r="L86" s="124"/>
      <c r="M86" s="21">
        <f>G255</f>
        <v>79.562439063699998</v>
      </c>
      <c r="N86" s="22" t="s">
        <v>12</v>
      </c>
      <c r="O86" s="21" t="s">
        <v>12</v>
      </c>
      <c r="P86" s="103">
        <f t="shared" si="2"/>
        <v>79.562439063699998</v>
      </c>
      <c r="Q86" s="28">
        <f>P86*30.5/1000</f>
        <v>2.4266543914428498</v>
      </c>
      <c r="R86" s="113" t="s">
        <v>204</v>
      </c>
      <c r="S86" s="113"/>
      <c r="T86" s="113"/>
      <c r="U86" s="113"/>
      <c r="V86" s="83" t="s">
        <v>205</v>
      </c>
      <c r="W86" s="32" t="s">
        <v>206</v>
      </c>
      <c r="X86" t="s">
        <v>203</v>
      </c>
    </row>
    <row r="87" spans="4:42" ht="15" customHeight="1" x14ac:dyDescent="0.25">
      <c r="D87" s="135"/>
      <c r="E87" s="123"/>
      <c r="F87" s="123"/>
      <c r="G87" s="123"/>
      <c r="H87" s="124" t="s">
        <v>65</v>
      </c>
      <c r="I87" s="124"/>
      <c r="J87" s="124"/>
      <c r="K87" s="124"/>
      <c r="L87" s="124"/>
      <c r="M87" s="21">
        <f>N261*1000</f>
        <v>359.99998979999998</v>
      </c>
      <c r="N87" s="22" t="s">
        <v>27</v>
      </c>
      <c r="O87" s="21" t="s">
        <v>27</v>
      </c>
      <c r="P87" s="103">
        <f t="shared" si="2"/>
        <v>359.99998979999998</v>
      </c>
      <c r="Q87" s="25">
        <f t="shared" ref="Q87:Q93" si="3">P87/1000</f>
        <v>0.35999998979999998</v>
      </c>
      <c r="R87" s="113" t="s">
        <v>211</v>
      </c>
      <c r="S87" s="113"/>
      <c r="T87" s="113"/>
      <c r="U87" s="113"/>
      <c r="V87" s="32" t="s">
        <v>210</v>
      </c>
      <c r="W87" s="32"/>
      <c r="X87" t="s">
        <v>202</v>
      </c>
    </row>
    <row r="88" spans="4:42" ht="15" customHeight="1" x14ac:dyDescent="0.25">
      <c r="D88" s="135"/>
      <c r="E88" s="123"/>
      <c r="F88" s="123"/>
      <c r="G88" s="123"/>
      <c r="H88" s="124" t="s">
        <v>61</v>
      </c>
      <c r="I88" s="124"/>
      <c r="J88" s="124"/>
      <c r="K88" s="124"/>
      <c r="L88" s="124"/>
      <c r="M88" s="21">
        <f>N256*1000</f>
        <v>17.917200000000001</v>
      </c>
      <c r="N88" s="22" t="s">
        <v>27</v>
      </c>
      <c r="O88" s="21" t="s">
        <v>27</v>
      </c>
      <c r="P88" s="103">
        <f t="shared" si="2"/>
        <v>17.917200000000001</v>
      </c>
      <c r="Q88" s="25">
        <f t="shared" si="3"/>
        <v>1.7917200000000001E-2</v>
      </c>
      <c r="R88" s="113" t="s">
        <v>221</v>
      </c>
      <c r="S88" s="113"/>
      <c r="T88" s="113"/>
      <c r="U88" s="113"/>
      <c r="V88" s="32" t="s">
        <v>220</v>
      </c>
      <c r="W88" s="32" t="s">
        <v>214</v>
      </c>
      <c r="X88" t="s">
        <v>219</v>
      </c>
    </row>
    <row r="89" spans="4:42" ht="15" customHeight="1" x14ac:dyDescent="0.25">
      <c r="D89" s="135"/>
      <c r="E89" s="123"/>
      <c r="F89" s="123"/>
      <c r="G89" s="123"/>
      <c r="H89" s="122" t="s">
        <v>62</v>
      </c>
      <c r="I89" s="122"/>
      <c r="J89" s="122"/>
      <c r="K89" s="122"/>
      <c r="L89" s="122"/>
      <c r="M89" s="84">
        <f>N258*1000</f>
        <v>530.02224789999991</v>
      </c>
      <c r="N89" s="84" t="s">
        <v>27</v>
      </c>
      <c r="O89" s="84" t="s">
        <v>27</v>
      </c>
      <c r="P89" s="99">
        <f t="shared" si="2"/>
        <v>530.02224789999991</v>
      </c>
      <c r="Q89" s="85">
        <f t="shared" si="3"/>
        <v>0.53002224789999997</v>
      </c>
      <c r="R89" s="118" t="s">
        <v>213</v>
      </c>
      <c r="S89" s="118"/>
      <c r="T89" s="118"/>
      <c r="U89" s="118"/>
      <c r="V89" s="83" t="s">
        <v>212</v>
      </c>
      <c r="W89" s="32"/>
    </row>
    <row r="90" spans="4:42" x14ac:dyDescent="0.25">
      <c r="D90" s="135"/>
      <c r="E90" s="123"/>
      <c r="F90" s="123"/>
      <c r="G90" s="123"/>
      <c r="H90" s="122" t="s">
        <v>32</v>
      </c>
      <c r="I90" s="122"/>
      <c r="J90" s="122"/>
      <c r="K90" s="122"/>
      <c r="L90" s="122"/>
      <c r="M90" s="26">
        <f>N265*1000</f>
        <v>0.25820536500000002</v>
      </c>
      <c r="N90" s="27" t="s">
        <v>27</v>
      </c>
      <c r="O90" s="26" t="s">
        <v>27</v>
      </c>
      <c r="P90" s="99">
        <f t="shared" si="2"/>
        <v>0.25820536500000002</v>
      </c>
      <c r="Q90" s="85">
        <f t="shared" si="3"/>
        <v>2.5820536500000002E-4</v>
      </c>
      <c r="R90" s="117" t="s">
        <v>74</v>
      </c>
      <c r="S90" s="117"/>
      <c r="T90" s="117"/>
      <c r="U90" s="117"/>
      <c r="V90" s="83" t="s">
        <v>187</v>
      </c>
      <c r="W90" s="32"/>
      <c r="X90" s="32" t="s">
        <v>179</v>
      </c>
    </row>
    <row r="91" spans="4:42" ht="15" customHeight="1" x14ac:dyDescent="0.25">
      <c r="D91" s="135"/>
      <c r="E91" s="123"/>
      <c r="F91" s="123"/>
      <c r="G91" s="123"/>
      <c r="H91" s="124" t="s">
        <v>64</v>
      </c>
      <c r="I91" s="124"/>
      <c r="J91" s="124"/>
      <c r="K91" s="124"/>
      <c r="L91" s="124"/>
      <c r="M91" s="21">
        <f>N260*1000</f>
        <v>315</v>
      </c>
      <c r="N91" s="22" t="s">
        <v>27</v>
      </c>
      <c r="O91" s="21" t="s">
        <v>27</v>
      </c>
      <c r="P91" s="103">
        <f t="shared" si="2"/>
        <v>315</v>
      </c>
      <c r="Q91" s="25">
        <f t="shared" si="3"/>
        <v>0.315</v>
      </c>
      <c r="R91" s="113" t="s">
        <v>227</v>
      </c>
      <c r="S91" s="113"/>
      <c r="T91" s="113"/>
      <c r="U91" s="113"/>
      <c r="V91" s="32" t="s">
        <v>226</v>
      </c>
      <c r="W91" s="32"/>
    </row>
    <row r="92" spans="4:42" ht="15" customHeight="1" x14ac:dyDescent="0.25">
      <c r="D92" s="135"/>
      <c r="E92" s="123"/>
      <c r="F92" s="123"/>
      <c r="G92" s="123"/>
      <c r="H92" s="122" t="s">
        <v>63</v>
      </c>
      <c r="I92" s="122"/>
      <c r="J92" s="122"/>
      <c r="K92" s="122"/>
      <c r="L92" s="122"/>
      <c r="M92" s="26">
        <f>N259*1000</f>
        <v>8439.9835233000013</v>
      </c>
      <c r="N92" s="27" t="s">
        <v>27</v>
      </c>
      <c r="O92" s="26" t="s">
        <v>27</v>
      </c>
      <c r="P92" s="99">
        <f t="shared" si="2"/>
        <v>8439.9835233000013</v>
      </c>
      <c r="Q92" s="85">
        <f t="shared" si="3"/>
        <v>8.4399835233000005</v>
      </c>
      <c r="R92" s="118" t="s">
        <v>181</v>
      </c>
      <c r="S92" s="118"/>
      <c r="T92" s="118"/>
      <c r="U92" s="118"/>
      <c r="V92" s="83" t="s">
        <v>188</v>
      </c>
      <c r="W92" s="32"/>
      <c r="X92" s="32" t="s">
        <v>180</v>
      </c>
    </row>
    <row r="93" spans="4:42" ht="15" customHeight="1" x14ac:dyDescent="0.25">
      <c r="D93" s="135"/>
      <c r="E93" s="123"/>
      <c r="F93" s="123"/>
      <c r="G93" s="123"/>
      <c r="H93" s="122" t="s">
        <v>69</v>
      </c>
      <c r="I93" s="122"/>
      <c r="J93" s="122"/>
      <c r="K93" s="122"/>
      <c r="L93" s="122"/>
      <c r="M93" s="26">
        <f>N271*1000</f>
        <v>52.225971399999999</v>
      </c>
      <c r="N93" s="27" t="s">
        <v>27</v>
      </c>
      <c r="O93" s="26" t="s">
        <v>27</v>
      </c>
      <c r="P93" s="99">
        <f t="shared" si="2"/>
        <v>52.225971399999999</v>
      </c>
      <c r="Q93" s="85">
        <f t="shared" si="3"/>
        <v>5.2225971400000001E-2</v>
      </c>
      <c r="R93" s="117" t="s">
        <v>185</v>
      </c>
      <c r="S93" s="117"/>
      <c r="T93" s="117"/>
      <c r="U93" s="117"/>
      <c r="V93" s="32" t="s">
        <v>186</v>
      </c>
      <c r="W93" s="32"/>
      <c r="X93" s="80" t="s">
        <v>184</v>
      </c>
    </row>
    <row r="94" spans="4:42" ht="15" customHeight="1" x14ac:dyDescent="0.25">
      <c r="D94" s="135"/>
      <c r="E94" s="123"/>
      <c r="F94" s="123"/>
      <c r="G94" s="123"/>
      <c r="H94" s="124" t="s">
        <v>66</v>
      </c>
      <c r="I94" s="124"/>
      <c r="J94" s="124"/>
      <c r="K94" s="124"/>
      <c r="L94" s="124"/>
      <c r="M94" s="21">
        <f>G263</f>
        <v>0.33329999269999999</v>
      </c>
      <c r="N94" s="22" t="s">
        <v>20</v>
      </c>
      <c r="O94" s="22" t="s">
        <v>20</v>
      </c>
      <c r="P94" s="103">
        <f t="shared" si="2"/>
        <v>0.33329999269999999</v>
      </c>
      <c r="Q94" s="25">
        <f>P94*500/1000</f>
        <v>0.16664999635</v>
      </c>
      <c r="R94" s="113" t="s">
        <v>233</v>
      </c>
      <c r="S94" s="113"/>
      <c r="T94" s="113"/>
      <c r="U94" s="113"/>
      <c r="V94" s="83" t="s">
        <v>232</v>
      </c>
      <c r="W94" s="32"/>
      <c r="X94" t="s">
        <v>231</v>
      </c>
    </row>
    <row r="95" spans="4:42" ht="15" customHeight="1" x14ac:dyDescent="0.25">
      <c r="D95" s="135"/>
      <c r="E95" s="123"/>
      <c r="F95" s="123"/>
      <c r="G95" s="123"/>
      <c r="H95" s="124" t="s">
        <v>67</v>
      </c>
      <c r="I95" s="124"/>
      <c r="J95" s="124"/>
      <c r="K95" s="124"/>
      <c r="L95" s="124"/>
      <c r="M95" s="21">
        <f>G272+G264</f>
        <v>21.826930657399998</v>
      </c>
      <c r="N95" s="22" t="s">
        <v>20</v>
      </c>
      <c r="O95" s="21" t="s">
        <v>20</v>
      </c>
      <c r="P95" s="103">
        <f t="shared" si="2"/>
        <v>21.826930657399998</v>
      </c>
      <c r="Q95" s="25">
        <f>P95*500/1000</f>
        <v>10.913465328700001</v>
      </c>
      <c r="R95" s="113" t="s">
        <v>223</v>
      </c>
      <c r="S95" s="113"/>
      <c r="T95" s="113"/>
      <c r="U95" s="113"/>
      <c r="V95" s="83" t="s">
        <v>222</v>
      </c>
      <c r="W95" s="32" t="s">
        <v>214</v>
      </c>
    </row>
    <row r="96" spans="4:42" ht="15" customHeight="1" x14ac:dyDescent="0.25">
      <c r="D96" s="135"/>
      <c r="E96" s="123"/>
      <c r="F96" s="123"/>
      <c r="G96" s="123"/>
      <c r="H96" s="124" t="s">
        <v>68</v>
      </c>
      <c r="I96" s="124"/>
      <c r="J96" s="124"/>
      <c r="K96" s="124"/>
      <c r="L96" s="124"/>
      <c r="M96" s="21">
        <f>G266*0.009</f>
        <v>7.6825468936520984</v>
      </c>
      <c r="N96" s="22" t="s">
        <v>20</v>
      </c>
      <c r="O96" s="21" t="s">
        <v>20</v>
      </c>
      <c r="P96" s="103">
        <f t="shared" si="2"/>
        <v>7.6825468936520984</v>
      </c>
      <c r="Q96" s="25">
        <f>P96*700/1000</f>
        <v>5.3777828255564692</v>
      </c>
      <c r="R96" s="113" t="s">
        <v>230</v>
      </c>
      <c r="S96" s="113"/>
      <c r="T96" s="113"/>
      <c r="U96" s="113"/>
      <c r="V96" s="83" t="s">
        <v>229</v>
      </c>
      <c r="W96" s="32"/>
      <c r="X96" t="s">
        <v>228</v>
      </c>
    </row>
    <row r="97" spans="4:40" ht="15" customHeight="1" x14ac:dyDescent="0.25">
      <c r="D97" s="135"/>
      <c r="E97" s="123"/>
      <c r="F97" s="123"/>
      <c r="G97" s="123"/>
      <c r="H97" s="124" t="s">
        <v>70</v>
      </c>
      <c r="I97" s="124"/>
      <c r="J97" s="124"/>
      <c r="K97" s="124"/>
      <c r="L97" s="124"/>
      <c r="M97" s="21">
        <f>G273*0.009</f>
        <v>3.1134781042406998</v>
      </c>
      <c r="N97" s="22" t="s">
        <v>20</v>
      </c>
      <c r="O97" s="21" t="s">
        <v>20</v>
      </c>
      <c r="P97" s="101">
        <f t="shared" si="2"/>
        <v>3.1134781042406998</v>
      </c>
      <c r="Q97" s="25">
        <f>P97*700/1000</f>
        <v>2.1794346729684899</v>
      </c>
      <c r="R97" s="113" t="s">
        <v>209</v>
      </c>
      <c r="S97" s="113"/>
      <c r="T97" s="113"/>
      <c r="U97" s="113"/>
      <c r="V97" s="83" t="s">
        <v>208</v>
      </c>
      <c r="W97" s="32" t="s">
        <v>104</v>
      </c>
      <c r="X97" t="s">
        <v>207</v>
      </c>
    </row>
    <row r="98" spans="4:40" ht="15" customHeight="1" x14ac:dyDescent="0.25">
      <c r="D98" s="135"/>
      <c r="E98" s="123"/>
      <c r="F98" s="123"/>
      <c r="G98" s="123"/>
      <c r="H98" s="124" t="s">
        <v>71</v>
      </c>
      <c r="I98" s="124"/>
      <c r="J98" s="124"/>
      <c r="K98" s="124"/>
      <c r="L98" s="124"/>
      <c r="M98" s="21">
        <f>(N274+N275)*1000</f>
        <v>361.21417960000002</v>
      </c>
      <c r="N98" s="22" t="s">
        <v>27</v>
      </c>
      <c r="O98" s="21" t="s">
        <v>27</v>
      </c>
      <c r="P98" s="103">
        <f t="shared" si="2"/>
        <v>361.21417960000002</v>
      </c>
      <c r="Q98" s="25">
        <f>P98/1000</f>
        <v>0.36121417960000002</v>
      </c>
      <c r="R98" s="113" t="s">
        <v>225</v>
      </c>
      <c r="S98" s="113"/>
      <c r="T98" s="113"/>
      <c r="U98" s="113"/>
      <c r="V98" s="32" t="s">
        <v>224</v>
      </c>
      <c r="W98" s="32"/>
    </row>
    <row r="99" spans="4:40" ht="15" customHeight="1" x14ac:dyDescent="0.25">
      <c r="D99" s="135"/>
      <c r="E99" s="123"/>
      <c r="F99" s="123"/>
      <c r="G99" s="123"/>
      <c r="H99" s="124" t="s">
        <v>103</v>
      </c>
      <c r="I99" s="124"/>
      <c r="J99" s="124"/>
      <c r="K99" s="124"/>
      <c r="L99" s="124"/>
      <c r="M99" s="23">
        <f>G249</f>
        <v>1187.1118153616001</v>
      </c>
      <c r="N99" s="22" t="s">
        <v>12</v>
      </c>
      <c r="O99" s="21" t="s">
        <v>27</v>
      </c>
      <c r="P99" s="101">
        <f>N249*1000/G249*M99</f>
        <v>866.34600939999996</v>
      </c>
      <c r="Q99" s="28">
        <f>P99/1000</f>
        <v>0.86634600939999995</v>
      </c>
      <c r="R99" s="113" t="s">
        <v>218</v>
      </c>
      <c r="S99" s="113"/>
      <c r="T99" s="113"/>
      <c r="U99" s="113"/>
      <c r="V99" s="83" t="s">
        <v>190</v>
      </c>
      <c r="W99" s="32"/>
      <c r="X99" s="80" t="s">
        <v>183</v>
      </c>
    </row>
    <row r="100" spans="4:40" ht="15" customHeight="1" x14ac:dyDescent="0.25">
      <c r="D100" s="135"/>
      <c r="E100" s="123"/>
      <c r="F100" s="123"/>
      <c r="G100" s="123"/>
      <c r="H100" s="124" t="s">
        <v>108</v>
      </c>
      <c r="I100" s="124"/>
      <c r="J100" s="124"/>
      <c r="K100" s="124"/>
      <c r="L100" s="124"/>
      <c r="M100" s="23">
        <f>N252*1000</f>
        <v>16.755648800000003</v>
      </c>
      <c r="N100" s="22" t="s">
        <v>27</v>
      </c>
      <c r="O100" s="21" t="s">
        <v>27</v>
      </c>
      <c r="P100" s="101">
        <f>M100</f>
        <v>16.755648800000003</v>
      </c>
      <c r="Q100" s="28">
        <f>P100/1000</f>
        <v>1.6755648800000002E-2</v>
      </c>
      <c r="R100" s="113" t="s">
        <v>235</v>
      </c>
      <c r="S100" s="113"/>
      <c r="T100" s="113"/>
      <c r="U100" s="113"/>
      <c r="V100" s="83" t="s">
        <v>234</v>
      </c>
      <c r="W100" s="32"/>
    </row>
    <row r="101" spans="4:40" x14ac:dyDescent="0.25">
      <c r="D101" s="135"/>
      <c r="E101" s="123"/>
      <c r="F101" s="123"/>
      <c r="G101" s="123"/>
      <c r="H101" s="120" t="s">
        <v>173</v>
      </c>
      <c r="I101" s="120"/>
      <c r="J101" s="120"/>
      <c r="K101" s="120"/>
      <c r="L101" s="120"/>
      <c r="M101" s="23">
        <v>348.1</v>
      </c>
      <c r="N101" s="22" t="s">
        <v>12</v>
      </c>
      <c r="O101" s="21" t="s">
        <v>20</v>
      </c>
      <c r="P101" s="101">
        <f>L280*M101</f>
        <v>37.135307999999995</v>
      </c>
      <c r="Q101" s="28">
        <f>P101*2150/1000</f>
        <v>79.840912199999991</v>
      </c>
      <c r="R101" s="110" t="s">
        <v>241</v>
      </c>
      <c r="S101" s="110"/>
      <c r="T101" s="110"/>
      <c r="U101" s="110"/>
      <c r="V101" s="32" t="s">
        <v>240</v>
      </c>
      <c r="W101" s="32" t="s">
        <v>214</v>
      </c>
      <c r="X101" t="s">
        <v>239</v>
      </c>
    </row>
    <row r="102" spans="4:40" x14ac:dyDescent="0.25">
      <c r="D102" s="135"/>
      <c r="E102" s="123"/>
      <c r="F102" s="123"/>
      <c r="G102" s="123"/>
      <c r="H102" s="120"/>
      <c r="I102" s="120"/>
      <c r="J102" s="120"/>
      <c r="K102" s="120"/>
      <c r="L102" s="120"/>
      <c r="M102" s="23">
        <v>348.1</v>
      </c>
      <c r="N102" s="22" t="s">
        <v>12</v>
      </c>
      <c r="O102" s="21" t="s">
        <v>27</v>
      </c>
      <c r="P102" s="105">
        <f>L281*M102</f>
        <v>16357.219000000001</v>
      </c>
      <c r="Q102" s="28">
        <f>P102/1000</f>
        <v>16.357219000000001</v>
      </c>
      <c r="R102" s="110" t="s">
        <v>247</v>
      </c>
      <c r="S102" s="110"/>
      <c r="T102" s="110"/>
      <c r="U102" s="110"/>
      <c r="V102" s="32" t="s">
        <v>246</v>
      </c>
      <c r="W102" s="32"/>
      <c r="X102" t="s">
        <v>238</v>
      </c>
    </row>
    <row r="103" spans="4:40" x14ac:dyDescent="0.25">
      <c r="D103" s="135"/>
      <c r="E103" s="123"/>
      <c r="F103" s="123"/>
      <c r="G103" s="123"/>
      <c r="H103" s="120"/>
      <c r="I103" s="120"/>
      <c r="J103" s="120"/>
      <c r="K103" s="120"/>
      <c r="L103" s="120"/>
      <c r="M103" s="23">
        <v>348.1</v>
      </c>
      <c r="N103" s="22" t="s">
        <v>12</v>
      </c>
      <c r="O103" s="21" t="s">
        <v>27</v>
      </c>
      <c r="P103" s="105">
        <f>L282*M103</f>
        <v>24518.075400000002</v>
      </c>
      <c r="Q103" s="28">
        <f>P103/1000</f>
        <v>24.518075400000001</v>
      </c>
      <c r="R103" s="110" t="s">
        <v>245</v>
      </c>
      <c r="S103" s="110"/>
      <c r="T103" s="110"/>
      <c r="U103" s="110"/>
      <c r="V103" s="32" t="s">
        <v>244</v>
      </c>
      <c r="W103" s="32"/>
      <c r="X103" t="s">
        <v>237</v>
      </c>
    </row>
    <row r="104" spans="4:40" x14ac:dyDescent="0.25">
      <c r="D104" s="135"/>
      <c r="E104" s="123"/>
      <c r="F104" s="123"/>
      <c r="G104" s="123"/>
      <c r="H104" s="120"/>
      <c r="I104" s="120"/>
      <c r="J104" s="120"/>
      <c r="K104" s="120"/>
      <c r="L104" s="120"/>
      <c r="M104" s="23">
        <v>348.1</v>
      </c>
      <c r="N104" s="22" t="s">
        <v>12</v>
      </c>
      <c r="O104" s="21" t="s">
        <v>27</v>
      </c>
      <c r="P104" s="105">
        <f>N283*1000*M104</f>
        <v>852.14879971920368</v>
      </c>
      <c r="Q104" s="28">
        <f>P104/1000</f>
        <v>0.85214879971920365</v>
      </c>
      <c r="R104" s="113" t="s">
        <v>221</v>
      </c>
      <c r="S104" s="113"/>
      <c r="T104" s="113"/>
      <c r="U104" s="113"/>
      <c r="V104" s="32" t="s">
        <v>220</v>
      </c>
      <c r="W104" s="32" t="s">
        <v>214</v>
      </c>
      <c r="X104" t="s">
        <v>219</v>
      </c>
    </row>
    <row r="105" spans="4:40" x14ac:dyDescent="0.25">
      <c r="D105" s="135"/>
      <c r="E105" s="123"/>
      <c r="F105" s="123"/>
      <c r="G105" s="123"/>
      <c r="H105" s="125" t="s">
        <v>147</v>
      </c>
      <c r="I105" s="125"/>
      <c r="J105" s="125"/>
      <c r="K105" s="125"/>
      <c r="L105" s="125"/>
      <c r="M105" s="28">
        <v>348.1</v>
      </c>
      <c r="N105" s="28" t="s">
        <v>12</v>
      </c>
      <c r="O105" s="28" t="s">
        <v>12</v>
      </c>
      <c r="P105" s="106">
        <f>M105</f>
        <v>348.1</v>
      </c>
      <c r="Q105" s="23">
        <f>(N287+N288+N289)*P105</f>
        <v>2.3476212099999998</v>
      </c>
      <c r="R105" s="113" t="s">
        <v>152</v>
      </c>
      <c r="S105" s="113"/>
      <c r="T105" s="113"/>
      <c r="U105" s="113"/>
      <c r="V105" s="32" t="s">
        <v>152</v>
      </c>
      <c r="W105" s="32" t="s">
        <v>158</v>
      </c>
      <c r="X105" s="32" t="s">
        <v>150</v>
      </c>
    </row>
    <row r="106" spans="4:40" x14ac:dyDescent="0.25">
      <c r="D106" s="135"/>
      <c r="E106" s="123"/>
      <c r="F106" s="123"/>
      <c r="G106" s="123"/>
      <c r="H106" s="122" t="s">
        <v>76</v>
      </c>
      <c r="I106" s="122"/>
      <c r="J106" s="122"/>
      <c r="K106" s="122"/>
      <c r="L106" s="122"/>
      <c r="M106" s="26">
        <v>100</v>
      </c>
      <c r="N106" s="27" t="s">
        <v>79</v>
      </c>
      <c r="O106" s="26" t="s">
        <v>80</v>
      </c>
      <c r="P106" s="100">
        <f>M106*P108/1000</f>
        <v>16488.999667170196</v>
      </c>
      <c r="R106" s="110" t="s">
        <v>262</v>
      </c>
      <c r="S106" s="110"/>
      <c r="T106" s="110"/>
      <c r="U106" s="110"/>
      <c r="V106" t="s">
        <v>174</v>
      </c>
      <c r="W106" s="92" t="s">
        <v>175</v>
      </c>
    </row>
    <row r="107" spans="4:40" x14ac:dyDescent="0.25">
      <c r="D107" s="135"/>
      <c r="E107" s="123"/>
      <c r="F107" s="123"/>
      <c r="G107" s="123"/>
      <c r="H107" s="122" t="s">
        <v>77</v>
      </c>
      <c r="I107" s="122"/>
      <c r="J107" s="122"/>
      <c r="K107" s="122"/>
      <c r="L107" s="122"/>
      <c r="M107" s="26">
        <v>30</v>
      </c>
      <c r="N107" s="27" t="s">
        <v>79</v>
      </c>
      <c r="O107" s="26" t="s">
        <v>80</v>
      </c>
      <c r="P107" s="102">
        <f>M107*P108/1000</f>
        <v>4946.6999001510594</v>
      </c>
      <c r="Q107" s="22"/>
      <c r="R107" s="110" t="s">
        <v>262</v>
      </c>
      <c r="S107" s="110"/>
      <c r="T107" s="110"/>
      <c r="U107" s="110"/>
      <c r="V107" t="s">
        <v>174</v>
      </c>
      <c r="W107" s="92" t="s">
        <v>176</v>
      </c>
    </row>
    <row r="108" spans="4:40" x14ac:dyDescent="0.25">
      <c r="D108" s="135"/>
      <c r="E108" s="123"/>
      <c r="F108" s="123"/>
      <c r="G108" s="123"/>
      <c r="H108" s="122" t="s">
        <v>75</v>
      </c>
      <c r="I108" s="122"/>
      <c r="J108" s="122"/>
      <c r="K108" s="122"/>
      <c r="L108" s="122"/>
      <c r="M108" s="21"/>
      <c r="N108" s="22"/>
      <c r="O108" s="26" t="s">
        <v>27</v>
      </c>
      <c r="P108" s="100">
        <f>SUM(Q84:Q105)*1000</f>
        <v>164889.99667170196</v>
      </c>
      <c r="Q108" s="26"/>
      <c r="R108" s="110" t="s">
        <v>81</v>
      </c>
      <c r="S108" s="110"/>
      <c r="T108" s="110"/>
      <c r="U108" s="110"/>
      <c r="V108" t="s">
        <v>177</v>
      </c>
      <c r="W108" s="92" t="s">
        <v>178</v>
      </c>
    </row>
    <row r="109" spans="4:40" x14ac:dyDescent="0.25">
      <c r="D109" s="36" t="s">
        <v>87</v>
      </c>
      <c r="E109" s="14" t="s">
        <v>46</v>
      </c>
      <c r="F109" s="15"/>
      <c r="G109" s="15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19"/>
      <c r="S109" s="119"/>
      <c r="T109" s="119"/>
      <c r="U109" s="119"/>
      <c r="V109" s="13"/>
      <c r="W109" s="98"/>
      <c r="X109" s="13"/>
    </row>
    <row r="110" spans="4:40" ht="15" customHeight="1" x14ac:dyDescent="0.25">
      <c r="D110" s="135" t="s">
        <v>88</v>
      </c>
      <c r="E110" s="123" t="s">
        <v>72</v>
      </c>
      <c r="F110" s="123"/>
      <c r="G110" s="123" t="s">
        <v>98</v>
      </c>
      <c r="H110" s="122" t="s">
        <v>171</v>
      </c>
      <c r="I110" s="122"/>
      <c r="J110" s="122"/>
      <c r="K110" s="122"/>
      <c r="L110" s="122"/>
      <c r="M110" s="111">
        <f>N293*0.5*0.075</f>
        <v>33.365625000000001</v>
      </c>
      <c r="N110" s="112" t="s">
        <v>12</v>
      </c>
      <c r="O110" s="26" t="s">
        <v>27</v>
      </c>
      <c r="P110" s="107">
        <f>N322*1000/2*0.075</f>
        <v>166.60626901124999</v>
      </c>
      <c r="Q110" s="25">
        <f>P110/1000</f>
        <v>0.16660626901125</v>
      </c>
      <c r="R110" s="113" t="s">
        <v>218</v>
      </c>
      <c r="S110" s="113"/>
      <c r="T110" s="113"/>
      <c r="U110" s="113"/>
      <c r="V110" s="83" t="s">
        <v>190</v>
      </c>
      <c r="W110" s="32" t="s">
        <v>182</v>
      </c>
      <c r="X110" t="s">
        <v>198</v>
      </c>
    </row>
    <row r="111" spans="4:40" ht="15" customHeight="1" x14ac:dyDescent="0.25">
      <c r="D111" s="135"/>
      <c r="E111" s="123"/>
      <c r="F111" s="123"/>
      <c r="G111" s="123"/>
      <c r="H111" s="122"/>
      <c r="I111" s="122"/>
      <c r="J111" s="122"/>
      <c r="K111" s="122"/>
      <c r="L111" s="122"/>
      <c r="M111" s="112"/>
      <c r="N111" s="112"/>
      <c r="O111" s="26" t="s">
        <v>27</v>
      </c>
      <c r="P111" s="107">
        <f>N323*1000/2*0.075</f>
        <v>330.77962500000001</v>
      </c>
      <c r="Q111" s="25">
        <f t="shared" ref="Q111:Q117" si="4">P111/1000</f>
        <v>0.33077962500000002</v>
      </c>
      <c r="R111" s="110" t="s">
        <v>195</v>
      </c>
      <c r="S111" s="110"/>
      <c r="T111" s="110"/>
      <c r="U111" s="110"/>
      <c r="V111" s="90" t="s">
        <v>191</v>
      </c>
      <c r="W111" s="92" t="s">
        <v>196</v>
      </c>
      <c r="X111" s="93" t="s">
        <v>192</v>
      </c>
      <c r="Z111" s="94">
        <f>M111/9.3</f>
        <v>0</v>
      </c>
      <c r="AA111" s="90" t="s">
        <v>12</v>
      </c>
      <c r="AB111" s="95">
        <f>1184*0.3048/(3200*(0.3048^2))</f>
        <v>1.2139107611548556</v>
      </c>
      <c r="AC111" s="96" t="s">
        <v>193</v>
      </c>
      <c r="AD111" s="90"/>
      <c r="AE111" s="90">
        <f>77/(3200*(0.3048^2))/0.70297</f>
        <v>0.36844615616893706</v>
      </c>
      <c r="AF111" s="90" t="s">
        <v>194</v>
      </c>
      <c r="AG111" s="90"/>
      <c r="AH111" s="90"/>
      <c r="AI111" s="90"/>
      <c r="AJ111" s="90" t="s">
        <v>197</v>
      </c>
      <c r="AK111" s="90"/>
      <c r="AL111" s="90"/>
      <c r="AM111" s="97">
        <f>AB111*Z111</f>
        <v>0</v>
      </c>
      <c r="AN111" s="97">
        <f>AE111*Z111</f>
        <v>0</v>
      </c>
    </row>
    <row r="112" spans="4:40" ht="15" customHeight="1" x14ac:dyDescent="0.25">
      <c r="D112" s="135"/>
      <c r="E112" s="123"/>
      <c r="F112" s="123"/>
      <c r="G112" s="123"/>
      <c r="H112" s="122"/>
      <c r="I112" s="122"/>
      <c r="J112" s="122"/>
      <c r="K112" s="122"/>
      <c r="L112" s="122"/>
      <c r="M112" s="112"/>
      <c r="N112" s="112"/>
      <c r="O112" s="26" t="s">
        <v>27</v>
      </c>
      <c r="P112" s="107">
        <f>N324*1000/2*0.075</f>
        <v>5.3106299999999989</v>
      </c>
      <c r="Q112" s="25">
        <f t="shared" si="4"/>
        <v>5.3106299999999985E-3</v>
      </c>
      <c r="R112" s="113" t="s">
        <v>235</v>
      </c>
      <c r="S112" s="113"/>
      <c r="T112" s="113"/>
      <c r="U112" s="113"/>
      <c r="V112" s="83" t="s">
        <v>234</v>
      </c>
      <c r="W112" s="32"/>
    </row>
    <row r="113" spans="4:24" ht="15" customHeight="1" x14ac:dyDescent="0.25">
      <c r="D113" s="135"/>
      <c r="E113" s="123"/>
      <c r="F113" s="123"/>
      <c r="G113" s="123"/>
      <c r="H113" s="122"/>
      <c r="I113" s="122"/>
      <c r="J113" s="122"/>
      <c r="K113" s="122"/>
      <c r="L113" s="122"/>
      <c r="M113" s="112"/>
      <c r="N113" s="112"/>
      <c r="O113" s="26" t="s">
        <v>27</v>
      </c>
      <c r="P113" s="107">
        <f>N326*1000/2*0.075</f>
        <v>12.336896868749998</v>
      </c>
      <c r="Q113" s="25">
        <f t="shared" si="4"/>
        <v>1.2336896868749997E-2</v>
      </c>
      <c r="R113" s="110" t="s">
        <v>242</v>
      </c>
      <c r="S113" s="110"/>
      <c r="T113" s="110"/>
      <c r="U113" s="110"/>
      <c r="V113" s="32" t="s">
        <v>212</v>
      </c>
      <c r="W113" s="32"/>
      <c r="X113" t="s">
        <v>243</v>
      </c>
    </row>
    <row r="114" spans="4:24" ht="15" customHeight="1" x14ac:dyDescent="0.25">
      <c r="D114" s="135"/>
      <c r="E114" s="123"/>
      <c r="F114" s="123"/>
      <c r="G114" s="123"/>
      <c r="H114" s="122"/>
      <c r="I114" s="122"/>
      <c r="J114" s="122"/>
      <c r="K114" s="122"/>
      <c r="L114" s="122"/>
      <c r="M114" s="112"/>
      <c r="N114" s="112"/>
      <c r="O114" s="26" t="s">
        <v>27</v>
      </c>
      <c r="P114" s="107">
        <f>N327*1000/2*0.075</f>
        <v>931.40459170874988</v>
      </c>
      <c r="Q114" s="25">
        <f t="shared" si="4"/>
        <v>0.9314045917087499</v>
      </c>
      <c r="R114" s="110" t="s">
        <v>250</v>
      </c>
      <c r="S114" s="110"/>
      <c r="T114" s="110"/>
      <c r="U114" s="110"/>
      <c r="V114" s="32" t="s">
        <v>249</v>
      </c>
      <c r="W114" s="32"/>
      <c r="X114" t="s">
        <v>248</v>
      </c>
    </row>
    <row r="115" spans="4:24" ht="15" customHeight="1" x14ac:dyDescent="0.25">
      <c r="D115" s="135"/>
      <c r="E115" s="123"/>
      <c r="F115" s="123"/>
      <c r="G115" s="123"/>
      <c r="H115" s="122"/>
      <c r="I115" s="122"/>
      <c r="J115" s="122"/>
      <c r="K115" s="122"/>
      <c r="L115" s="122"/>
      <c r="M115" s="112"/>
      <c r="N115" s="112"/>
      <c r="O115" s="26" t="s">
        <v>27</v>
      </c>
      <c r="P115" s="107">
        <f>N328*1000/2*0.075</f>
        <v>17.188124999999999</v>
      </c>
      <c r="Q115" s="25">
        <f t="shared" si="4"/>
        <v>1.7188124999999999E-2</v>
      </c>
      <c r="R115" s="110" t="s">
        <v>32</v>
      </c>
      <c r="S115" s="110"/>
      <c r="T115" s="110"/>
      <c r="U115" s="110"/>
      <c r="V115" s="83" t="s">
        <v>187</v>
      </c>
      <c r="W115" s="32"/>
      <c r="X115" s="32" t="s">
        <v>179</v>
      </c>
    </row>
    <row r="116" spans="4:24" ht="15" customHeight="1" x14ac:dyDescent="0.25">
      <c r="D116" s="135"/>
      <c r="E116" s="123"/>
      <c r="F116" s="123"/>
      <c r="G116" s="123"/>
      <c r="H116" s="122"/>
      <c r="I116" s="122"/>
      <c r="J116" s="122"/>
      <c r="K116" s="122"/>
      <c r="L116" s="122"/>
      <c r="M116" s="112"/>
      <c r="N116" s="112"/>
      <c r="O116" s="26" t="s">
        <v>27</v>
      </c>
      <c r="P116" s="107">
        <f>N329*1000/2*0.075</f>
        <v>235.79155368375001</v>
      </c>
      <c r="Q116" s="25">
        <f t="shared" si="4"/>
        <v>0.23579155368375002</v>
      </c>
      <c r="R116" s="110" t="s">
        <v>253</v>
      </c>
      <c r="S116" s="110"/>
      <c r="T116" s="110"/>
      <c r="U116" s="110"/>
      <c r="V116" s="32" t="s">
        <v>252</v>
      </c>
      <c r="W116" s="32"/>
      <c r="X116" t="s">
        <v>251</v>
      </c>
    </row>
    <row r="117" spans="4:24" ht="15" customHeight="1" x14ac:dyDescent="0.25">
      <c r="D117" s="135"/>
      <c r="E117" s="123"/>
      <c r="F117" s="123"/>
      <c r="G117" s="123"/>
      <c r="H117" s="122"/>
      <c r="I117" s="122"/>
      <c r="J117" s="122"/>
      <c r="K117" s="122"/>
      <c r="L117" s="122"/>
      <c r="M117" s="112"/>
      <c r="N117" s="112"/>
      <c r="O117" s="26" t="s">
        <v>27</v>
      </c>
      <c r="P117" s="107">
        <f>N331*1000/2*0.075</f>
        <v>370.48405546124997</v>
      </c>
      <c r="Q117" s="25">
        <f t="shared" si="4"/>
        <v>0.37048405546124996</v>
      </c>
      <c r="R117" s="110" t="s">
        <v>185</v>
      </c>
      <c r="S117" s="110"/>
      <c r="T117" s="110"/>
      <c r="U117" s="110"/>
      <c r="V117" s="32" t="s">
        <v>186</v>
      </c>
      <c r="W117" s="32"/>
      <c r="X117" s="80" t="s">
        <v>184</v>
      </c>
    </row>
    <row r="118" spans="4:24" x14ac:dyDescent="0.25">
      <c r="D118" s="135"/>
      <c r="E118" s="123"/>
      <c r="F118" s="123"/>
      <c r="G118" s="123"/>
      <c r="H118" s="122" t="s">
        <v>172</v>
      </c>
      <c r="I118" s="122"/>
      <c r="J118" s="122"/>
      <c r="K118" s="122"/>
      <c r="L118" s="122"/>
      <c r="M118" s="111">
        <f>N293*0.5*0.075</f>
        <v>33.365625000000001</v>
      </c>
      <c r="N118" s="112" t="s">
        <v>12</v>
      </c>
      <c r="O118" s="26" t="s">
        <v>27</v>
      </c>
      <c r="P118" s="107">
        <f>N336*1000/2*0.075</f>
        <v>166.60626901124999</v>
      </c>
      <c r="Q118" s="25">
        <f>P118/1000</f>
        <v>0.16660626901125</v>
      </c>
      <c r="R118" s="113" t="s">
        <v>218</v>
      </c>
      <c r="S118" s="113"/>
      <c r="T118" s="113"/>
      <c r="U118" s="113"/>
      <c r="V118" s="83" t="s">
        <v>190</v>
      </c>
      <c r="W118" s="32" t="s">
        <v>182</v>
      </c>
      <c r="X118" t="s">
        <v>198</v>
      </c>
    </row>
    <row r="119" spans="4:24" x14ac:dyDescent="0.25">
      <c r="D119" s="135"/>
      <c r="E119" s="123"/>
      <c r="F119" s="123"/>
      <c r="G119" s="123"/>
      <c r="H119" s="122"/>
      <c r="I119" s="122"/>
      <c r="J119" s="122"/>
      <c r="K119" s="122"/>
      <c r="L119" s="122"/>
      <c r="M119" s="112"/>
      <c r="N119" s="112"/>
      <c r="O119" s="26" t="s">
        <v>27</v>
      </c>
      <c r="P119" s="107">
        <f>N337*1000/2*0.075</f>
        <v>2213.2894736849998</v>
      </c>
      <c r="Q119" s="25">
        <f t="shared" ref="Q119:Q124" si="5">P119/1000</f>
        <v>2.2132894736849997</v>
      </c>
      <c r="R119" s="110" t="s">
        <v>263</v>
      </c>
      <c r="S119" s="110"/>
      <c r="T119" s="110"/>
      <c r="U119" s="110"/>
      <c r="V119" s="32" t="s">
        <v>199</v>
      </c>
      <c r="W119" s="32"/>
    </row>
    <row r="120" spans="4:24" x14ac:dyDescent="0.25">
      <c r="D120" s="135"/>
      <c r="E120" s="123"/>
      <c r="F120" s="123"/>
      <c r="G120" s="123"/>
      <c r="H120" s="122"/>
      <c r="I120" s="122"/>
      <c r="J120" s="122"/>
      <c r="K120" s="122"/>
      <c r="L120" s="122"/>
      <c r="M120" s="112"/>
      <c r="N120" s="112"/>
      <c r="O120" s="26" t="s">
        <v>27</v>
      </c>
      <c r="P120" s="107">
        <f>N339*1000/2*0.075</f>
        <v>39.768336026249997</v>
      </c>
      <c r="Q120" s="25">
        <f t="shared" si="5"/>
        <v>3.9768336026249997E-2</v>
      </c>
      <c r="R120" s="110" t="s">
        <v>242</v>
      </c>
      <c r="S120" s="110"/>
      <c r="T120" s="110"/>
      <c r="U120" s="110"/>
      <c r="V120" s="32" t="s">
        <v>212</v>
      </c>
      <c r="W120" s="32"/>
      <c r="X120" t="s">
        <v>243</v>
      </c>
    </row>
    <row r="121" spans="4:24" x14ac:dyDescent="0.25">
      <c r="D121" s="135"/>
      <c r="E121" s="123"/>
      <c r="F121" s="123"/>
      <c r="G121" s="123"/>
      <c r="H121" s="122"/>
      <c r="I121" s="122"/>
      <c r="J121" s="122"/>
      <c r="K121" s="122"/>
      <c r="L121" s="122"/>
      <c r="M121" s="112"/>
      <c r="N121" s="112"/>
      <c r="O121" s="26" t="s">
        <v>27</v>
      </c>
      <c r="P121" s="107">
        <f>N340*1000/2*0.075</f>
        <v>17.188124999999999</v>
      </c>
      <c r="Q121" s="25">
        <f t="shared" si="5"/>
        <v>1.7188124999999999E-2</v>
      </c>
      <c r="R121" s="110" t="s">
        <v>32</v>
      </c>
      <c r="S121" s="110"/>
      <c r="T121" s="110"/>
      <c r="U121" s="110"/>
      <c r="V121" s="83" t="s">
        <v>187</v>
      </c>
      <c r="W121" s="32"/>
      <c r="X121" s="32" t="s">
        <v>179</v>
      </c>
    </row>
    <row r="122" spans="4:24" x14ac:dyDescent="0.25">
      <c r="D122" s="135"/>
      <c r="E122" s="123"/>
      <c r="F122" s="123"/>
      <c r="G122" s="123"/>
      <c r="H122" s="122"/>
      <c r="I122" s="122"/>
      <c r="J122" s="122"/>
      <c r="K122" s="122"/>
      <c r="L122" s="122"/>
      <c r="M122" s="112"/>
      <c r="N122" s="112"/>
      <c r="O122" s="26" t="s">
        <v>27</v>
      </c>
      <c r="P122" s="107">
        <f>N341*1000/2*0.075</f>
        <v>235.79155368375001</v>
      </c>
      <c r="Q122" s="25">
        <f t="shared" si="5"/>
        <v>0.23579155368375002</v>
      </c>
      <c r="R122" s="110" t="s">
        <v>253</v>
      </c>
      <c r="S122" s="110"/>
      <c r="T122" s="110"/>
      <c r="U122" s="110"/>
      <c r="V122" t="s">
        <v>252</v>
      </c>
      <c r="W122" s="32"/>
      <c r="X122" t="s">
        <v>251</v>
      </c>
    </row>
    <row r="123" spans="4:24" x14ac:dyDescent="0.25">
      <c r="D123" s="135"/>
      <c r="E123" s="123"/>
      <c r="F123" s="123"/>
      <c r="G123" s="123"/>
      <c r="H123" s="122"/>
      <c r="I123" s="122"/>
      <c r="J123" s="122"/>
      <c r="K123" s="122"/>
      <c r="L123" s="122"/>
      <c r="M123" s="112"/>
      <c r="N123" s="112"/>
      <c r="O123" s="26" t="s">
        <v>27</v>
      </c>
      <c r="P123" s="107">
        <f>N343*1000/2*0.075</f>
        <v>673.60737352125</v>
      </c>
      <c r="Q123" s="25">
        <f t="shared" si="5"/>
        <v>0.67360737352125</v>
      </c>
      <c r="R123" s="110" t="s">
        <v>185</v>
      </c>
      <c r="S123" s="110"/>
      <c r="T123" s="110"/>
      <c r="U123" s="110"/>
      <c r="V123" s="32" t="s">
        <v>186</v>
      </c>
      <c r="W123" s="32"/>
      <c r="X123" s="80" t="s">
        <v>184</v>
      </c>
    </row>
    <row r="124" spans="4:24" x14ac:dyDescent="0.25">
      <c r="D124" s="135"/>
      <c r="E124" s="123"/>
      <c r="F124" s="123"/>
      <c r="G124" s="123"/>
      <c r="H124" s="122"/>
      <c r="I124" s="122"/>
      <c r="J124" s="122"/>
      <c r="K124" s="122"/>
      <c r="L124" s="122"/>
      <c r="M124" s="112"/>
      <c r="N124" s="112"/>
      <c r="O124" s="26" t="s">
        <v>27</v>
      </c>
      <c r="P124" s="107">
        <f>N344*1000/2*0.075</f>
        <v>239.83438944</v>
      </c>
      <c r="Q124" s="25">
        <f t="shared" si="5"/>
        <v>0.23983438943999999</v>
      </c>
      <c r="R124" s="110" t="s">
        <v>256</v>
      </c>
      <c r="S124" s="110"/>
      <c r="T124" s="110"/>
      <c r="U124" s="110"/>
      <c r="V124" s="32" t="s">
        <v>255</v>
      </c>
      <c r="W124" s="32"/>
      <c r="X124" s="80" t="s">
        <v>254</v>
      </c>
    </row>
    <row r="125" spans="4:24" x14ac:dyDescent="0.25">
      <c r="D125" s="135"/>
      <c r="E125" s="123"/>
      <c r="F125" s="123"/>
      <c r="G125" s="123"/>
      <c r="H125" s="122" t="s">
        <v>76</v>
      </c>
      <c r="I125" s="122"/>
      <c r="J125" s="122"/>
      <c r="K125" s="122"/>
      <c r="L125" s="122"/>
      <c r="M125" s="26">
        <v>100</v>
      </c>
      <c r="N125" s="27" t="s">
        <v>79</v>
      </c>
      <c r="O125" s="26" t="s">
        <v>80</v>
      </c>
      <c r="P125" s="100">
        <f>M125*P127/1000</f>
        <v>565.59872671012488</v>
      </c>
      <c r="R125" s="110" t="s">
        <v>262</v>
      </c>
      <c r="S125" s="110"/>
      <c r="T125" s="110"/>
      <c r="U125" s="110"/>
      <c r="V125" t="s">
        <v>174</v>
      </c>
      <c r="W125" s="92" t="s">
        <v>175</v>
      </c>
    </row>
    <row r="126" spans="4:24" x14ac:dyDescent="0.25">
      <c r="D126" s="135"/>
      <c r="E126" s="123"/>
      <c r="F126" s="123"/>
      <c r="G126" s="123"/>
      <c r="H126" s="122" t="s">
        <v>77</v>
      </c>
      <c r="I126" s="122"/>
      <c r="J126" s="122"/>
      <c r="K126" s="122"/>
      <c r="L126" s="122"/>
      <c r="M126" s="26">
        <v>30</v>
      </c>
      <c r="N126" s="27" t="s">
        <v>79</v>
      </c>
      <c r="O126" s="26" t="s">
        <v>80</v>
      </c>
      <c r="P126" s="102">
        <f>M126*P127/1000</f>
        <v>169.6796180130375</v>
      </c>
      <c r="R126" s="110" t="s">
        <v>262</v>
      </c>
      <c r="S126" s="110"/>
      <c r="T126" s="110"/>
      <c r="U126" s="110"/>
      <c r="V126" t="s">
        <v>174</v>
      </c>
      <c r="W126" s="92" t="s">
        <v>176</v>
      </c>
    </row>
    <row r="127" spans="4:24" x14ac:dyDescent="0.25">
      <c r="D127" s="135"/>
      <c r="E127" s="123"/>
      <c r="F127" s="123"/>
      <c r="G127" s="123"/>
      <c r="H127" s="122" t="s">
        <v>75</v>
      </c>
      <c r="I127" s="122"/>
      <c r="J127" s="122"/>
      <c r="K127" s="122"/>
      <c r="L127" s="122"/>
      <c r="M127" s="21"/>
      <c r="N127" s="22"/>
      <c r="O127" s="26" t="s">
        <v>27</v>
      </c>
      <c r="P127" s="100">
        <f>SUM(Q110:Q124)*1000</f>
        <v>5655.987267101249</v>
      </c>
      <c r="R127" s="110" t="s">
        <v>81</v>
      </c>
      <c r="S127" s="110"/>
      <c r="T127" s="110"/>
      <c r="U127" s="110"/>
      <c r="V127" t="s">
        <v>177</v>
      </c>
      <c r="W127" s="92" t="s">
        <v>178</v>
      </c>
    </row>
    <row r="128" spans="4:24" x14ac:dyDescent="0.25">
      <c r="D128" s="135"/>
      <c r="E128" s="14" t="s">
        <v>47</v>
      </c>
      <c r="F128" s="12"/>
      <c r="G128" s="12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98"/>
      <c r="X128" s="12"/>
    </row>
    <row r="129" spans="4:40" ht="15" customHeight="1" x14ac:dyDescent="0.25">
      <c r="D129" s="135"/>
      <c r="E129" s="123" t="s">
        <v>170</v>
      </c>
      <c r="F129" s="123"/>
      <c r="G129" s="123" t="s">
        <v>99</v>
      </c>
      <c r="H129" s="122" t="s">
        <v>171</v>
      </c>
      <c r="I129" s="122"/>
      <c r="J129" s="122"/>
      <c r="K129" s="122"/>
      <c r="L129" s="122"/>
      <c r="M129" s="111">
        <f>N293*0.5*0.325</f>
        <v>144.58437499999999</v>
      </c>
      <c r="N129" s="112" t="s">
        <v>12</v>
      </c>
      <c r="O129" s="26" t="s">
        <v>27</v>
      </c>
      <c r="P129" s="107">
        <f>N322*1000/2*0.325</f>
        <v>721.96049904874997</v>
      </c>
      <c r="Q129" s="25">
        <f>P129/1000</f>
        <v>0.72196049904874993</v>
      </c>
      <c r="R129" s="113" t="s">
        <v>218</v>
      </c>
      <c r="S129" s="113"/>
      <c r="T129" s="113"/>
      <c r="U129" s="113"/>
      <c r="V129" s="83" t="s">
        <v>190</v>
      </c>
      <c r="W129" s="32" t="s">
        <v>182</v>
      </c>
      <c r="X129" t="s">
        <v>198</v>
      </c>
    </row>
    <row r="130" spans="4:40" ht="15" customHeight="1" x14ac:dyDescent="0.25">
      <c r="D130" s="135"/>
      <c r="E130" s="123"/>
      <c r="F130" s="123"/>
      <c r="G130" s="123"/>
      <c r="H130" s="122"/>
      <c r="I130" s="122"/>
      <c r="J130" s="122"/>
      <c r="K130" s="122"/>
      <c r="L130" s="122"/>
      <c r="M130" s="111"/>
      <c r="N130" s="112"/>
      <c r="O130" s="26" t="s">
        <v>27</v>
      </c>
      <c r="P130" s="107">
        <f>N323*1000/2*0.325</f>
        <v>1433.3783750000002</v>
      </c>
      <c r="Q130" s="25">
        <f t="shared" ref="Q130:Q143" si="6">P130/1000</f>
        <v>1.4333783750000002</v>
      </c>
      <c r="R130" s="110" t="s">
        <v>195</v>
      </c>
      <c r="S130" s="110"/>
      <c r="T130" s="110"/>
      <c r="U130" s="110"/>
      <c r="V130" s="90" t="s">
        <v>191</v>
      </c>
      <c r="W130" s="92" t="s">
        <v>196</v>
      </c>
      <c r="X130" s="93" t="s">
        <v>192</v>
      </c>
      <c r="Z130" s="94">
        <f>M130/9.3</f>
        <v>0</v>
      </c>
      <c r="AA130" s="90" t="s">
        <v>12</v>
      </c>
      <c r="AB130" s="95">
        <f>1184*0.3048/(3200*(0.3048^2))</f>
        <v>1.2139107611548556</v>
      </c>
      <c r="AC130" s="96" t="s">
        <v>193</v>
      </c>
      <c r="AD130" s="90"/>
      <c r="AE130" s="90">
        <f>77/(3200*(0.3048^2))/0.70297</f>
        <v>0.36844615616893706</v>
      </c>
      <c r="AF130" s="90" t="s">
        <v>194</v>
      </c>
      <c r="AG130" s="90"/>
      <c r="AH130" s="90"/>
      <c r="AI130" s="90"/>
      <c r="AJ130" s="90" t="s">
        <v>197</v>
      </c>
      <c r="AK130" s="90"/>
      <c r="AL130" s="90"/>
      <c r="AM130" s="97">
        <f>AB130*Z130</f>
        <v>0</v>
      </c>
      <c r="AN130" s="97">
        <f>AE130*Z130</f>
        <v>0</v>
      </c>
    </row>
    <row r="131" spans="4:40" ht="15" customHeight="1" x14ac:dyDescent="0.25">
      <c r="D131" s="135"/>
      <c r="E131" s="123"/>
      <c r="F131" s="123"/>
      <c r="G131" s="123"/>
      <c r="H131" s="122"/>
      <c r="I131" s="122"/>
      <c r="J131" s="122"/>
      <c r="K131" s="122"/>
      <c r="L131" s="122"/>
      <c r="M131" s="111"/>
      <c r="N131" s="112"/>
      <c r="O131" s="26" t="s">
        <v>27</v>
      </c>
      <c r="P131" s="107">
        <f>N324*1000/2*0.325</f>
        <v>23.012729999999998</v>
      </c>
      <c r="Q131" s="25">
        <f t="shared" si="6"/>
        <v>2.3012729999999999E-2</v>
      </c>
      <c r="R131" s="113" t="s">
        <v>235</v>
      </c>
      <c r="S131" s="113"/>
      <c r="T131" s="113"/>
      <c r="U131" s="113"/>
      <c r="V131" s="83" t="s">
        <v>234</v>
      </c>
      <c r="W131" s="32"/>
    </row>
    <row r="132" spans="4:40" ht="15" customHeight="1" x14ac:dyDescent="0.25">
      <c r="D132" s="135"/>
      <c r="E132" s="123"/>
      <c r="F132" s="123"/>
      <c r="G132" s="123"/>
      <c r="H132" s="122"/>
      <c r="I132" s="122"/>
      <c r="J132" s="122"/>
      <c r="K132" s="122"/>
      <c r="L132" s="122"/>
      <c r="M132" s="111"/>
      <c r="N132" s="112"/>
      <c r="O132" s="26" t="s">
        <v>27</v>
      </c>
      <c r="P132" s="107">
        <f>N326*1000/2*0.325</f>
        <v>53.459886431249998</v>
      </c>
      <c r="Q132" s="25">
        <f t="shared" si="6"/>
        <v>5.3459886431249999E-2</v>
      </c>
      <c r="R132" s="110" t="s">
        <v>242</v>
      </c>
      <c r="S132" s="110"/>
      <c r="T132" s="110"/>
      <c r="U132" s="110"/>
      <c r="V132" s="32" t="s">
        <v>212</v>
      </c>
      <c r="W132" s="32"/>
      <c r="X132" t="s">
        <v>243</v>
      </c>
    </row>
    <row r="133" spans="4:40" ht="15" customHeight="1" x14ac:dyDescent="0.25">
      <c r="D133" s="135"/>
      <c r="E133" s="123"/>
      <c r="F133" s="123"/>
      <c r="G133" s="123"/>
      <c r="H133" s="122"/>
      <c r="I133" s="122"/>
      <c r="J133" s="122"/>
      <c r="K133" s="122"/>
      <c r="L133" s="122"/>
      <c r="M133" s="111"/>
      <c r="N133" s="112"/>
      <c r="O133" s="26" t="s">
        <v>27</v>
      </c>
      <c r="P133" s="107">
        <f>N327*1000/2*0.325</f>
        <v>4036.08656407125</v>
      </c>
      <c r="Q133" s="25">
        <f t="shared" si="6"/>
        <v>4.0360865640712502</v>
      </c>
      <c r="R133" s="110" t="s">
        <v>250</v>
      </c>
      <c r="S133" s="110"/>
      <c r="T133" s="110"/>
      <c r="U133" s="110"/>
      <c r="V133" s="32" t="s">
        <v>249</v>
      </c>
      <c r="W133" s="32"/>
      <c r="X133" t="s">
        <v>248</v>
      </c>
    </row>
    <row r="134" spans="4:40" ht="15" customHeight="1" x14ac:dyDescent="0.25">
      <c r="D134" s="135"/>
      <c r="E134" s="123"/>
      <c r="F134" s="123"/>
      <c r="G134" s="123"/>
      <c r="H134" s="122"/>
      <c r="I134" s="122"/>
      <c r="J134" s="122"/>
      <c r="K134" s="122"/>
      <c r="L134" s="122"/>
      <c r="M134" s="111"/>
      <c r="N134" s="112"/>
      <c r="O134" s="26" t="s">
        <v>27</v>
      </c>
      <c r="P134" s="107">
        <f>N328*1000/2*0.325</f>
        <v>74.481875000000002</v>
      </c>
      <c r="Q134" s="25">
        <f t="shared" si="6"/>
        <v>7.4481875000000003E-2</v>
      </c>
      <c r="R134" s="110" t="s">
        <v>32</v>
      </c>
      <c r="S134" s="110"/>
      <c r="T134" s="110"/>
      <c r="U134" s="110"/>
      <c r="V134" s="83" t="s">
        <v>187</v>
      </c>
      <c r="W134" s="32"/>
      <c r="X134" s="32" t="s">
        <v>179</v>
      </c>
    </row>
    <row r="135" spans="4:40" ht="15" customHeight="1" x14ac:dyDescent="0.25">
      <c r="D135" s="135"/>
      <c r="E135" s="123"/>
      <c r="F135" s="123"/>
      <c r="G135" s="123"/>
      <c r="H135" s="122"/>
      <c r="I135" s="122"/>
      <c r="J135" s="122"/>
      <c r="K135" s="122"/>
      <c r="L135" s="122"/>
      <c r="M135" s="111"/>
      <c r="N135" s="112"/>
      <c r="O135" s="26" t="s">
        <v>27</v>
      </c>
      <c r="P135" s="107">
        <f>N329*1000/2*0.325</f>
        <v>1021.7633992962501</v>
      </c>
      <c r="Q135" s="25">
        <f t="shared" si="6"/>
        <v>1.02176339929625</v>
      </c>
      <c r="R135" s="110" t="s">
        <v>253</v>
      </c>
      <c r="S135" s="110"/>
      <c r="T135" s="110"/>
      <c r="U135" s="110"/>
      <c r="V135" t="s">
        <v>252</v>
      </c>
      <c r="W135" s="32"/>
      <c r="X135" t="s">
        <v>251</v>
      </c>
    </row>
    <row r="136" spans="4:40" ht="15" customHeight="1" x14ac:dyDescent="0.25">
      <c r="D136" s="135"/>
      <c r="E136" s="123"/>
      <c r="F136" s="123"/>
      <c r="G136" s="123"/>
      <c r="H136" s="122"/>
      <c r="I136" s="122"/>
      <c r="J136" s="122"/>
      <c r="K136" s="122"/>
      <c r="L136" s="122"/>
      <c r="M136" s="111"/>
      <c r="N136" s="112"/>
      <c r="O136" s="26" t="s">
        <v>27</v>
      </c>
      <c r="P136" s="107">
        <f>N330*1000/2*0.325</f>
        <v>1414.1888068750002</v>
      </c>
      <c r="Q136" s="25">
        <f t="shared" si="6"/>
        <v>1.4141888068750001</v>
      </c>
      <c r="R136" s="110" t="s">
        <v>185</v>
      </c>
      <c r="S136" s="110"/>
      <c r="T136" s="110"/>
      <c r="U136" s="110"/>
      <c r="V136" s="32" t="s">
        <v>186</v>
      </c>
      <c r="W136" s="32"/>
      <c r="X136" s="80" t="s">
        <v>184</v>
      </c>
    </row>
    <row r="137" spans="4:40" x14ac:dyDescent="0.25">
      <c r="D137" s="135"/>
      <c r="E137" s="123"/>
      <c r="F137" s="123"/>
      <c r="G137" s="123"/>
      <c r="H137" s="122" t="s">
        <v>172</v>
      </c>
      <c r="I137" s="122"/>
      <c r="J137" s="122"/>
      <c r="K137" s="122"/>
      <c r="L137" s="122"/>
      <c r="M137" s="111">
        <f>N293*0.5*0.325</f>
        <v>144.58437499999999</v>
      </c>
      <c r="N137" s="112" t="s">
        <v>12</v>
      </c>
      <c r="O137" s="26" t="s">
        <v>27</v>
      </c>
      <c r="P137" s="107">
        <f>N336*1000/2*0.325</f>
        <v>721.96049904874997</v>
      </c>
      <c r="Q137" s="25">
        <f t="shared" si="6"/>
        <v>0.72196049904874993</v>
      </c>
      <c r="R137" s="113" t="s">
        <v>218</v>
      </c>
      <c r="S137" s="113"/>
      <c r="T137" s="113"/>
      <c r="U137" s="113"/>
      <c r="V137" s="83" t="s">
        <v>190</v>
      </c>
      <c r="W137" s="32" t="s">
        <v>182</v>
      </c>
      <c r="X137" t="s">
        <v>198</v>
      </c>
    </row>
    <row r="138" spans="4:40" x14ac:dyDescent="0.25">
      <c r="D138" s="135"/>
      <c r="E138" s="123"/>
      <c r="F138" s="123"/>
      <c r="G138" s="123"/>
      <c r="H138" s="122"/>
      <c r="I138" s="122"/>
      <c r="J138" s="122"/>
      <c r="K138" s="122"/>
      <c r="L138" s="122"/>
      <c r="M138" s="111"/>
      <c r="N138" s="112"/>
      <c r="O138" s="26" t="s">
        <v>27</v>
      </c>
      <c r="P138" s="107">
        <f t="shared" ref="P138" si="7">N337*1000/2*0.325</f>
        <v>9590.9210526350016</v>
      </c>
      <c r="Q138" s="25">
        <f t="shared" si="6"/>
        <v>9.5909210526350019</v>
      </c>
      <c r="R138" s="110" t="s">
        <v>263</v>
      </c>
      <c r="S138" s="110"/>
      <c r="T138" s="110"/>
      <c r="U138" s="110"/>
      <c r="V138" s="32" t="s">
        <v>199</v>
      </c>
      <c r="W138" s="32"/>
    </row>
    <row r="139" spans="4:40" x14ac:dyDescent="0.25">
      <c r="D139" s="135"/>
      <c r="E139" s="123"/>
      <c r="F139" s="123"/>
      <c r="G139" s="123"/>
      <c r="H139" s="122"/>
      <c r="I139" s="122"/>
      <c r="J139" s="122"/>
      <c r="K139" s="122"/>
      <c r="L139" s="122"/>
      <c r="M139" s="111"/>
      <c r="N139" s="112"/>
      <c r="O139" s="26" t="s">
        <v>27</v>
      </c>
      <c r="P139" s="107">
        <f>N339*1000/2*0.325</f>
        <v>172.32945611375001</v>
      </c>
      <c r="Q139" s="25">
        <f t="shared" si="6"/>
        <v>0.17232945611375</v>
      </c>
      <c r="R139" s="110" t="s">
        <v>242</v>
      </c>
      <c r="S139" s="110"/>
      <c r="T139" s="110"/>
      <c r="U139" s="110"/>
      <c r="V139" s="32" t="s">
        <v>212</v>
      </c>
      <c r="W139" s="32"/>
      <c r="X139" t="s">
        <v>243</v>
      </c>
    </row>
    <row r="140" spans="4:40" x14ac:dyDescent="0.25">
      <c r="D140" s="135"/>
      <c r="E140" s="123"/>
      <c r="F140" s="123"/>
      <c r="G140" s="123"/>
      <c r="H140" s="122"/>
      <c r="I140" s="122"/>
      <c r="J140" s="122"/>
      <c r="K140" s="122"/>
      <c r="L140" s="122"/>
      <c r="M140" s="111"/>
      <c r="N140" s="112"/>
      <c r="O140" s="26" t="s">
        <v>27</v>
      </c>
      <c r="P140" s="107">
        <f t="shared" ref="P140:P141" si="8">N340*1000/2*0.325</f>
        <v>74.481875000000002</v>
      </c>
      <c r="Q140" s="25">
        <f t="shared" si="6"/>
        <v>7.4481875000000003E-2</v>
      </c>
      <c r="R140" s="110" t="s">
        <v>32</v>
      </c>
      <c r="S140" s="110"/>
      <c r="T140" s="110"/>
      <c r="U140" s="110"/>
      <c r="V140" s="83" t="s">
        <v>187</v>
      </c>
      <c r="W140" s="32"/>
      <c r="X140" s="32" t="s">
        <v>179</v>
      </c>
    </row>
    <row r="141" spans="4:40" x14ac:dyDescent="0.25">
      <c r="D141" s="135"/>
      <c r="E141" s="123"/>
      <c r="F141" s="123"/>
      <c r="G141" s="123"/>
      <c r="H141" s="122"/>
      <c r="I141" s="122"/>
      <c r="J141" s="122"/>
      <c r="K141" s="122"/>
      <c r="L141" s="122"/>
      <c r="M141" s="111"/>
      <c r="N141" s="112"/>
      <c r="O141" s="26" t="s">
        <v>27</v>
      </c>
      <c r="P141" s="107">
        <f t="shared" si="8"/>
        <v>1021.7633992962501</v>
      </c>
      <c r="Q141" s="25">
        <f t="shared" si="6"/>
        <v>1.02176339929625</v>
      </c>
      <c r="R141" s="110" t="s">
        <v>253</v>
      </c>
      <c r="S141" s="110"/>
      <c r="T141" s="110"/>
      <c r="U141" s="110"/>
      <c r="V141" t="s">
        <v>252</v>
      </c>
      <c r="W141" s="32"/>
      <c r="X141" t="s">
        <v>251</v>
      </c>
    </row>
    <row r="142" spans="4:40" x14ac:dyDescent="0.25">
      <c r="D142" s="135"/>
      <c r="E142" s="123"/>
      <c r="F142" s="123"/>
      <c r="G142" s="123"/>
      <c r="H142" s="122"/>
      <c r="I142" s="122"/>
      <c r="J142" s="122"/>
      <c r="K142" s="122"/>
      <c r="L142" s="122"/>
      <c r="M142" s="111"/>
      <c r="N142" s="112"/>
      <c r="O142" s="26" t="s">
        <v>27</v>
      </c>
      <c r="P142" s="107">
        <f>N343*1000/2*0.325</f>
        <v>2918.9652852587506</v>
      </c>
      <c r="Q142" s="25">
        <f t="shared" si="6"/>
        <v>2.9189652852587504</v>
      </c>
      <c r="R142" s="110" t="s">
        <v>185</v>
      </c>
      <c r="S142" s="110"/>
      <c r="T142" s="110"/>
      <c r="U142" s="110"/>
      <c r="V142" s="32" t="s">
        <v>186</v>
      </c>
      <c r="W142" s="32"/>
      <c r="X142" s="80" t="s">
        <v>184</v>
      </c>
    </row>
    <row r="143" spans="4:40" x14ac:dyDescent="0.25">
      <c r="D143" s="135"/>
      <c r="E143" s="123"/>
      <c r="F143" s="123"/>
      <c r="G143" s="123"/>
      <c r="H143" s="122"/>
      <c r="I143" s="122"/>
      <c r="J143" s="122"/>
      <c r="K143" s="122"/>
      <c r="L143" s="122"/>
      <c r="M143" s="111"/>
      <c r="N143" s="112"/>
      <c r="O143" s="26" t="s">
        <v>27</v>
      </c>
      <c r="P143" s="107">
        <f>N344*1000/2*0.325</f>
        <v>1039.2823542400001</v>
      </c>
      <c r="Q143" s="25">
        <f t="shared" si="6"/>
        <v>1.03928235424</v>
      </c>
      <c r="R143" s="110" t="s">
        <v>256</v>
      </c>
      <c r="S143" s="110"/>
      <c r="T143" s="110"/>
      <c r="U143" s="110"/>
      <c r="V143" s="32" t="s">
        <v>255</v>
      </c>
      <c r="W143" s="32"/>
      <c r="X143" s="80" t="s">
        <v>254</v>
      </c>
    </row>
    <row r="144" spans="4:40" ht="15" customHeight="1" x14ac:dyDescent="0.25">
      <c r="D144" s="135"/>
      <c r="E144" s="123"/>
      <c r="F144" s="123"/>
      <c r="G144" s="123"/>
      <c r="H144" s="124" t="s">
        <v>201</v>
      </c>
      <c r="I144" s="124"/>
      <c r="J144" s="124"/>
      <c r="K144" s="124"/>
      <c r="L144" s="124"/>
      <c r="M144" s="89">
        <f>G302*0.1</f>
        <v>21.595734670920002</v>
      </c>
      <c r="N144" s="22" t="s">
        <v>12</v>
      </c>
      <c r="O144" s="21" t="s">
        <v>12</v>
      </c>
      <c r="P144" s="103">
        <f>M144</f>
        <v>21.595734670920002</v>
      </c>
      <c r="Q144" s="28">
        <f>P144*30.5/1000</f>
        <v>0.65866990746306009</v>
      </c>
      <c r="R144" s="113" t="s">
        <v>260</v>
      </c>
      <c r="S144" s="113"/>
      <c r="T144" s="113"/>
      <c r="U144" s="113"/>
      <c r="V144" s="83" t="s">
        <v>259</v>
      </c>
      <c r="W144" s="32" t="s">
        <v>258</v>
      </c>
      <c r="X144" t="s">
        <v>257</v>
      </c>
    </row>
    <row r="145" spans="4:40" x14ac:dyDescent="0.25">
      <c r="D145" s="135"/>
      <c r="E145" s="123"/>
      <c r="F145" s="123"/>
      <c r="G145" s="123"/>
      <c r="H145" s="122" t="s">
        <v>76</v>
      </c>
      <c r="I145" s="122"/>
      <c r="J145" s="122"/>
      <c r="K145" s="122"/>
      <c r="L145" s="122"/>
      <c r="M145" s="26">
        <v>100</v>
      </c>
      <c r="N145" s="27" t="s">
        <v>79</v>
      </c>
      <c r="O145" s="26" t="s">
        <v>80</v>
      </c>
      <c r="P145" s="100">
        <f>M145*P147/1000</f>
        <v>2497.6705964778066</v>
      </c>
      <c r="R145" s="110" t="s">
        <v>262</v>
      </c>
      <c r="S145" s="110"/>
      <c r="T145" s="110"/>
      <c r="U145" s="110"/>
      <c r="V145" t="s">
        <v>174</v>
      </c>
      <c r="W145" s="92" t="s">
        <v>175</v>
      </c>
    </row>
    <row r="146" spans="4:40" x14ac:dyDescent="0.25">
      <c r="D146" s="135"/>
      <c r="E146" s="123"/>
      <c r="F146" s="123"/>
      <c r="G146" s="123"/>
      <c r="H146" s="122" t="s">
        <v>77</v>
      </c>
      <c r="I146" s="122"/>
      <c r="J146" s="122"/>
      <c r="K146" s="122"/>
      <c r="L146" s="122"/>
      <c r="M146" s="26">
        <v>30</v>
      </c>
      <c r="N146" s="27" t="s">
        <v>79</v>
      </c>
      <c r="O146" s="26" t="s">
        <v>80</v>
      </c>
      <c r="P146" s="102">
        <f>M146*P147/1000</f>
        <v>749.30117894334194</v>
      </c>
      <c r="R146" s="110" t="s">
        <v>262</v>
      </c>
      <c r="S146" s="110"/>
      <c r="T146" s="110"/>
      <c r="U146" s="110"/>
      <c r="V146" t="s">
        <v>174</v>
      </c>
      <c r="W146" s="92" t="s">
        <v>176</v>
      </c>
    </row>
    <row r="147" spans="4:40" x14ac:dyDescent="0.25">
      <c r="D147" s="135"/>
      <c r="E147" s="123"/>
      <c r="F147" s="123"/>
      <c r="G147" s="123"/>
      <c r="H147" s="122" t="s">
        <v>75</v>
      </c>
      <c r="I147" s="122"/>
      <c r="J147" s="122"/>
      <c r="K147" s="122"/>
      <c r="L147" s="122"/>
      <c r="M147" s="21"/>
      <c r="N147" s="22"/>
      <c r="O147" s="26" t="s">
        <v>27</v>
      </c>
      <c r="P147" s="100">
        <f>SUM(Q129:Q144)*1000</f>
        <v>24976.705964778066</v>
      </c>
      <c r="R147" s="110" t="s">
        <v>81</v>
      </c>
      <c r="S147" s="110"/>
      <c r="T147" s="110"/>
      <c r="U147" s="110"/>
      <c r="V147" t="s">
        <v>177</v>
      </c>
      <c r="W147" s="92" t="s">
        <v>178</v>
      </c>
    </row>
    <row r="148" spans="4:40" x14ac:dyDescent="0.25">
      <c r="D148" s="135"/>
      <c r="E148" s="14" t="s">
        <v>49</v>
      </c>
      <c r="F148" s="12"/>
      <c r="G148" s="12"/>
      <c r="H148" s="119"/>
      <c r="I148" s="119"/>
      <c r="J148" s="119"/>
      <c r="K148" s="119"/>
      <c r="L148" s="119"/>
      <c r="M148" s="12"/>
      <c r="N148" s="12"/>
      <c r="O148" s="12"/>
      <c r="P148" s="12"/>
      <c r="Q148" s="12"/>
      <c r="R148" s="12"/>
      <c r="S148" s="12"/>
      <c r="T148" s="12"/>
      <c r="U148" s="13"/>
      <c r="V148" s="13"/>
      <c r="W148" s="98"/>
      <c r="X148" s="12"/>
    </row>
    <row r="149" spans="4:40" ht="15" customHeight="1" x14ac:dyDescent="0.25">
      <c r="D149" s="135"/>
      <c r="E149" s="123" t="s">
        <v>168</v>
      </c>
      <c r="F149" s="123"/>
      <c r="G149" s="123" t="s">
        <v>100</v>
      </c>
      <c r="H149" s="122" t="s">
        <v>171</v>
      </c>
      <c r="I149" s="122"/>
      <c r="J149" s="122"/>
      <c r="K149" s="122"/>
      <c r="L149" s="122"/>
      <c r="M149" s="111">
        <f>N293*0.5*0.75</f>
        <v>333.65625</v>
      </c>
      <c r="N149" s="112" t="s">
        <v>12</v>
      </c>
      <c r="O149" s="26" t="s">
        <v>27</v>
      </c>
      <c r="P149" s="107">
        <f>N322*1000/2*0.75</f>
        <v>1666.0626901124999</v>
      </c>
      <c r="Q149" s="25">
        <f>P149/1000</f>
        <v>1.6660626901125</v>
      </c>
      <c r="R149" s="113" t="s">
        <v>218</v>
      </c>
      <c r="S149" s="113"/>
      <c r="T149" s="113"/>
      <c r="U149" s="113"/>
      <c r="V149" s="83" t="s">
        <v>190</v>
      </c>
      <c r="W149" s="32" t="s">
        <v>182</v>
      </c>
      <c r="X149" t="s">
        <v>198</v>
      </c>
    </row>
    <row r="150" spans="4:40" ht="15" customHeight="1" x14ac:dyDescent="0.25">
      <c r="D150" s="135"/>
      <c r="E150" s="123"/>
      <c r="F150" s="123"/>
      <c r="G150" s="123"/>
      <c r="H150" s="122"/>
      <c r="I150" s="122"/>
      <c r="J150" s="122"/>
      <c r="K150" s="122"/>
      <c r="L150" s="122"/>
      <c r="M150" s="111"/>
      <c r="N150" s="112"/>
      <c r="O150" s="26" t="s">
        <v>27</v>
      </c>
      <c r="P150" s="107">
        <f t="shared" ref="P150:P151" si="9">N323*1000/2*0.75</f>
        <v>3307.7962500000003</v>
      </c>
      <c r="Q150" s="25">
        <f t="shared" ref="Q150:Q163" si="10">P150/1000</f>
        <v>3.3077962500000004</v>
      </c>
      <c r="R150" s="110" t="s">
        <v>195</v>
      </c>
      <c r="S150" s="110"/>
      <c r="T150" s="110"/>
      <c r="U150" s="110"/>
      <c r="V150" s="90" t="s">
        <v>191</v>
      </c>
      <c r="W150" s="92" t="s">
        <v>196</v>
      </c>
      <c r="X150" s="93" t="s">
        <v>192</v>
      </c>
      <c r="Z150" s="94">
        <f>M150/9.3</f>
        <v>0</v>
      </c>
      <c r="AA150" s="90" t="s">
        <v>12</v>
      </c>
      <c r="AB150" s="95">
        <f>1184*0.3048/(3200*(0.3048^2))</f>
        <v>1.2139107611548556</v>
      </c>
      <c r="AC150" s="96" t="s">
        <v>193</v>
      </c>
      <c r="AD150" s="90"/>
      <c r="AE150" s="90">
        <f>77/(3200*(0.3048^2))/0.70297</f>
        <v>0.36844615616893706</v>
      </c>
      <c r="AF150" s="90" t="s">
        <v>194</v>
      </c>
      <c r="AG150" s="90"/>
      <c r="AH150" s="90"/>
      <c r="AI150" s="90"/>
      <c r="AJ150" s="90" t="s">
        <v>197</v>
      </c>
      <c r="AK150" s="90"/>
      <c r="AL150" s="90"/>
      <c r="AM150" s="97">
        <f>AB150*Z150</f>
        <v>0</v>
      </c>
      <c r="AN150" s="97">
        <f>AE150*Z150</f>
        <v>0</v>
      </c>
    </row>
    <row r="151" spans="4:40" ht="15" customHeight="1" x14ac:dyDescent="0.25">
      <c r="D151" s="135"/>
      <c r="E151" s="123"/>
      <c r="F151" s="123"/>
      <c r="G151" s="123"/>
      <c r="H151" s="122"/>
      <c r="I151" s="122"/>
      <c r="J151" s="122"/>
      <c r="K151" s="122"/>
      <c r="L151" s="122"/>
      <c r="M151" s="111"/>
      <c r="N151" s="112"/>
      <c r="O151" s="26" t="s">
        <v>27</v>
      </c>
      <c r="P151" s="107">
        <f t="shared" si="9"/>
        <v>53.10629999999999</v>
      </c>
      <c r="Q151" s="25">
        <f t="shared" si="10"/>
        <v>5.3106299999999988E-2</v>
      </c>
      <c r="R151" s="113" t="s">
        <v>235</v>
      </c>
      <c r="S151" s="113"/>
      <c r="T151" s="113"/>
      <c r="U151" s="113"/>
      <c r="V151" s="83" t="s">
        <v>234</v>
      </c>
      <c r="W151" s="32"/>
    </row>
    <row r="152" spans="4:40" ht="15" customHeight="1" x14ac:dyDescent="0.25">
      <c r="D152" s="135"/>
      <c r="E152" s="123"/>
      <c r="F152" s="123"/>
      <c r="G152" s="123"/>
      <c r="H152" s="122"/>
      <c r="I152" s="122"/>
      <c r="J152" s="122"/>
      <c r="K152" s="122"/>
      <c r="L152" s="122"/>
      <c r="M152" s="111"/>
      <c r="N152" s="112"/>
      <c r="O152" s="26" t="s">
        <v>27</v>
      </c>
      <c r="P152" s="107">
        <f>N326*1000/2*0.75</f>
        <v>123.36896868749999</v>
      </c>
      <c r="Q152" s="25">
        <f t="shared" si="10"/>
        <v>0.12336896868749998</v>
      </c>
      <c r="R152" s="110" t="s">
        <v>242</v>
      </c>
      <c r="S152" s="110"/>
      <c r="T152" s="110"/>
      <c r="U152" s="110"/>
      <c r="V152" s="32" t="s">
        <v>212</v>
      </c>
      <c r="W152" s="32"/>
      <c r="X152" t="s">
        <v>243</v>
      </c>
    </row>
    <row r="153" spans="4:40" ht="15" customHeight="1" x14ac:dyDescent="0.25">
      <c r="D153" s="135"/>
      <c r="E153" s="123"/>
      <c r="F153" s="123"/>
      <c r="G153" s="123"/>
      <c r="H153" s="122"/>
      <c r="I153" s="122"/>
      <c r="J153" s="122"/>
      <c r="K153" s="122"/>
      <c r="L153" s="122"/>
      <c r="M153" s="111"/>
      <c r="N153" s="112"/>
      <c r="O153" s="26" t="s">
        <v>27</v>
      </c>
      <c r="P153" s="107">
        <f t="shared" ref="P153:P156" si="11">N327*1000/2*0.75</f>
        <v>9314.0459170875001</v>
      </c>
      <c r="Q153" s="25">
        <f t="shared" si="10"/>
        <v>9.3140459170874994</v>
      </c>
      <c r="R153" s="110" t="s">
        <v>250</v>
      </c>
      <c r="S153" s="110"/>
      <c r="T153" s="110"/>
      <c r="U153" s="110"/>
      <c r="V153" s="32" t="s">
        <v>249</v>
      </c>
      <c r="W153" s="32"/>
      <c r="X153" t="s">
        <v>248</v>
      </c>
    </row>
    <row r="154" spans="4:40" ht="15" customHeight="1" x14ac:dyDescent="0.25">
      <c r="D154" s="135"/>
      <c r="E154" s="123"/>
      <c r="F154" s="123"/>
      <c r="G154" s="123"/>
      <c r="H154" s="122"/>
      <c r="I154" s="122"/>
      <c r="J154" s="122"/>
      <c r="K154" s="122"/>
      <c r="L154" s="122"/>
      <c r="M154" s="111"/>
      <c r="N154" s="112"/>
      <c r="O154" s="26" t="s">
        <v>27</v>
      </c>
      <c r="P154" s="107">
        <f t="shared" si="11"/>
        <v>171.88124999999999</v>
      </c>
      <c r="Q154" s="25">
        <f t="shared" si="10"/>
        <v>0.17188124999999999</v>
      </c>
      <c r="R154" s="110" t="s">
        <v>32</v>
      </c>
      <c r="S154" s="110"/>
      <c r="T154" s="110"/>
      <c r="U154" s="110"/>
      <c r="V154" s="83" t="s">
        <v>187</v>
      </c>
      <c r="W154" s="32"/>
      <c r="X154" s="32" t="s">
        <v>179</v>
      </c>
    </row>
    <row r="155" spans="4:40" ht="15" customHeight="1" x14ac:dyDescent="0.25">
      <c r="D155" s="135"/>
      <c r="E155" s="123"/>
      <c r="F155" s="123"/>
      <c r="G155" s="123"/>
      <c r="H155" s="122"/>
      <c r="I155" s="122"/>
      <c r="J155" s="122"/>
      <c r="K155" s="122"/>
      <c r="L155" s="122"/>
      <c r="M155" s="111"/>
      <c r="N155" s="112"/>
      <c r="O155" s="26" t="s">
        <v>27</v>
      </c>
      <c r="P155" s="107">
        <f t="shared" si="11"/>
        <v>2357.9155368375</v>
      </c>
      <c r="Q155" s="25">
        <f t="shared" si="10"/>
        <v>2.3579155368375</v>
      </c>
      <c r="R155" s="110" t="s">
        <v>253</v>
      </c>
      <c r="S155" s="110"/>
      <c r="T155" s="110"/>
      <c r="U155" s="110"/>
      <c r="V155" t="s">
        <v>252</v>
      </c>
      <c r="W155" s="32"/>
      <c r="X155" t="s">
        <v>251</v>
      </c>
    </row>
    <row r="156" spans="4:40" ht="15" customHeight="1" x14ac:dyDescent="0.25">
      <c r="D156" s="135"/>
      <c r="E156" s="123"/>
      <c r="F156" s="123"/>
      <c r="G156" s="123"/>
      <c r="H156" s="122"/>
      <c r="I156" s="122"/>
      <c r="J156" s="122"/>
      <c r="K156" s="122"/>
      <c r="L156" s="122"/>
      <c r="M156" s="111"/>
      <c r="N156" s="112"/>
      <c r="O156" s="26" t="s">
        <v>27</v>
      </c>
      <c r="P156" s="107">
        <f t="shared" si="11"/>
        <v>3263.5126312500006</v>
      </c>
      <c r="Q156" s="25">
        <f t="shared" si="10"/>
        <v>3.2635126312500007</v>
      </c>
      <c r="R156" s="110" t="s">
        <v>185</v>
      </c>
      <c r="S156" s="110"/>
      <c r="T156" s="110"/>
      <c r="U156" s="110"/>
      <c r="V156" s="32" t="s">
        <v>186</v>
      </c>
      <c r="W156" s="32"/>
      <c r="X156" s="80" t="s">
        <v>184</v>
      </c>
    </row>
    <row r="157" spans="4:40" x14ac:dyDescent="0.25">
      <c r="D157" s="135"/>
      <c r="E157" s="123"/>
      <c r="F157" s="123"/>
      <c r="G157" s="123"/>
      <c r="H157" s="122" t="s">
        <v>172</v>
      </c>
      <c r="I157" s="122"/>
      <c r="J157" s="122"/>
      <c r="K157" s="122"/>
      <c r="L157" s="122"/>
      <c r="M157" s="111">
        <f>N293*0.5*0.75</f>
        <v>333.65625</v>
      </c>
      <c r="N157" s="112" t="s">
        <v>12</v>
      </c>
      <c r="O157" s="26" t="s">
        <v>27</v>
      </c>
      <c r="P157" s="107">
        <f>N336*1000/2*0.75</f>
        <v>1666.0626901124999</v>
      </c>
      <c r="Q157" s="25">
        <f t="shared" si="10"/>
        <v>1.6660626901125</v>
      </c>
      <c r="R157" s="113" t="s">
        <v>218</v>
      </c>
      <c r="S157" s="113"/>
      <c r="T157" s="113"/>
      <c r="U157" s="113"/>
      <c r="V157" s="83" t="s">
        <v>190</v>
      </c>
      <c r="W157" s="32" t="s">
        <v>182</v>
      </c>
      <c r="X157" t="s">
        <v>198</v>
      </c>
    </row>
    <row r="158" spans="4:40" x14ac:dyDescent="0.25">
      <c r="D158" s="135"/>
      <c r="E158" s="123"/>
      <c r="F158" s="123"/>
      <c r="G158" s="123"/>
      <c r="H158" s="122"/>
      <c r="I158" s="122"/>
      <c r="J158" s="122"/>
      <c r="K158" s="122"/>
      <c r="L158" s="122"/>
      <c r="M158" s="111"/>
      <c r="N158" s="112"/>
      <c r="O158" s="26" t="s">
        <v>27</v>
      </c>
      <c r="P158" s="107">
        <f t="shared" ref="P158" si="12">N337*1000/2*0.75</f>
        <v>22132.894736850001</v>
      </c>
      <c r="Q158" s="25">
        <f t="shared" si="10"/>
        <v>22.132894736850002</v>
      </c>
      <c r="R158" s="110" t="s">
        <v>263</v>
      </c>
      <c r="S158" s="110"/>
      <c r="T158" s="110"/>
      <c r="U158" s="110"/>
      <c r="V158" s="32" t="s">
        <v>199</v>
      </c>
      <c r="W158" s="32"/>
    </row>
    <row r="159" spans="4:40" x14ac:dyDescent="0.25">
      <c r="D159" s="135"/>
      <c r="E159" s="123"/>
      <c r="F159" s="123"/>
      <c r="G159" s="123"/>
      <c r="H159" s="122"/>
      <c r="I159" s="122"/>
      <c r="J159" s="122"/>
      <c r="K159" s="122"/>
      <c r="L159" s="122"/>
      <c r="M159" s="111"/>
      <c r="N159" s="112"/>
      <c r="O159" s="26" t="s">
        <v>27</v>
      </c>
      <c r="P159" s="107">
        <f>N339*1000/2*0.75</f>
        <v>397.6833602625</v>
      </c>
      <c r="Q159" s="25">
        <f t="shared" si="10"/>
        <v>0.39768336026250001</v>
      </c>
      <c r="R159" s="110" t="s">
        <v>242</v>
      </c>
      <c r="S159" s="110"/>
      <c r="T159" s="110"/>
      <c r="U159" s="110"/>
      <c r="V159" s="32" t="s">
        <v>212</v>
      </c>
      <c r="W159" s="32"/>
      <c r="X159" t="s">
        <v>243</v>
      </c>
    </row>
    <row r="160" spans="4:40" x14ac:dyDescent="0.25">
      <c r="D160" s="135"/>
      <c r="E160" s="123"/>
      <c r="F160" s="123"/>
      <c r="G160" s="123"/>
      <c r="H160" s="122"/>
      <c r="I160" s="122"/>
      <c r="J160" s="122"/>
      <c r="K160" s="122"/>
      <c r="L160" s="122"/>
      <c r="M160" s="111"/>
      <c r="N160" s="112"/>
      <c r="O160" s="26" t="s">
        <v>27</v>
      </c>
      <c r="P160" s="107">
        <f t="shared" ref="P160:P161" si="13">N340*1000/2*0.75</f>
        <v>171.88124999999999</v>
      </c>
      <c r="Q160" s="25">
        <f t="shared" si="10"/>
        <v>0.17188124999999999</v>
      </c>
      <c r="R160" s="110" t="s">
        <v>32</v>
      </c>
      <c r="S160" s="110"/>
      <c r="T160" s="110"/>
      <c r="U160" s="110"/>
      <c r="V160" s="83" t="s">
        <v>187</v>
      </c>
      <c r="W160" s="32"/>
      <c r="X160" s="32" t="s">
        <v>179</v>
      </c>
    </row>
    <row r="161" spans="4:40" x14ac:dyDescent="0.25">
      <c r="D161" s="135"/>
      <c r="E161" s="123"/>
      <c r="F161" s="123"/>
      <c r="G161" s="123"/>
      <c r="H161" s="122"/>
      <c r="I161" s="122"/>
      <c r="J161" s="122"/>
      <c r="K161" s="122"/>
      <c r="L161" s="122"/>
      <c r="M161" s="111"/>
      <c r="N161" s="112"/>
      <c r="O161" s="26" t="s">
        <v>27</v>
      </c>
      <c r="P161" s="107">
        <f t="shared" si="13"/>
        <v>2357.9155368375</v>
      </c>
      <c r="Q161" s="25">
        <f t="shared" si="10"/>
        <v>2.3579155368375</v>
      </c>
      <c r="R161" s="110" t="s">
        <v>253</v>
      </c>
      <c r="S161" s="110"/>
      <c r="T161" s="110"/>
      <c r="U161" s="110"/>
      <c r="V161" t="s">
        <v>252</v>
      </c>
      <c r="W161" s="32"/>
      <c r="X161" t="s">
        <v>251</v>
      </c>
    </row>
    <row r="162" spans="4:40" x14ac:dyDescent="0.25">
      <c r="D162" s="135"/>
      <c r="E162" s="123"/>
      <c r="F162" s="123"/>
      <c r="G162" s="123"/>
      <c r="H162" s="122"/>
      <c r="I162" s="122"/>
      <c r="J162" s="122"/>
      <c r="K162" s="122"/>
      <c r="L162" s="122"/>
      <c r="M162" s="111"/>
      <c r="N162" s="112"/>
      <c r="O162" s="26" t="s">
        <v>27</v>
      </c>
      <c r="P162" s="107">
        <f>N343*1000/2*0.75</f>
        <v>6736.0737352125007</v>
      </c>
      <c r="Q162" s="25">
        <f t="shared" si="10"/>
        <v>6.7360737352125009</v>
      </c>
      <c r="R162" s="110" t="s">
        <v>185</v>
      </c>
      <c r="S162" s="110"/>
      <c r="T162" s="110"/>
      <c r="U162" s="110"/>
      <c r="V162" s="32" t="s">
        <v>186</v>
      </c>
      <c r="W162" s="32"/>
      <c r="X162" s="80" t="s">
        <v>184</v>
      </c>
    </row>
    <row r="163" spans="4:40" x14ac:dyDescent="0.25">
      <c r="D163" s="135"/>
      <c r="E163" s="123"/>
      <c r="F163" s="123"/>
      <c r="G163" s="123"/>
      <c r="H163" s="122"/>
      <c r="I163" s="122"/>
      <c r="J163" s="122"/>
      <c r="K163" s="122"/>
      <c r="L163" s="122"/>
      <c r="M163" s="111"/>
      <c r="N163" s="112"/>
      <c r="O163" s="26" t="s">
        <v>27</v>
      </c>
      <c r="P163" s="107">
        <f>N344*1000/2*0.75</f>
        <v>2398.3438944</v>
      </c>
      <c r="Q163" s="25">
        <f t="shared" si="10"/>
        <v>2.3983438944</v>
      </c>
      <c r="R163" s="110" t="s">
        <v>256</v>
      </c>
      <c r="S163" s="110"/>
      <c r="T163" s="110"/>
      <c r="U163" s="110"/>
      <c r="V163" s="32" t="s">
        <v>255</v>
      </c>
      <c r="W163" s="32"/>
      <c r="X163" s="80" t="s">
        <v>254</v>
      </c>
    </row>
    <row r="164" spans="4:40" ht="15" customHeight="1" x14ac:dyDescent="0.25">
      <c r="D164" s="135"/>
      <c r="E164" s="123"/>
      <c r="F164" s="123"/>
      <c r="G164" s="123"/>
      <c r="H164" s="124" t="s">
        <v>201</v>
      </c>
      <c r="I164" s="124"/>
      <c r="J164" s="124"/>
      <c r="K164" s="124"/>
      <c r="L164" s="124"/>
      <c r="M164" s="89">
        <f>G302*0.35</f>
        <v>75.585071348219998</v>
      </c>
      <c r="N164" s="22" t="s">
        <v>12</v>
      </c>
      <c r="O164" s="21" t="s">
        <v>12</v>
      </c>
      <c r="P164" s="103">
        <f>M164</f>
        <v>75.585071348219998</v>
      </c>
      <c r="Q164" s="28">
        <f>P164*30.5/1000</f>
        <v>2.3053446761207099</v>
      </c>
      <c r="R164" s="113" t="s">
        <v>260</v>
      </c>
      <c r="S164" s="113"/>
      <c r="T164" s="113"/>
      <c r="U164" s="113"/>
      <c r="V164" s="83" t="s">
        <v>259</v>
      </c>
      <c r="W164" s="32" t="s">
        <v>258</v>
      </c>
      <c r="X164" t="s">
        <v>257</v>
      </c>
    </row>
    <row r="165" spans="4:40" x14ac:dyDescent="0.25">
      <c r="D165" s="135"/>
      <c r="E165" s="123"/>
      <c r="F165" s="123"/>
      <c r="G165" s="123"/>
      <c r="H165" s="122" t="s">
        <v>76</v>
      </c>
      <c r="I165" s="122"/>
      <c r="J165" s="122"/>
      <c r="K165" s="122"/>
      <c r="L165" s="122"/>
      <c r="M165" s="26">
        <v>100</v>
      </c>
      <c r="N165" s="27" t="s">
        <v>79</v>
      </c>
      <c r="O165" s="26" t="s">
        <v>80</v>
      </c>
      <c r="P165" s="100">
        <f>M165*P167/1000</f>
        <v>5842.3889423770715</v>
      </c>
      <c r="R165" s="110" t="s">
        <v>262</v>
      </c>
      <c r="S165" s="110"/>
      <c r="T165" s="110"/>
      <c r="U165" s="110"/>
      <c r="V165" t="s">
        <v>174</v>
      </c>
      <c r="W165" s="92" t="s">
        <v>175</v>
      </c>
    </row>
    <row r="166" spans="4:40" x14ac:dyDescent="0.25">
      <c r="D166" s="135"/>
      <c r="E166" s="123"/>
      <c r="F166" s="123"/>
      <c r="G166" s="123"/>
      <c r="H166" s="122" t="s">
        <v>77</v>
      </c>
      <c r="I166" s="122"/>
      <c r="J166" s="122"/>
      <c r="K166" s="122"/>
      <c r="L166" s="122"/>
      <c r="M166" s="26">
        <v>30</v>
      </c>
      <c r="N166" s="27" t="s">
        <v>79</v>
      </c>
      <c r="O166" s="26" t="s">
        <v>80</v>
      </c>
      <c r="P166" s="102">
        <f>M166*P167/1000</f>
        <v>1752.7166827131214</v>
      </c>
      <c r="R166" s="110" t="s">
        <v>262</v>
      </c>
      <c r="S166" s="110"/>
      <c r="T166" s="110"/>
      <c r="U166" s="110"/>
      <c r="V166" t="s">
        <v>174</v>
      </c>
      <c r="W166" s="92" t="s">
        <v>176</v>
      </c>
    </row>
    <row r="167" spans="4:40" x14ac:dyDescent="0.25">
      <c r="D167" s="135"/>
      <c r="E167" s="123"/>
      <c r="F167" s="123"/>
      <c r="G167" s="123"/>
      <c r="H167" s="122" t="s">
        <v>75</v>
      </c>
      <c r="I167" s="122"/>
      <c r="J167" s="122"/>
      <c r="K167" s="122"/>
      <c r="L167" s="122"/>
      <c r="M167" s="21"/>
      <c r="N167" s="22"/>
      <c r="O167" s="26" t="s">
        <v>27</v>
      </c>
      <c r="P167" s="100">
        <f>SUM(Q149:Q164)*1000</f>
        <v>58423.889423770714</v>
      </c>
      <c r="R167" s="110" t="s">
        <v>81</v>
      </c>
      <c r="S167" s="110"/>
      <c r="T167" s="110"/>
      <c r="U167" s="110"/>
      <c r="V167" t="s">
        <v>177</v>
      </c>
      <c r="W167" s="92" t="s">
        <v>178</v>
      </c>
    </row>
    <row r="168" spans="4:40" x14ac:dyDescent="0.25">
      <c r="D168" s="135"/>
      <c r="E168" s="14" t="s">
        <v>48</v>
      </c>
      <c r="F168" s="12"/>
      <c r="G168" s="12"/>
      <c r="H168" s="119"/>
      <c r="I168" s="119"/>
      <c r="J168" s="119"/>
      <c r="K168" s="119"/>
      <c r="L168" s="119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98"/>
      <c r="X168" s="12"/>
    </row>
    <row r="169" spans="4:40" ht="15" customHeight="1" x14ac:dyDescent="0.25">
      <c r="D169" s="135"/>
      <c r="E169" s="123" t="s">
        <v>169</v>
      </c>
      <c r="F169" s="123"/>
      <c r="G169" s="123" t="s">
        <v>101</v>
      </c>
      <c r="H169" s="122" t="s">
        <v>171</v>
      </c>
      <c r="I169" s="122"/>
      <c r="J169" s="122"/>
      <c r="K169" s="122"/>
      <c r="L169" s="122"/>
      <c r="M169" s="111">
        <f>N293*0.5</f>
        <v>444.875</v>
      </c>
      <c r="N169" s="112" t="s">
        <v>12</v>
      </c>
      <c r="O169" s="26" t="s">
        <v>27</v>
      </c>
      <c r="P169" s="107">
        <f>N322*1000/2*1</f>
        <v>2221.4169201499999</v>
      </c>
      <c r="Q169" s="25">
        <f>P169/1000</f>
        <v>2.2214169201499998</v>
      </c>
      <c r="R169" s="113" t="s">
        <v>218</v>
      </c>
      <c r="S169" s="113"/>
      <c r="T169" s="113"/>
      <c r="U169" s="113"/>
      <c r="V169" s="83" t="s">
        <v>190</v>
      </c>
      <c r="W169" s="32" t="s">
        <v>182</v>
      </c>
      <c r="X169" t="s">
        <v>198</v>
      </c>
    </row>
    <row r="170" spans="4:40" ht="15" customHeight="1" x14ac:dyDescent="0.25">
      <c r="D170" s="135"/>
      <c r="E170" s="123"/>
      <c r="F170" s="123"/>
      <c r="G170" s="123"/>
      <c r="H170" s="122"/>
      <c r="I170" s="122"/>
      <c r="J170" s="122"/>
      <c r="K170" s="122"/>
      <c r="L170" s="122"/>
      <c r="M170" s="111"/>
      <c r="N170" s="112"/>
      <c r="O170" s="26" t="s">
        <v>27</v>
      </c>
      <c r="P170" s="107">
        <f t="shared" ref="P170:P171" si="14">N323*1000/2*1</f>
        <v>4410.3950000000004</v>
      </c>
      <c r="Q170" s="25">
        <f t="shared" ref="Q170:Q183" si="15">P170/1000</f>
        <v>4.4103950000000003</v>
      </c>
      <c r="R170" s="110" t="s">
        <v>195</v>
      </c>
      <c r="S170" s="110"/>
      <c r="T170" s="110"/>
      <c r="U170" s="110"/>
      <c r="V170" s="90" t="s">
        <v>191</v>
      </c>
      <c r="W170" s="92" t="s">
        <v>196</v>
      </c>
      <c r="X170" s="93" t="s">
        <v>192</v>
      </c>
      <c r="Z170" s="94">
        <f>M170/9.3</f>
        <v>0</v>
      </c>
      <c r="AA170" s="90" t="s">
        <v>12</v>
      </c>
      <c r="AB170" s="95">
        <f>1184*0.3048/(3200*(0.3048^2))</f>
        <v>1.2139107611548556</v>
      </c>
      <c r="AC170" s="96" t="s">
        <v>193</v>
      </c>
      <c r="AD170" s="90"/>
      <c r="AE170" s="90">
        <f>77/(3200*(0.3048^2))/0.70297</f>
        <v>0.36844615616893706</v>
      </c>
      <c r="AF170" s="90" t="s">
        <v>194</v>
      </c>
      <c r="AG170" s="90"/>
      <c r="AH170" s="90"/>
      <c r="AI170" s="90"/>
      <c r="AJ170" s="90" t="s">
        <v>197</v>
      </c>
      <c r="AK170" s="90"/>
      <c r="AL170" s="90"/>
      <c r="AM170" s="97">
        <f>AB170*Z170</f>
        <v>0</v>
      </c>
      <c r="AN170" s="97">
        <f>AE170*Z170</f>
        <v>0</v>
      </c>
    </row>
    <row r="171" spans="4:40" ht="15" customHeight="1" x14ac:dyDescent="0.25">
      <c r="D171" s="135"/>
      <c r="E171" s="123"/>
      <c r="F171" s="123"/>
      <c r="G171" s="123"/>
      <c r="H171" s="122"/>
      <c r="I171" s="122"/>
      <c r="J171" s="122"/>
      <c r="K171" s="122"/>
      <c r="L171" s="122"/>
      <c r="M171" s="111"/>
      <c r="N171" s="112"/>
      <c r="O171" s="26" t="s">
        <v>27</v>
      </c>
      <c r="P171" s="107">
        <f t="shared" si="14"/>
        <v>70.808399999999992</v>
      </c>
      <c r="Q171" s="25">
        <f t="shared" si="15"/>
        <v>7.0808399999999994E-2</v>
      </c>
      <c r="R171" s="113" t="s">
        <v>235</v>
      </c>
      <c r="S171" s="113"/>
      <c r="T171" s="113"/>
      <c r="U171" s="113"/>
      <c r="V171" s="83" t="s">
        <v>234</v>
      </c>
      <c r="W171" s="32"/>
    </row>
    <row r="172" spans="4:40" ht="15" customHeight="1" x14ac:dyDescent="0.25">
      <c r="D172" s="135"/>
      <c r="E172" s="123"/>
      <c r="F172" s="123"/>
      <c r="G172" s="123"/>
      <c r="H172" s="122"/>
      <c r="I172" s="122"/>
      <c r="J172" s="122"/>
      <c r="K172" s="122"/>
      <c r="L172" s="122"/>
      <c r="M172" s="111"/>
      <c r="N172" s="112"/>
      <c r="O172" s="26" t="s">
        <v>27</v>
      </c>
      <c r="P172" s="107">
        <f>N326*1000/2*1</f>
        <v>164.49195824999998</v>
      </c>
      <c r="Q172" s="25">
        <f t="shared" si="15"/>
        <v>0.16449195824999999</v>
      </c>
      <c r="R172" s="110" t="s">
        <v>242</v>
      </c>
      <c r="S172" s="110"/>
      <c r="T172" s="110"/>
      <c r="U172" s="110"/>
      <c r="V172" s="32" t="s">
        <v>212</v>
      </c>
      <c r="W172" s="32"/>
      <c r="X172" t="s">
        <v>243</v>
      </c>
    </row>
    <row r="173" spans="4:40" ht="15" customHeight="1" x14ac:dyDescent="0.25">
      <c r="D173" s="135"/>
      <c r="E173" s="123"/>
      <c r="F173" s="123"/>
      <c r="G173" s="123"/>
      <c r="H173" s="122"/>
      <c r="I173" s="122"/>
      <c r="J173" s="122"/>
      <c r="K173" s="122"/>
      <c r="L173" s="122"/>
      <c r="M173" s="111"/>
      <c r="N173" s="112"/>
      <c r="O173" s="26" t="s">
        <v>27</v>
      </c>
      <c r="P173" s="107">
        <f t="shared" ref="P173:P176" si="16">N327*1000/2*1</f>
        <v>12418.72788945</v>
      </c>
      <c r="Q173" s="25">
        <f t="shared" si="15"/>
        <v>12.41872788945</v>
      </c>
      <c r="R173" s="110" t="s">
        <v>250</v>
      </c>
      <c r="S173" s="110"/>
      <c r="T173" s="110"/>
      <c r="U173" s="110"/>
      <c r="V173" s="32" t="s">
        <v>249</v>
      </c>
      <c r="W173" s="32"/>
      <c r="X173" t="s">
        <v>248</v>
      </c>
    </row>
    <row r="174" spans="4:40" ht="15" customHeight="1" x14ac:dyDescent="0.25">
      <c r="D174" s="135"/>
      <c r="E174" s="123"/>
      <c r="F174" s="123"/>
      <c r="G174" s="123"/>
      <c r="H174" s="122"/>
      <c r="I174" s="122"/>
      <c r="J174" s="122"/>
      <c r="K174" s="122"/>
      <c r="L174" s="122"/>
      <c r="M174" s="111"/>
      <c r="N174" s="112"/>
      <c r="O174" s="26" t="s">
        <v>27</v>
      </c>
      <c r="P174" s="107">
        <f t="shared" si="16"/>
        <v>229.17499999999998</v>
      </c>
      <c r="Q174" s="25">
        <f t="shared" si="15"/>
        <v>0.22917499999999999</v>
      </c>
      <c r="R174" s="110" t="s">
        <v>32</v>
      </c>
      <c r="S174" s="110"/>
      <c r="T174" s="110"/>
      <c r="U174" s="110"/>
      <c r="V174" s="83" t="s">
        <v>187</v>
      </c>
      <c r="W174" s="32"/>
      <c r="X174" s="32" t="s">
        <v>179</v>
      </c>
    </row>
    <row r="175" spans="4:40" ht="15" customHeight="1" x14ac:dyDescent="0.25">
      <c r="D175" s="135"/>
      <c r="E175" s="123"/>
      <c r="F175" s="123"/>
      <c r="G175" s="123"/>
      <c r="H175" s="122"/>
      <c r="I175" s="122"/>
      <c r="J175" s="122"/>
      <c r="K175" s="122"/>
      <c r="L175" s="122"/>
      <c r="M175" s="111"/>
      <c r="N175" s="112"/>
      <c r="O175" s="26" t="s">
        <v>27</v>
      </c>
      <c r="P175" s="107">
        <f t="shared" si="16"/>
        <v>3143.8873824500001</v>
      </c>
      <c r="Q175" s="25">
        <f t="shared" si="15"/>
        <v>3.14388738245</v>
      </c>
      <c r="R175" s="110" t="s">
        <v>253</v>
      </c>
      <c r="S175" s="110"/>
      <c r="T175" s="110"/>
      <c r="U175" s="110"/>
      <c r="V175" t="s">
        <v>252</v>
      </c>
      <c r="W175" s="32"/>
      <c r="X175" t="s">
        <v>251</v>
      </c>
    </row>
    <row r="176" spans="4:40" ht="15" customHeight="1" x14ac:dyDescent="0.25">
      <c r="D176" s="135"/>
      <c r="E176" s="123"/>
      <c r="F176" s="123"/>
      <c r="G176" s="123"/>
      <c r="H176" s="122"/>
      <c r="I176" s="122"/>
      <c r="J176" s="122"/>
      <c r="K176" s="122"/>
      <c r="L176" s="122"/>
      <c r="M176" s="111"/>
      <c r="N176" s="112"/>
      <c r="O176" s="26" t="s">
        <v>27</v>
      </c>
      <c r="P176" s="107">
        <f t="shared" si="16"/>
        <v>4351.3501750000005</v>
      </c>
      <c r="Q176" s="25">
        <f t="shared" si="15"/>
        <v>4.3513501750000003</v>
      </c>
      <c r="R176" s="110" t="s">
        <v>185</v>
      </c>
      <c r="S176" s="110"/>
      <c r="T176" s="110"/>
      <c r="U176" s="110"/>
      <c r="V176" s="32" t="s">
        <v>186</v>
      </c>
      <c r="W176" s="32"/>
      <c r="X176" s="80" t="s">
        <v>184</v>
      </c>
    </row>
    <row r="177" spans="4:24" x14ac:dyDescent="0.25">
      <c r="D177" s="135"/>
      <c r="E177" s="123"/>
      <c r="F177" s="123"/>
      <c r="G177" s="123"/>
      <c r="H177" s="122" t="s">
        <v>172</v>
      </c>
      <c r="I177" s="122"/>
      <c r="J177" s="122"/>
      <c r="K177" s="122"/>
      <c r="L177" s="122"/>
      <c r="M177" s="111">
        <f>N293*0.5</f>
        <v>444.875</v>
      </c>
      <c r="N177" s="112" t="s">
        <v>12</v>
      </c>
      <c r="O177" s="26" t="s">
        <v>27</v>
      </c>
      <c r="P177" s="107">
        <f>N336*1000/2*1</f>
        <v>2221.4169201499999</v>
      </c>
      <c r="Q177" s="25">
        <f t="shared" si="15"/>
        <v>2.2214169201499998</v>
      </c>
      <c r="R177" s="113" t="s">
        <v>218</v>
      </c>
      <c r="S177" s="113"/>
      <c r="T177" s="113"/>
      <c r="U177" s="113"/>
      <c r="V177" s="83" t="s">
        <v>190</v>
      </c>
      <c r="W177" s="32" t="s">
        <v>182</v>
      </c>
      <c r="X177" t="s">
        <v>198</v>
      </c>
    </row>
    <row r="178" spans="4:24" x14ac:dyDescent="0.25">
      <c r="D178" s="135"/>
      <c r="E178" s="123"/>
      <c r="F178" s="123"/>
      <c r="G178" s="123"/>
      <c r="H178" s="122"/>
      <c r="I178" s="122"/>
      <c r="J178" s="122"/>
      <c r="K178" s="122"/>
      <c r="L178" s="122"/>
      <c r="M178" s="111"/>
      <c r="N178" s="112"/>
      <c r="O178" s="26" t="s">
        <v>27</v>
      </c>
      <c r="P178" s="107">
        <f t="shared" ref="P178" si="17">N337*1000/2*1</f>
        <v>29510.526315800002</v>
      </c>
      <c r="Q178" s="25">
        <f t="shared" si="15"/>
        <v>29.5105263158</v>
      </c>
      <c r="R178" s="110" t="s">
        <v>263</v>
      </c>
      <c r="S178" s="110"/>
      <c r="T178" s="110"/>
      <c r="U178" s="110"/>
      <c r="V178" s="32" t="s">
        <v>199</v>
      </c>
      <c r="W178" s="32"/>
    </row>
    <row r="179" spans="4:24" x14ac:dyDescent="0.25">
      <c r="D179" s="135"/>
      <c r="E179" s="123"/>
      <c r="F179" s="123"/>
      <c r="G179" s="123"/>
      <c r="H179" s="122"/>
      <c r="I179" s="122"/>
      <c r="J179" s="122"/>
      <c r="K179" s="122"/>
      <c r="L179" s="122"/>
      <c r="M179" s="111"/>
      <c r="N179" s="112"/>
      <c r="O179" s="26" t="s">
        <v>27</v>
      </c>
      <c r="P179" s="107">
        <f>N339*1000/2*1</f>
        <v>530.24448035</v>
      </c>
      <c r="Q179" s="25">
        <f t="shared" si="15"/>
        <v>0.53024448035000005</v>
      </c>
      <c r="R179" s="110" t="s">
        <v>242</v>
      </c>
      <c r="S179" s="110"/>
      <c r="T179" s="110"/>
      <c r="U179" s="110"/>
      <c r="V179" s="32" t="s">
        <v>212</v>
      </c>
      <c r="W179" s="32"/>
      <c r="X179" t="s">
        <v>243</v>
      </c>
    </row>
    <row r="180" spans="4:24" x14ac:dyDescent="0.25">
      <c r="D180" s="135"/>
      <c r="E180" s="123"/>
      <c r="F180" s="123"/>
      <c r="G180" s="123"/>
      <c r="H180" s="122"/>
      <c r="I180" s="122"/>
      <c r="J180" s="122"/>
      <c r="K180" s="122"/>
      <c r="L180" s="122"/>
      <c r="M180" s="111"/>
      <c r="N180" s="112"/>
      <c r="O180" s="26" t="s">
        <v>27</v>
      </c>
      <c r="P180" s="107">
        <f t="shared" ref="P180:P181" si="18">N340*1000/2*1</f>
        <v>229.17499999999998</v>
      </c>
      <c r="Q180" s="25">
        <f t="shared" si="15"/>
        <v>0.22917499999999999</v>
      </c>
      <c r="R180" s="110" t="s">
        <v>32</v>
      </c>
      <c r="S180" s="110"/>
      <c r="T180" s="110"/>
      <c r="U180" s="110"/>
      <c r="V180" s="83" t="s">
        <v>187</v>
      </c>
      <c r="W180" s="32"/>
      <c r="X180" s="32" t="s">
        <v>179</v>
      </c>
    </row>
    <row r="181" spans="4:24" x14ac:dyDescent="0.25">
      <c r="D181" s="135"/>
      <c r="E181" s="123"/>
      <c r="F181" s="123"/>
      <c r="G181" s="123"/>
      <c r="H181" s="122"/>
      <c r="I181" s="122"/>
      <c r="J181" s="122"/>
      <c r="K181" s="122"/>
      <c r="L181" s="122"/>
      <c r="M181" s="111"/>
      <c r="N181" s="112"/>
      <c r="O181" s="26" t="s">
        <v>27</v>
      </c>
      <c r="P181" s="107">
        <f t="shared" si="18"/>
        <v>3143.8873824500001</v>
      </c>
      <c r="Q181" s="25">
        <f t="shared" si="15"/>
        <v>3.14388738245</v>
      </c>
      <c r="R181" s="110" t="s">
        <v>253</v>
      </c>
      <c r="S181" s="110"/>
      <c r="T181" s="110"/>
      <c r="U181" s="110"/>
      <c r="V181" t="s">
        <v>252</v>
      </c>
      <c r="W181" s="32"/>
      <c r="X181" t="s">
        <v>251</v>
      </c>
    </row>
    <row r="182" spans="4:24" x14ac:dyDescent="0.25">
      <c r="D182" s="135"/>
      <c r="E182" s="123"/>
      <c r="F182" s="123"/>
      <c r="G182" s="123"/>
      <c r="H182" s="122"/>
      <c r="I182" s="122"/>
      <c r="J182" s="122"/>
      <c r="K182" s="122"/>
      <c r="L182" s="122"/>
      <c r="M182" s="111"/>
      <c r="N182" s="112"/>
      <c r="O182" s="26" t="s">
        <v>27</v>
      </c>
      <c r="P182" s="107">
        <f>N343*1000/2*1</f>
        <v>8981.4316469500009</v>
      </c>
      <c r="Q182" s="25">
        <f t="shared" si="15"/>
        <v>8.9814316469500017</v>
      </c>
      <c r="R182" s="110" t="s">
        <v>185</v>
      </c>
      <c r="S182" s="110"/>
      <c r="T182" s="110"/>
      <c r="U182" s="110"/>
      <c r="V182" s="32" t="s">
        <v>186</v>
      </c>
      <c r="W182" s="32"/>
      <c r="X182" s="80" t="s">
        <v>184</v>
      </c>
    </row>
    <row r="183" spans="4:24" x14ac:dyDescent="0.25">
      <c r="D183" s="135"/>
      <c r="E183" s="123"/>
      <c r="F183" s="123"/>
      <c r="G183" s="123"/>
      <c r="H183" s="122"/>
      <c r="I183" s="122"/>
      <c r="J183" s="122"/>
      <c r="K183" s="122"/>
      <c r="L183" s="122"/>
      <c r="M183" s="111"/>
      <c r="N183" s="112"/>
      <c r="O183" s="26" t="s">
        <v>27</v>
      </c>
      <c r="P183" s="107">
        <f>N344*1000/2*1</f>
        <v>3197.7918592000001</v>
      </c>
      <c r="Q183" s="25">
        <f t="shared" si="15"/>
        <v>3.1977918592000001</v>
      </c>
      <c r="R183" s="110" t="s">
        <v>256</v>
      </c>
      <c r="S183" s="110"/>
      <c r="T183" s="110"/>
      <c r="U183" s="110"/>
      <c r="V183" s="32" t="s">
        <v>255</v>
      </c>
      <c r="W183" s="32"/>
      <c r="X183" s="80" t="s">
        <v>254</v>
      </c>
    </row>
    <row r="184" spans="4:24" ht="15" customHeight="1" x14ac:dyDescent="0.25">
      <c r="D184" s="135"/>
      <c r="E184" s="123"/>
      <c r="F184" s="123"/>
      <c r="G184" s="123"/>
      <c r="H184" s="124" t="s">
        <v>201</v>
      </c>
      <c r="I184" s="124"/>
      <c r="J184" s="124"/>
      <c r="K184" s="124"/>
      <c r="L184" s="124"/>
      <c r="M184" s="89">
        <f>G302*1</f>
        <v>215.95734670920001</v>
      </c>
      <c r="N184" s="22" t="s">
        <v>12</v>
      </c>
      <c r="O184" s="21" t="s">
        <v>12</v>
      </c>
      <c r="P184" s="103">
        <f>M184</f>
        <v>215.95734670920001</v>
      </c>
      <c r="Q184" s="28">
        <f>P184*30.5/1000</f>
        <v>6.5866990746305998</v>
      </c>
      <c r="R184" s="113" t="s">
        <v>260</v>
      </c>
      <c r="S184" s="113"/>
      <c r="T184" s="113"/>
      <c r="U184" s="113"/>
      <c r="V184" s="83" t="s">
        <v>259</v>
      </c>
      <c r="W184" s="32" t="s">
        <v>258</v>
      </c>
      <c r="X184" t="s">
        <v>257</v>
      </c>
    </row>
    <row r="185" spans="4:24" x14ac:dyDescent="0.25">
      <c r="D185" s="135"/>
      <c r="E185" s="123"/>
      <c r="F185" s="123"/>
      <c r="G185" s="123"/>
      <c r="H185" s="122" t="s">
        <v>76</v>
      </c>
      <c r="I185" s="122"/>
      <c r="J185" s="122"/>
      <c r="K185" s="122"/>
      <c r="L185" s="122"/>
      <c r="M185" s="26">
        <v>100</v>
      </c>
      <c r="N185" s="27" t="s">
        <v>79</v>
      </c>
      <c r="O185" s="26" t="s">
        <v>80</v>
      </c>
      <c r="P185" s="100">
        <f>M185*P187/1000</f>
        <v>8141.1425404830588</v>
      </c>
      <c r="R185" s="110" t="s">
        <v>262</v>
      </c>
      <c r="S185" s="110"/>
      <c r="T185" s="110"/>
      <c r="U185" s="110"/>
      <c r="V185" t="s">
        <v>174</v>
      </c>
      <c r="W185" s="92" t="s">
        <v>175</v>
      </c>
    </row>
    <row r="186" spans="4:24" x14ac:dyDescent="0.25">
      <c r="D186" s="135"/>
      <c r="E186" s="123"/>
      <c r="F186" s="123"/>
      <c r="G186" s="123"/>
      <c r="H186" s="122" t="s">
        <v>77</v>
      </c>
      <c r="I186" s="122"/>
      <c r="J186" s="122"/>
      <c r="K186" s="122"/>
      <c r="L186" s="122"/>
      <c r="M186" s="26">
        <v>30</v>
      </c>
      <c r="N186" s="27" t="s">
        <v>79</v>
      </c>
      <c r="O186" s="26" t="s">
        <v>80</v>
      </c>
      <c r="P186" s="102">
        <f>M186*P187/1000</f>
        <v>2442.3427621449177</v>
      </c>
      <c r="R186" s="110" t="s">
        <v>262</v>
      </c>
      <c r="S186" s="110"/>
      <c r="T186" s="110"/>
      <c r="U186" s="110"/>
      <c r="V186" t="s">
        <v>174</v>
      </c>
      <c r="W186" s="92" t="s">
        <v>176</v>
      </c>
    </row>
    <row r="187" spans="4:24" x14ac:dyDescent="0.25">
      <c r="D187" s="135"/>
      <c r="E187" s="123"/>
      <c r="F187" s="123"/>
      <c r="G187" s="123"/>
      <c r="H187" s="122" t="s">
        <v>75</v>
      </c>
      <c r="I187" s="122"/>
      <c r="J187" s="122"/>
      <c r="K187" s="122"/>
      <c r="L187" s="122"/>
      <c r="M187" s="21"/>
      <c r="N187" s="22"/>
      <c r="O187" s="26" t="s">
        <v>27</v>
      </c>
      <c r="P187" s="100">
        <f>SUM(Q169:Q184)*1000</f>
        <v>81411.425404830588</v>
      </c>
      <c r="R187" s="110" t="s">
        <v>81</v>
      </c>
      <c r="S187" s="110"/>
      <c r="T187" s="110"/>
      <c r="U187" s="110"/>
      <c r="V187" t="s">
        <v>177</v>
      </c>
      <c r="W187" s="92" t="s">
        <v>178</v>
      </c>
    </row>
    <row r="188" spans="4:24" x14ac:dyDescent="0.25">
      <c r="D188" s="37"/>
      <c r="E188" s="38"/>
      <c r="F188" s="38"/>
      <c r="G188" s="36"/>
      <c r="H188" s="12"/>
      <c r="I188" s="12"/>
      <c r="J188" s="12"/>
      <c r="K188" s="12"/>
      <c r="L188" s="12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2"/>
      <c r="X188" s="13"/>
    </row>
    <row r="189" spans="4:24" x14ac:dyDescent="0.25">
      <c r="D189" s="35"/>
      <c r="E189" s="34"/>
      <c r="F189" s="34"/>
      <c r="G189" s="33"/>
      <c r="H189" s="33"/>
      <c r="I189" s="33"/>
      <c r="J189" s="33"/>
      <c r="K189" s="33"/>
      <c r="Q189" s="8"/>
      <c r="R189" s="8"/>
      <c r="S189" s="8"/>
      <c r="T189" s="8"/>
      <c r="U189" s="8"/>
      <c r="V189" s="8"/>
    </row>
    <row r="191" spans="4:24" s="1" customFormat="1" x14ac:dyDescent="0.25"/>
    <row r="193" spans="3:18" x14ac:dyDescent="0.25">
      <c r="C193" s="24"/>
      <c r="D193" s="39" t="s">
        <v>134</v>
      </c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R193" s="7" t="s">
        <v>102</v>
      </c>
    </row>
    <row r="194" spans="3:18" x14ac:dyDescent="0.25"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3:18" ht="26.25" x14ac:dyDescent="0.25">
      <c r="C195" s="24"/>
      <c r="D195" s="133" t="s">
        <v>0</v>
      </c>
      <c r="E195" s="132"/>
      <c r="F195" s="2" t="s">
        <v>1</v>
      </c>
      <c r="G195" s="3" t="s">
        <v>2</v>
      </c>
      <c r="H195" s="2" t="s">
        <v>3</v>
      </c>
      <c r="I195" s="2" t="s">
        <v>4</v>
      </c>
      <c r="J195" s="2" t="s">
        <v>5</v>
      </c>
      <c r="K195" s="2" t="s">
        <v>6</v>
      </c>
      <c r="L195" s="2" t="s">
        <v>7</v>
      </c>
      <c r="M195" s="2" t="s">
        <v>8</v>
      </c>
      <c r="N195" s="2" t="s">
        <v>9</v>
      </c>
      <c r="O195" s="2" t="s">
        <v>10</v>
      </c>
      <c r="P195" s="24"/>
    </row>
    <row r="196" spans="3:18" x14ac:dyDescent="0.25">
      <c r="C196" s="24"/>
      <c r="D196" s="131" t="s">
        <v>11</v>
      </c>
      <c r="E196" s="132"/>
      <c r="F196" s="4" t="s">
        <v>12</v>
      </c>
      <c r="G196" s="5">
        <v>1187.1118153616001</v>
      </c>
      <c r="H196" s="5">
        <v>0</v>
      </c>
      <c r="I196" s="5">
        <v>0</v>
      </c>
      <c r="J196" s="30">
        <v>0</v>
      </c>
      <c r="K196" s="5">
        <v>892.05794924400004</v>
      </c>
      <c r="L196" s="5">
        <v>295.05386611760002</v>
      </c>
      <c r="M196" s="5">
        <v>0</v>
      </c>
      <c r="N196" s="5">
        <v>0.86634600939999995</v>
      </c>
      <c r="O196" s="6" t="s">
        <v>13</v>
      </c>
      <c r="P196" s="24"/>
    </row>
    <row r="197" spans="3:18" ht="23.25" customHeight="1" x14ac:dyDescent="0.25">
      <c r="C197" s="24"/>
      <c r="D197" s="127" t="s">
        <v>14</v>
      </c>
      <c r="E197" s="128"/>
      <c r="F197" s="17" t="s">
        <v>12</v>
      </c>
      <c r="G197" s="18">
        <v>909.11511794579997</v>
      </c>
      <c r="H197" s="18">
        <v>0</v>
      </c>
      <c r="I197" s="18">
        <v>0</v>
      </c>
      <c r="J197" s="30">
        <v>0</v>
      </c>
      <c r="K197" s="18">
        <v>0</v>
      </c>
      <c r="L197" s="19">
        <v>651.30419094579997</v>
      </c>
      <c r="M197" s="19">
        <v>257.81092699999999</v>
      </c>
      <c r="N197" s="18">
        <v>7.3274678505999997</v>
      </c>
      <c r="O197" s="20" t="s">
        <v>13</v>
      </c>
      <c r="P197" s="24"/>
    </row>
    <row r="198" spans="3:18" ht="15" customHeight="1" x14ac:dyDescent="0.25">
      <c r="C198" s="24"/>
      <c r="D198" s="129" t="s">
        <v>15</v>
      </c>
      <c r="E198" s="130"/>
      <c r="F198" s="29" t="s">
        <v>12</v>
      </c>
      <c r="G198" s="30">
        <v>150.84222499009999</v>
      </c>
      <c r="H198" s="30">
        <v>0</v>
      </c>
      <c r="I198" s="30">
        <v>0</v>
      </c>
      <c r="J198" s="30">
        <v>150.84222499009999</v>
      </c>
      <c r="K198" s="30">
        <v>0</v>
      </c>
      <c r="L198" s="30">
        <v>0</v>
      </c>
      <c r="M198" s="30">
        <v>0</v>
      </c>
      <c r="N198" s="30">
        <v>2.2626333700000001E-2</v>
      </c>
      <c r="O198" s="31" t="s">
        <v>13</v>
      </c>
      <c r="P198" s="24"/>
    </row>
    <row r="199" spans="3:18" x14ac:dyDescent="0.25">
      <c r="C199" s="24"/>
      <c r="D199" s="131" t="s">
        <v>16</v>
      </c>
      <c r="E199" s="132"/>
      <c r="F199" s="4" t="s">
        <v>12</v>
      </c>
      <c r="G199" s="5">
        <v>274.54639351330002</v>
      </c>
      <c r="H199" s="5">
        <v>0</v>
      </c>
      <c r="I199" s="5">
        <v>0</v>
      </c>
      <c r="J199" s="30">
        <v>0</v>
      </c>
      <c r="K199" s="5">
        <v>0</v>
      </c>
      <c r="L199" s="5">
        <v>274.54639351330002</v>
      </c>
      <c r="M199" s="5">
        <v>0</v>
      </c>
      <c r="N199" s="5">
        <v>1.6755648800000002E-2</v>
      </c>
      <c r="O199" s="6" t="s">
        <v>13</v>
      </c>
      <c r="P199" s="24"/>
    </row>
    <row r="200" spans="3:18" ht="25.5" x14ac:dyDescent="0.25">
      <c r="C200" s="24"/>
      <c r="D200" s="127" t="s">
        <v>17</v>
      </c>
      <c r="E200" s="128"/>
      <c r="F200" s="17" t="s">
        <v>18</v>
      </c>
      <c r="G200" s="18">
        <v>2535.6906574807999</v>
      </c>
      <c r="H200" s="18">
        <v>0</v>
      </c>
      <c r="I200" s="18">
        <v>0</v>
      </c>
      <c r="J200" s="30">
        <v>0</v>
      </c>
      <c r="K200" s="18">
        <v>0</v>
      </c>
      <c r="L200" s="18">
        <v>1482.9505249808001</v>
      </c>
      <c r="M200" s="18">
        <v>1052.7401325000001</v>
      </c>
      <c r="N200" s="18">
        <v>1.6228420208000001</v>
      </c>
      <c r="O200" s="20" t="s">
        <v>13</v>
      </c>
      <c r="P200" s="24"/>
    </row>
    <row r="201" spans="3:18" ht="27.75" customHeight="1" x14ac:dyDescent="0.25">
      <c r="C201" s="24"/>
      <c r="D201" s="129" t="s">
        <v>19</v>
      </c>
      <c r="E201" s="130"/>
      <c r="F201" s="29" t="s">
        <v>20</v>
      </c>
      <c r="G201" s="30">
        <v>46.878357510999997</v>
      </c>
      <c r="H201" s="30">
        <v>0</v>
      </c>
      <c r="I201" s="30">
        <v>0</v>
      </c>
      <c r="J201" s="30">
        <v>41.279080256900002</v>
      </c>
      <c r="K201" s="30">
        <v>0</v>
      </c>
      <c r="L201" s="30">
        <v>5.5992772541000004</v>
      </c>
      <c r="M201" s="30">
        <v>0</v>
      </c>
      <c r="N201" s="30">
        <v>107.509414096</v>
      </c>
      <c r="O201" s="31" t="s">
        <v>13</v>
      </c>
      <c r="P201" s="24"/>
    </row>
    <row r="202" spans="3:18" ht="29.25" customHeight="1" x14ac:dyDescent="0.25">
      <c r="C202" s="24"/>
      <c r="D202" s="127" t="s">
        <v>21</v>
      </c>
      <c r="E202" s="128"/>
      <c r="F202" s="17" t="s">
        <v>12</v>
      </c>
      <c r="G202" s="18">
        <v>79.562439063699998</v>
      </c>
      <c r="H202" s="18">
        <v>0</v>
      </c>
      <c r="I202" s="18">
        <v>0</v>
      </c>
      <c r="J202" s="30">
        <v>0</v>
      </c>
      <c r="K202" s="18">
        <v>0</v>
      </c>
      <c r="L202" s="19">
        <v>79.562439063699998</v>
      </c>
      <c r="M202" s="18">
        <v>0</v>
      </c>
      <c r="N202" s="18">
        <v>1.2883645211000001</v>
      </c>
      <c r="O202" s="20" t="s">
        <v>13</v>
      </c>
      <c r="P202" s="24"/>
    </row>
    <row r="203" spans="3:18" ht="25.5" x14ac:dyDescent="0.25">
      <c r="C203" s="24"/>
      <c r="D203" s="127" t="s">
        <v>22</v>
      </c>
      <c r="E203" s="128"/>
      <c r="F203" s="17" t="s">
        <v>18</v>
      </c>
      <c r="G203" s="18">
        <v>24.885000008199999</v>
      </c>
      <c r="H203" s="18">
        <v>0</v>
      </c>
      <c r="I203" s="18">
        <v>0</v>
      </c>
      <c r="J203" s="30">
        <v>0</v>
      </c>
      <c r="K203" s="18">
        <v>0</v>
      </c>
      <c r="L203" s="19">
        <v>24.885000008199999</v>
      </c>
      <c r="M203" s="18">
        <v>0</v>
      </c>
      <c r="N203" s="18">
        <v>1.7917200000000001E-2</v>
      </c>
      <c r="O203" s="20" t="s">
        <v>13</v>
      </c>
      <c r="P203" s="24"/>
    </row>
    <row r="204" spans="3:18" x14ac:dyDescent="0.25">
      <c r="C204" s="24"/>
      <c r="D204" s="131" t="s">
        <v>23</v>
      </c>
      <c r="E204" s="132"/>
      <c r="F204" s="4" t="s">
        <v>12</v>
      </c>
      <c r="G204" s="5">
        <v>351.47925866240001</v>
      </c>
      <c r="H204" s="5">
        <v>0</v>
      </c>
      <c r="I204" s="5">
        <v>0</v>
      </c>
      <c r="J204" s="30">
        <v>0</v>
      </c>
      <c r="K204" s="5">
        <v>0</v>
      </c>
      <c r="L204" s="5">
        <v>284.69177306239999</v>
      </c>
      <c r="M204" s="5">
        <v>66.787485599999997</v>
      </c>
      <c r="N204" s="5">
        <v>4.9182492665000002</v>
      </c>
      <c r="O204" s="6" t="s">
        <v>13</v>
      </c>
      <c r="P204" s="24"/>
    </row>
    <row r="205" spans="3:18" x14ac:dyDescent="0.25">
      <c r="C205" s="24"/>
      <c r="D205" s="127" t="s">
        <v>24</v>
      </c>
      <c r="E205" s="128"/>
      <c r="F205" s="17" t="s">
        <v>13</v>
      </c>
      <c r="G205" s="18">
        <v>0.53002224789999997</v>
      </c>
      <c r="H205" s="18">
        <v>0</v>
      </c>
      <c r="I205" s="19">
        <v>0.24024332470000001</v>
      </c>
      <c r="J205" s="30">
        <v>0</v>
      </c>
      <c r="K205" s="19">
        <v>0.28977892319999998</v>
      </c>
      <c r="L205" s="18">
        <v>0</v>
      </c>
      <c r="M205" s="18">
        <v>0</v>
      </c>
      <c r="N205" s="18">
        <v>0.53002224789999997</v>
      </c>
      <c r="O205" s="20" t="s">
        <v>13</v>
      </c>
      <c r="P205" s="24"/>
    </row>
    <row r="206" spans="3:18" ht="34.5" customHeight="1" x14ac:dyDescent="0.25">
      <c r="C206" s="24"/>
      <c r="D206" s="127" t="s">
        <v>25</v>
      </c>
      <c r="E206" s="128"/>
      <c r="F206" s="17" t="s">
        <v>12</v>
      </c>
      <c r="G206" s="18">
        <v>657.30585733769999</v>
      </c>
      <c r="H206" s="18">
        <v>0</v>
      </c>
      <c r="I206" s="18">
        <v>0</v>
      </c>
      <c r="J206" s="30">
        <v>0</v>
      </c>
      <c r="K206" s="18">
        <v>657.30585733769999</v>
      </c>
      <c r="L206" s="18">
        <v>0</v>
      </c>
      <c r="M206" s="18">
        <v>0</v>
      </c>
      <c r="N206" s="18">
        <v>8.4399835233000005</v>
      </c>
      <c r="O206" s="20" t="s">
        <v>13</v>
      </c>
      <c r="P206" s="24"/>
    </row>
    <row r="207" spans="3:18" x14ac:dyDescent="0.25">
      <c r="C207" s="24"/>
      <c r="D207" s="127" t="s">
        <v>26</v>
      </c>
      <c r="E207" s="128"/>
      <c r="F207" s="17" t="s">
        <v>27</v>
      </c>
      <c r="G207" s="18">
        <v>314.99999997920003</v>
      </c>
      <c r="H207" s="18">
        <v>0</v>
      </c>
      <c r="I207" s="18">
        <v>0</v>
      </c>
      <c r="J207" s="30">
        <v>0</v>
      </c>
      <c r="K207" s="18">
        <v>0</v>
      </c>
      <c r="L207" s="19">
        <v>314.99999997920003</v>
      </c>
      <c r="M207" s="18">
        <v>0</v>
      </c>
      <c r="N207" s="18">
        <v>0.315</v>
      </c>
      <c r="O207" s="20" t="s">
        <v>13</v>
      </c>
      <c r="P207" s="24"/>
    </row>
    <row r="208" spans="3:18" x14ac:dyDescent="0.25">
      <c r="C208" s="24"/>
      <c r="D208" s="127" t="s">
        <v>28</v>
      </c>
      <c r="E208" s="128"/>
      <c r="F208" s="17" t="s">
        <v>13</v>
      </c>
      <c r="G208" s="18">
        <v>0.35999998979999998</v>
      </c>
      <c r="H208" s="18">
        <v>0</v>
      </c>
      <c r="I208" s="18">
        <v>0</v>
      </c>
      <c r="J208" s="30">
        <v>0</v>
      </c>
      <c r="K208" s="18">
        <v>0</v>
      </c>
      <c r="L208" s="19">
        <v>0.35999998979999998</v>
      </c>
      <c r="M208" s="18">
        <v>0</v>
      </c>
      <c r="N208" s="18">
        <v>0.35999998979999998</v>
      </c>
      <c r="O208" s="20" t="s">
        <v>13</v>
      </c>
      <c r="P208" s="24"/>
    </row>
    <row r="209" spans="3:16" x14ac:dyDescent="0.25">
      <c r="C209" s="24"/>
      <c r="D209" s="131" t="s">
        <v>29</v>
      </c>
      <c r="E209" s="132"/>
      <c r="F209" s="4" t="s">
        <v>13</v>
      </c>
      <c r="G209" s="5">
        <v>0.65001342449999999</v>
      </c>
      <c r="H209" s="5">
        <v>0</v>
      </c>
      <c r="I209" s="5">
        <v>0</v>
      </c>
      <c r="J209" s="30">
        <v>0</v>
      </c>
      <c r="K209" s="5">
        <v>0</v>
      </c>
      <c r="L209" s="5">
        <v>0.65001342449999999</v>
      </c>
      <c r="M209" s="5">
        <v>0</v>
      </c>
      <c r="N209" s="5">
        <v>0.65001342449999999</v>
      </c>
      <c r="O209" s="6" t="s">
        <v>13</v>
      </c>
      <c r="P209" s="24"/>
    </row>
    <row r="210" spans="3:16" ht="57" customHeight="1" x14ac:dyDescent="0.25">
      <c r="C210" s="24"/>
      <c r="D210" s="127" t="s">
        <v>30</v>
      </c>
      <c r="E210" s="128"/>
      <c r="F210" s="17" t="s">
        <v>20</v>
      </c>
      <c r="G210" s="18">
        <v>0.33329999269999999</v>
      </c>
      <c r="H210" s="18">
        <v>0</v>
      </c>
      <c r="I210" s="18">
        <v>0</v>
      </c>
      <c r="J210" s="30">
        <v>0</v>
      </c>
      <c r="K210" s="18">
        <v>0</v>
      </c>
      <c r="L210" s="19">
        <v>0.33329999269999999</v>
      </c>
      <c r="M210" s="18">
        <v>0</v>
      </c>
      <c r="N210" s="18">
        <v>0.15233809470000001</v>
      </c>
      <c r="O210" s="20" t="s">
        <v>13</v>
      </c>
      <c r="P210" s="24"/>
    </row>
    <row r="211" spans="3:16" ht="51" customHeight="1" x14ac:dyDescent="0.25">
      <c r="C211" s="24"/>
      <c r="D211" s="127" t="s">
        <v>31</v>
      </c>
      <c r="E211" s="128"/>
      <c r="F211" s="17" t="s">
        <v>20</v>
      </c>
      <c r="G211" s="18">
        <v>11.484061478299999</v>
      </c>
      <c r="H211" s="18">
        <v>0</v>
      </c>
      <c r="I211" s="19">
        <v>0.52892803600000005</v>
      </c>
      <c r="J211" s="30">
        <v>0</v>
      </c>
      <c r="K211" s="18">
        <v>0</v>
      </c>
      <c r="L211" s="18">
        <v>0</v>
      </c>
      <c r="M211" s="19">
        <v>10.955133442299999</v>
      </c>
      <c r="N211" s="18">
        <v>4.8592509334000002</v>
      </c>
      <c r="O211" s="20" t="s">
        <v>13</v>
      </c>
      <c r="P211" s="24"/>
    </row>
    <row r="212" spans="3:16" x14ac:dyDescent="0.25">
      <c r="C212" s="24"/>
      <c r="D212" s="127" t="s">
        <v>32</v>
      </c>
      <c r="E212" s="128"/>
      <c r="F212" s="17" t="s">
        <v>13</v>
      </c>
      <c r="G212" s="18">
        <v>0.29301536500000003</v>
      </c>
      <c r="H212" s="18">
        <v>0</v>
      </c>
      <c r="I212" s="19">
        <v>3.1327616099999997E-2</v>
      </c>
      <c r="J212" s="30">
        <v>0</v>
      </c>
      <c r="K212" s="19">
        <v>4.4864871799999997E-2</v>
      </c>
      <c r="L212" s="19">
        <v>0.21682287710000001</v>
      </c>
      <c r="M212" s="18">
        <v>0</v>
      </c>
      <c r="N212" s="18">
        <v>0.29301536500000003</v>
      </c>
      <c r="O212" s="20" t="s">
        <v>13</v>
      </c>
      <c r="P212" s="24"/>
    </row>
    <row r="213" spans="3:16" ht="25.5" x14ac:dyDescent="0.25">
      <c r="C213" s="24"/>
      <c r="D213" s="127" t="s">
        <v>33</v>
      </c>
      <c r="E213" s="128"/>
      <c r="F213" s="16" t="s">
        <v>34</v>
      </c>
      <c r="G213" s="18">
        <f>SUM(H213:M213)</f>
        <v>853.61632151689992</v>
      </c>
      <c r="H213" s="18">
        <v>0</v>
      </c>
      <c r="I213" s="19">
        <v>492.18415307089998</v>
      </c>
      <c r="J213" s="30">
        <v>0</v>
      </c>
      <c r="K213" s="18">
        <v>0</v>
      </c>
      <c r="L213" s="19">
        <v>361.43216844599999</v>
      </c>
      <c r="M213" s="108">
        <v>0</v>
      </c>
      <c r="N213" s="18">
        <v>33.798103465799997</v>
      </c>
      <c r="O213" s="20" t="s">
        <v>13</v>
      </c>
      <c r="P213" s="24"/>
    </row>
    <row r="214" spans="3:16" x14ac:dyDescent="0.25">
      <c r="C214" s="24"/>
      <c r="D214" s="131" t="s">
        <v>35</v>
      </c>
      <c r="E214" s="132"/>
      <c r="F214" s="4" t="s">
        <v>13</v>
      </c>
      <c r="G214" s="5">
        <v>7.4603934999999998E-3</v>
      </c>
      <c r="H214" s="5">
        <v>0</v>
      </c>
      <c r="I214" s="5">
        <v>0</v>
      </c>
      <c r="J214" s="30">
        <v>0</v>
      </c>
      <c r="K214" s="5">
        <v>0</v>
      </c>
      <c r="L214" s="5">
        <v>7.4603934999999998E-3</v>
      </c>
      <c r="M214" s="5">
        <v>0</v>
      </c>
      <c r="N214" s="5">
        <v>7.4603934999999998E-3</v>
      </c>
      <c r="O214" s="6" t="s">
        <v>13</v>
      </c>
      <c r="P214" s="24"/>
    </row>
    <row r="215" spans="3:16" ht="25.5" x14ac:dyDescent="0.25">
      <c r="C215" s="24"/>
      <c r="D215" s="131" t="s">
        <v>36</v>
      </c>
      <c r="E215" s="132"/>
      <c r="F215" s="4" t="s">
        <v>18</v>
      </c>
      <c r="G215" s="5">
        <v>56.229820268499999</v>
      </c>
      <c r="H215" s="5">
        <v>0</v>
      </c>
      <c r="I215" s="5">
        <v>0</v>
      </c>
      <c r="J215" s="30">
        <v>0</v>
      </c>
      <c r="K215" s="5">
        <v>0</v>
      </c>
      <c r="L215" s="5">
        <v>56.229820268499999</v>
      </c>
      <c r="M215" s="5">
        <v>0</v>
      </c>
      <c r="N215" s="5">
        <v>4.2110512400000001E-2</v>
      </c>
      <c r="O215" s="6" t="s">
        <v>13</v>
      </c>
      <c r="P215" s="24"/>
    </row>
    <row r="216" spans="3:16" x14ac:dyDescent="0.25">
      <c r="C216" s="24"/>
      <c r="D216" s="127" t="s">
        <v>37</v>
      </c>
      <c r="E216" s="128"/>
      <c r="F216" s="17" t="s">
        <v>27</v>
      </c>
      <c r="G216" s="18">
        <v>1450.7601601705001</v>
      </c>
      <c r="H216" s="18">
        <v>0</v>
      </c>
      <c r="I216" s="18">
        <v>0</v>
      </c>
      <c r="J216" s="30">
        <v>0</v>
      </c>
      <c r="K216" s="18">
        <v>0</v>
      </c>
      <c r="L216" s="19">
        <v>1450.7601601705001</v>
      </c>
      <c r="M216" s="18">
        <v>0</v>
      </c>
      <c r="N216" s="18">
        <v>1.4507601602</v>
      </c>
      <c r="O216" s="20" t="s">
        <v>13</v>
      </c>
      <c r="P216" s="24"/>
    </row>
    <row r="217" spans="3:16" ht="15" customHeight="1" x14ac:dyDescent="0.25">
      <c r="C217" s="24"/>
      <c r="D217" s="129" t="s">
        <v>38</v>
      </c>
      <c r="E217" s="130"/>
      <c r="F217" s="29" t="s">
        <v>13</v>
      </c>
      <c r="G217" s="30">
        <v>3.2177622030999999</v>
      </c>
      <c r="H217" s="30">
        <v>0</v>
      </c>
      <c r="I217" s="30">
        <v>0</v>
      </c>
      <c r="J217" s="30">
        <v>3.0705104091000002</v>
      </c>
      <c r="K217" s="30">
        <v>0</v>
      </c>
      <c r="L217" s="30">
        <v>0.1472517941</v>
      </c>
      <c r="M217" s="30">
        <v>0</v>
      </c>
      <c r="N217" s="30">
        <v>3.2177622030999999</v>
      </c>
      <c r="O217" s="31" t="s">
        <v>13</v>
      </c>
      <c r="P217" s="24"/>
    </row>
    <row r="218" spans="3:16" x14ac:dyDescent="0.25">
      <c r="C218" s="24"/>
      <c r="D218" s="127" t="s">
        <v>39</v>
      </c>
      <c r="E218" s="128"/>
      <c r="F218" s="17" t="s">
        <v>27</v>
      </c>
      <c r="G218" s="18">
        <v>52.225971428599998</v>
      </c>
      <c r="H218" s="18">
        <v>0</v>
      </c>
      <c r="I218" s="18">
        <v>0</v>
      </c>
      <c r="J218" s="30">
        <v>0</v>
      </c>
      <c r="K218" s="18">
        <v>0</v>
      </c>
      <c r="L218" s="18">
        <v>0</v>
      </c>
      <c r="M218" s="19">
        <v>52.225971428599998</v>
      </c>
      <c r="N218" s="18">
        <v>5.2225971400000001E-2</v>
      </c>
      <c r="O218" s="20" t="s">
        <v>13</v>
      </c>
      <c r="P218" s="24"/>
    </row>
    <row r="219" spans="3:16" ht="36.75" customHeight="1" x14ac:dyDescent="0.25">
      <c r="C219" s="24"/>
      <c r="D219" s="127" t="s">
        <v>40</v>
      </c>
      <c r="E219" s="128"/>
      <c r="F219" s="16" t="s">
        <v>20</v>
      </c>
      <c r="G219" s="18">
        <v>17.583349178999999</v>
      </c>
      <c r="H219" s="18">
        <v>0</v>
      </c>
      <c r="I219" s="19">
        <v>3.3532014067000002</v>
      </c>
      <c r="J219" s="30">
        <v>0</v>
      </c>
      <c r="K219" s="19">
        <v>5.6655932130000002</v>
      </c>
      <c r="L219" s="19">
        <v>8.5645545593999994</v>
      </c>
      <c r="M219" s="18">
        <v>0</v>
      </c>
      <c r="N219" s="18">
        <v>7.4400425381000002</v>
      </c>
      <c r="O219" s="20" t="s">
        <v>13</v>
      </c>
      <c r="P219" s="24"/>
    </row>
    <row r="220" spans="3:16" ht="25.5" x14ac:dyDescent="0.25">
      <c r="C220" s="24"/>
      <c r="D220" s="127" t="s">
        <v>41</v>
      </c>
      <c r="E220" s="128"/>
      <c r="F220" s="16" t="s">
        <v>34</v>
      </c>
      <c r="G220" s="18">
        <v>345.94201158229998</v>
      </c>
      <c r="H220" s="18">
        <v>0</v>
      </c>
      <c r="I220" s="18">
        <v>0</v>
      </c>
      <c r="J220" s="30">
        <v>0</v>
      </c>
      <c r="K220" s="19">
        <v>345.94201158229998</v>
      </c>
      <c r="L220" s="18">
        <v>0</v>
      </c>
      <c r="M220" s="18">
        <v>0</v>
      </c>
      <c r="N220" s="18">
        <v>1.5716723649</v>
      </c>
      <c r="O220" s="20" t="s">
        <v>13</v>
      </c>
      <c r="P220" s="24"/>
    </row>
    <row r="221" spans="3:16" ht="34.5" customHeight="1" x14ac:dyDescent="0.25">
      <c r="C221" s="24"/>
      <c r="D221" s="127" t="s">
        <v>42</v>
      </c>
      <c r="E221" s="128"/>
      <c r="F221" s="17" t="s">
        <v>43</v>
      </c>
      <c r="G221" s="18">
        <v>2.7163714292000001</v>
      </c>
      <c r="H221" s="18">
        <v>0</v>
      </c>
      <c r="I221" s="18">
        <v>0</v>
      </c>
      <c r="J221" s="30">
        <v>0</v>
      </c>
      <c r="K221" s="18">
        <v>0</v>
      </c>
      <c r="L221" s="19">
        <v>2.7163714292000001</v>
      </c>
      <c r="M221" s="18">
        <v>0</v>
      </c>
      <c r="N221" s="18">
        <v>2.0372786000000002E-3</v>
      </c>
      <c r="O221" s="20" t="s">
        <v>13</v>
      </c>
      <c r="P221" s="24"/>
    </row>
    <row r="222" spans="3:16" ht="31.5" customHeight="1" x14ac:dyDescent="0.25">
      <c r="C222" s="24"/>
      <c r="D222" s="127" t="s">
        <v>44</v>
      </c>
      <c r="E222" s="128"/>
      <c r="F222" s="17" t="s">
        <v>43</v>
      </c>
      <c r="G222" s="18">
        <v>478.90253468100002</v>
      </c>
      <c r="H222" s="18">
        <v>0</v>
      </c>
      <c r="I222" s="18">
        <v>0</v>
      </c>
      <c r="J222" s="30">
        <v>0</v>
      </c>
      <c r="K222" s="18">
        <v>0</v>
      </c>
      <c r="L222" s="19">
        <v>145.33829948100001</v>
      </c>
      <c r="M222" s="19">
        <v>333.56423519999998</v>
      </c>
      <c r="N222" s="18">
        <v>0.35917690099999999</v>
      </c>
      <c r="O222" s="20" t="s">
        <v>13</v>
      </c>
      <c r="P222" s="24"/>
    </row>
    <row r="223" spans="3:16" ht="39.75" customHeight="1" x14ac:dyDescent="0.25">
      <c r="C223" s="24"/>
      <c r="D223" s="129" t="s">
        <v>45</v>
      </c>
      <c r="E223" s="130"/>
      <c r="F223" s="29" t="s">
        <v>13</v>
      </c>
      <c r="G223" s="30">
        <v>3.5598334199999998E-2</v>
      </c>
      <c r="H223" s="30">
        <v>0</v>
      </c>
      <c r="I223" s="30">
        <v>0</v>
      </c>
      <c r="J223" s="30">
        <v>3.5598334199999998E-2</v>
      </c>
      <c r="K223" s="30">
        <v>0</v>
      </c>
      <c r="L223" s="30">
        <v>0</v>
      </c>
      <c r="M223" s="30">
        <v>0</v>
      </c>
      <c r="N223" s="30">
        <v>3.5598334199999998E-2</v>
      </c>
      <c r="O223" s="31" t="s">
        <v>13</v>
      </c>
      <c r="P223" s="24"/>
    </row>
    <row r="224" spans="3:16" x14ac:dyDescent="0.25"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</row>
    <row r="225" spans="3:16" x14ac:dyDescent="0.25"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</row>
    <row r="226" spans="3:16" x14ac:dyDescent="0.25">
      <c r="C226" s="24"/>
      <c r="D226" s="24" t="s">
        <v>105</v>
      </c>
      <c r="E226" s="24"/>
      <c r="F226" s="24"/>
      <c r="G226" s="24">
        <f>(K220/(0.3048^2))/(3010)*9</f>
        <v>11.133953288516315</v>
      </c>
      <c r="H226" s="24" t="s">
        <v>106</v>
      </c>
      <c r="I226" s="24" t="s">
        <v>107</v>
      </c>
      <c r="J226" s="24"/>
      <c r="K226" s="24"/>
      <c r="L226" s="24"/>
      <c r="M226" s="24"/>
      <c r="N226" s="24"/>
      <c r="O226" s="24"/>
      <c r="P226" s="24"/>
    </row>
    <row r="227" spans="3:16" x14ac:dyDescent="0.25"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</row>
    <row r="228" spans="3:16" x14ac:dyDescent="0.25">
      <c r="C228" s="24"/>
      <c r="D228" s="82" t="s">
        <v>142</v>
      </c>
      <c r="E228" s="24"/>
      <c r="F228" s="24">
        <v>1</v>
      </c>
      <c r="G228" s="24" t="s">
        <v>12</v>
      </c>
      <c r="H228" s="24"/>
      <c r="I228" s="24"/>
      <c r="J228" s="24"/>
      <c r="K228" s="24"/>
      <c r="L228" s="24"/>
      <c r="M228" s="24"/>
      <c r="N228" s="24"/>
      <c r="O228" s="24"/>
      <c r="P228" s="24"/>
    </row>
    <row r="229" spans="3:16" x14ac:dyDescent="0.25">
      <c r="C229" s="24"/>
      <c r="D229" s="137" t="s">
        <v>0</v>
      </c>
      <c r="E229" s="137"/>
      <c r="F229" s="62" t="s">
        <v>1</v>
      </c>
      <c r="G229" s="63" t="s">
        <v>2</v>
      </c>
      <c r="H229" s="62" t="s">
        <v>3</v>
      </c>
      <c r="I229" s="63" t="s">
        <v>4</v>
      </c>
      <c r="J229" s="62" t="s">
        <v>5</v>
      </c>
      <c r="K229" s="63" t="s">
        <v>6</v>
      </c>
      <c r="L229" s="62" t="s">
        <v>7</v>
      </c>
      <c r="M229" s="63" t="s">
        <v>8</v>
      </c>
      <c r="N229" s="64" t="s">
        <v>9</v>
      </c>
      <c r="O229" s="65" t="s">
        <v>10</v>
      </c>
      <c r="P229" s="24"/>
    </row>
    <row r="230" spans="3:16" x14ac:dyDescent="0.25">
      <c r="C230" s="24"/>
      <c r="D230" s="136" t="s">
        <v>32</v>
      </c>
      <c r="E230" s="136"/>
      <c r="F230" s="81" t="s">
        <v>27</v>
      </c>
      <c r="G230" s="76">
        <v>2.5999999999999999E-2</v>
      </c>
      <c r="H230" s="81"/>
      <c r="I230" s="76"/>
      <c r="J230" s="81"/>
      <c r="K230" s="76"/>
      <c r="L230" s="81">
        <f>G230</f>
        <v>2.5999999999999999E-2</v>
      </c>
      <c r="M230" s="76"/>
      <c r="N230" s="81">
        <f>L230/1000</f>
        <v>2.5999999999999998E-5</v>
      </c>
      <c r="O230" s="76" t="s">
        <v>13</v>
      </c>
      <c r="P230" s="24"/>
    </row>
    <row r="231" spans="3:16" x14ac:dyDescent="0.25">
      <c r="C231" s="24"/>
      <c r="D231" s="136" t="s">
        <v>109</v>
      </c>
      <c r="E231" s="136"/>
      <c r="F231" s="81" t="s">
        <v>27</v>
      </c>
      <c r="G231" s="76">
        <v>2.2785000000000002</v>
      </c>
      <c r="H231" s="81"/>
      <c r="I231" s="76"/>
      <c r="J231" s="81"/>
      <c r="K231" s="76"/>
      <c r="L231" s="81">
        <f>G231</f>
        <v>2.2785000000000002</v>
      </c>
      <c r="M231" s="76"/>
      <c r="N231" s="81">
        <f>L231/1000</f>
        <v>2.2785000000000001E-3</v>
      </c>
      <c r="O231" s="76" t="s">
        <v>13</v>
      </c>
      <c r="P231" s="24"/>
    </row>
    <row r="232" spans="3:16" x14ac:dyDescent="0.25"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</row>
    <row r="233" spans="3:16" x14ac:dyDescent="0.25">
      <c r="C233" s="24"/>
      <c r="D233" s="82" t="s">
        <v>143</v>
      </c>
      <c r="E233" s="24"/>
      <c r="F233" s="24">
        <v>1</v>
      </c>
      <c r="G233" s="24" t="s">
        <v>12</v>
      </c>
      <c r="H233" s="24"/>
      <c r="I233" s="24"/>
      <c r="J233" s="24"/>
      <c r="K233" s="24"/>
      <c r="L233" s="24"/>
      <c r="M233" s="24"/>
      <c r="N233" s="24"/>
      <c r="O233" s="24"/>
      <c r="P233" s="24"/>
    </row>
    <row r="234" spans="3:16" x14ac:dyDescent="0.25">
      <c r="C234" s="24"/>
      <c r="D234" s="137" t="s">
        <v>0</v>
      </c>
      <c r="E234" s="137"/>
      <c r="F234" s="62" t="s">
        <v>1</v>
      </c>
      <c r="G234" s="63" t="s">
        <v>2</v>
      </c>
      <c r="H234" s="62" t="s">
        <v>3</v>
      </c>
      <c r="I234" s="63" t="s">
        <v>4</v>
      </c>
      <c r="J234" s="62" t="s">
        <v>5</v>
      </c>
      <c r="K234" s="63" t="s">
        <v>6</v>
      </c>
      <c r="L234" s="62" t="s">
        <v>7</v>
      </c>
      <c r="M234" s="63" t="s">
        <v>8</v>
      </c>
      <c r="N234" s="64" t="s">
        <v>9</v>
      </c>
      <c r="O234" s="65" t="s">
        <v>10</v>
      </c>
      <c r="P234" s="24"/>
    </row>
    <row r="235" spans="3:16" x14ac:dyDescent="0.25">
      <c r="C235" s="24"/>
      <c r="D235" s="136" t="s">
        <v>160</v>
      </c>
      <c r="E235" s="136"/>
      <c r="F235" s="81" t="s">
        <v>27</v>
      </c>
      <c r="G235" s="76">
        <v>127.7</v>
      </c>
      <c r="H235" s="81"/>
      <c r="I235" s="76"/>
      <c r="J235" s="81"/>
      <c r="K235" s="76"/>
      <c r="L235" s="81">
        <f>G235</f>
        <v>127.7</v>
      </c>
      <c r="M235" s="76"/>
      <c r="N235" s="81">
        <f>L235/1000</f>
        <v>0.12770000000000001</v>
      </c>
      <c r="O235" s="76" t="s">
        <v>13</v>
      </c>
      <c r="P235" s="24"/>
    </row>
    <row r="236" spans="3:16" x14ac:dyDescent="0.25">
      <c r="C236" s="24"/>
      <c r="D236" s="136" t="s">
        <v>124</v>
      </c>
      <c r="E236" s="136"/>
      <c r="F236" s="81" t="s">
        <v>27</v>
      </c>
      <c r="G236" s="76">
        <v>328.8</v>
      </c>
      <c r="H236" s="81"/>
      <c r="I236" s="76"/>
      <c r="J236" s="81"/>
      <c r="K236" s="76"/>
      <c r="L236" s="81">
        <f>G236</f>
        <v>328.8</v>
      </c>
      <c r="M236" s="76"/>
      <c r="N236" s="81">
        <f>L236/1000</f>
        <v>0.32880000000000004</v>
      </c>
      <c r="O236" s="76" t="s">
        <v>13</v>
      </c>
      <c r="P236" s="24"/>
    </row>
    <row r="237" spans="3:16" x14ac:dyDescent="0.25">
      <c r="C237" s="24"/>
      <c r="D237" s="136" t="s">
        <v>161</v>
      </c>
      <c r="E237" s="136"/>
      <c r="F237" s="81" t="s">
        <v>27</v>
      </c>
      <c r="G237" s="76">
        <v>0.2</v>
      </c>
      <c r="H237" s="81"/>
      <c r="I237" s="76"/>
      <c r="J237" s="81"/>
      <c r="K237" s="76"/>
      <c r="L237" s="81">
        <f>G237</f>
        <v>0.2</v>
      </c>
      <c r="M237" s="76"/>
      <c r="N237" s="81">
        <f>L237/1000</f>
        <v>2.0000000000000001E-4</v>
      </c>
      <c r="O237" s="76" t="s">
        <v>13</v>
      </c>
      <c r="P237" s="24"/>
    </row>
    <row r="238" spans="3:16" x14ac:dyDescent="0.25"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</row>
    <row r="239" spans="3:16" x14ac:dyDescent="0.25">
      <c r="C239" s="24"/>
      <c r="D239" s="82" t="s">
        <v>144</v>
      </c>
      <c r="E239" s="24"/>
      <c r="F239" s="24">
        <v>1</v>
      </c>
      <c r="G239" s="24" t="s">
        <v>12</v>
      </c>
      <c r="H239" s="24"/>
      <c r="I239" s="24"/>
      <c r="J239" s="24"/>
      <c r="K239" s="24"/>
      <c r="L239" s="24"/>
      <c r="M239" s="24"/>
      <c r="N239" s="24"/>
      <c r="O239" s="24"/>
      <c r="P239" s="24"/>
    </row>
    <row r="240" spans="3:16" x14ac:dyDescent="0.25">
      <c r="C240" s="24"/>
      <c r="D240" s="137" t="s">
        <v>0</v>
      </c>
      <c r="E240" s="137"/>
      <c r="F240" s="62" t="s">
        <v>1</v>
      </c>
      <c r="G240" s="63" t="s">
        <v>2</v>
      </c>
      <c r="H240" s="62" t="s">
        <v>3</v>
      </c>
      <c r="I240" s="63" t="s">
        <v>4</v>
      </c>
      <c r="J240" s="62" t="s">
        <v>5</v>
      </c>
      <c r="K240" s="63" t="s">
        <v>6</v>
      </c>
      <c r="L240" s="62" t="s">
        <v>7</v>
      </c>
      <c r="M240" s="63" t="s">
        <v>8</v>
      </c>
      <c r="N240" s="64" t="s">
        <v>9</v>
      </c>
      <c r="O240" s="65" t="s">
        <v>10</v>
      </c>
      <c r="P240" s="24"/>
    </row>
    <row r="241" spans="3:18" x14ac:dyDescent="0.25">
      <c r="C241" s="24"/>
      <c r="D241" s="136" t="s">
        <v>32</v>
      </c>
      <c r="E241" s="136"/>
      <c r="F241" s="81" t="s">
        <v>27</v>
      </c>
      <c r="G241" s="76">
        <v>0.124</v>
      </c>
      <c r="H241" s="81"/>
      <c r="I241" s="76"/>
      <c r="J241" s="81"/>
      <c r="K241" s="76"/>
      <c r="L241" s="81">
        <f>G241</f>
        <v>0.124</v>
      </c>
      <c r="M241" s="76"/>
      <c r="N241" s="81">
        <f>L241/1000</f>
        <v>1.2400000000000001E-4</v>
      </c>
      <c r="O241" s="76" t="s">
        <v>13</v>
      </c>
      <c r="P241" s="24"/>
    </row>
    <row r="242" spans="3:18" x14ac:dyDescent="0.25">
      <c r="C242" s="24"/>
      <c r="D242" s="136" t="s">
        <v>163</v>
      </c>
      <c r="E242" s="136"/>
      <c r="F242" s="81" t="s">
        <v>20</v>
      </c>
      <c r="G242" s="76">
        <v>2.8579999999999999E-3</v>
      </c>
      <c r="H242" s="81"/>
      <c r="I242" s="76"/>
      <c r="J242" s="81"/>
      <c r="K242" s="76"/>
      <c r="L242" s="81">
        <f>G242</f>
        <v>2.8579999999999999E-3</v>
      </c>
      <c r="M242" s="76"/>
      <c r="N242" s="81">
        <f>L242*450/1000</f>
        <v>1.2861000000000001E-3</v>
      </c>
      <c r="O242" s="76" t="s">
        <v>13</v>
      </c>
      <c r="P242" s="24"/>
    </row>
    <row r="243" spans="3:18" x14ac:dyDescent="0.25">
      <c r="C243" s="24"/>
      <c r="D243" s="136" t="s">
        <v>162</v>
      </c>
      <c r="E243" s="136"/>
      <c r="F243" s="81" t="s">
        <v>27</v>
      </c>
      <c r="G243" s="76">
        <v>5.3339999999999996</v>
      </c>
      <c r="H243" s="81"/>
      <c r="I243" s="76"/>
      <c r="J243" s="81"/>
      <c r="K243" s="76"/>
      <c r="L243" s="81">
        <f>G243</f>
        <v>5.3339999999999996</v>
      </c>
      <c r="M243" s="76"/>
      <c r="N243" s="81">
        <f>L243/1000</f>
        <v>5.3339999999999993E-3</v>
      </c>
      <c r="O243" s="76" t="s">
        <v>13</v>
      </c>
      <c r="P243" s="24"/>
    </row>
    <row r="244" spans="3:18" x14ac:dyDescent="0.25"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</row>
    <row r="245" spans="3:18" x14ac:dyDescent="0.25"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</row>
    <row r="246" spans="3:18" x14ac:dyDescent="0.25">
      <c r="C246" s="24"/>
      <c r="D246" s="39" t="s">
        <v>110</v>
      </c>
      <c r="E246" s="86" t="s">
        <v>154</v>
      </c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R246" s="7" t="s">
        <v>130</v>
      </c>
    </row>
    <row r="247" spans="3:18" x14ac:dyDescent="0.25">
      <c r="C247" s="24"/>
      <c r="P247" s="24"/>
    </row>
    <row r="248" spans="3:18" ht="26.25" x14ac:dyDescent="0.25">
      <c r="C248" s="24"/>
      <c r="D248" s="133" t="s">
        <v>0</v>
      </c>
      <c r="E248" s="132"/>
      <c r="F248" s="2" t="s">
        <v>1</v>
      </c>
      <c r="G248" s="3" t="s">
        <v>2</v>
      </c>
      <c r="H248" s="2" t="s">
        <v>3</v>
      </c>
      <c r="I248" s="2" t="s">
        <v>4</v>
      </c>
      <c r="J248" s="2" t="s">
        <v>5</v>
      </c>
      <c r="K248" s="2" t="s">
        <v>6</v>
      </c>
      <c r="L248" s="2" t="s">
        <v>7</v>
      </c>
      <c r="M248" s="2" t="s">
        <v>8</v>
      </c>
      <c r="N248" s="2" t="s">
        <v>9</v>
      </c>
      <c r="O248" s="2" t="s">
        <v>10</v>
      </c>
      <c r="P248" s="24"/>
    </row>
    <row r="249" spans="3:18" x14ac:dyDescent="0.25">
      <c r="C249" s="24"/>
      <c r="D249" s="131" t="s">
        <v>11</v>
      </c>
      <c r="E249" s="132"/>
      <c r="F249" s="4" t="s">
        <v>12</v>
      </c>
      <c r="G249" s="5">
        <v>1187.1118153616001</v>
      </c>
      <c r="H249" s="5">
        <v>0</v>
      </c>
      <c r="I249" s="5">
        <v>0</v>
      </c>
      <c r="J249" s="30">
        <v>0</v>
      </c>
      <c r="K249" s="5">
        <v>892.05794924400004</v>
      </c>
      <c r="L249" s="5">
        <v>295.05386611760002</v>
      </c>
      <c r="M249" s="5">
        <v>0</v>
      </c>
      <c r="N249" s="5">
        <v>0.86634600939999995</v>
      </c>
      <c r="O249" s="6" t="s">
        <v>13</v>
      </c>
      <c r="P249" s="24"/>
    </row>
    <row r="250" spans="3:18" ht="25.5" customHeight="1" x14ac:dyDescent="0.25">
      <c r="C250" s="24"/>
      <c r="D250" s="127" t="s">
        <v>14</v>
      </c>
      <c r="E250" s="128"/>
      <c r="F250" s="17" t="s">
        <v>12</v>
      </c>
      <c r="G250" s="18">
        <v>909.11511794579997</v>
      </c>
      <c r="H250" s="18">
        <v>0</v>
      </c>
      <c r="I250" s="18">
        <v>0</v>
      </c>
      <c r="J250" s="30">
        <v>0</v>
      </c>
      <c r="K250" s="18">
        <v>0</v>
      </c>
      <c r="L250" s="19">
        <v>651.30419094579997</v>
      </c>
      <c r="M250" s="19">
        <v>257.81092699999999</v>
      </c>
      <c r="N250" s="18">
        <v>7.3274678505999997</v>
      </c>
      <c r="O250" s="20" t="s">
        <v>13</v>
      </c>
      <c r="P250" s="24"/>
    </row>
    <row r="251" spans="3:18" x14ac:dyDescent="0.25">
      <c r="C251" s="24"/>
      <c r="D251" s="129" t="s">
        <v>15</v>
      </c>
      <c r="E251" s="130"/>
      <c r="F251" s="29" t="s">
        <v>12</v>
      </c>
      <c r="G251" s="30">
        <v>150.84222499009999</v>
      </c>
      <c r="H251" s="30">
        <v>0</v>
      </c>
      <c r="I251" s="30">
        <v>0</v>
      </c>
      <c r="J251" s="30">
        <v>150.84222499009999</v>
      </c>
      <c r="K251" s="30">
        <v>0</v>
      </c>
      <c r="L251" s="30">
        <v>0</v>
      </c>
      <c r="M251" s="30">
        <v>0</v>
      </c>
      <c r="N251" s="30">
        <v>2.2626333700000001E-2</v>
      </c>
      <c r="O251" s="31" t="s">
        <v>13</v>
      </c>
      <c r="P251" s="24"/>
    </row>
    <row r="252" spans="3:18" x14ac:dyDescent="0.25">
      <c r="C252" s="24"/>
      <c r="D252" s="131" t="s">
        <v>16</v>
      </c>
      <c r="E252" s="132"/>
      <c r="F252" s="4" t="s">
        <v>12</v>
      </c>
      <c r="G252" s="5">
        <v>274.54639351330002</v>
      </c>
      <c r="H252" s="5">
        <v>0</v>
      </c>
      <c r="I252" s="5">
        <v>0</v>
      </c>
      <c r="J252" s="30">
        <v>0</v>
      </c>
      <c r="K252" s="5">
        <v>0</v>
      </c>
      <c r="L252" s="5">
        <v>274.54639351330002</v>
      </c>
      <c r="M252" s="5">
        <v>0</v>
      </c>
      <c r="N252" s="5">
        <v>1.6755648800000002E-2</v>
      </c>
      <c r="O252" s="6" t="s">
        <v>13</v>
      </c>
      <c r="P252" s="24"/>
    </row>
    <row r="253" spans="3:18" ht="25.5" x14ac:dyDescent="0.25">
      <c r="C253" s="24"/>
      <c r="D253" s="127" t="s">
        <v>17</v>
      </c>
      <c r="E253" s="128"/>
      <c r="F253" s="17" t="s">
        <v>18</v>
      </c>
      <c r="G253" s="18">
        <v>2535.6906574807999</v>
      </c>
      <c r="H253" s="18">
        <v>0</v>
      </c>
      <c r="I253" s="18">
        <v>0</v>
      </c>
      <c r="J253" s="30">
        <v>0</v>
      </c>
      <c r="K253" s="18">
        <v>0</v>
      </c>
      <c r="L253" s="18">
        <v>1482.9505249808001</v>
      </c>
      <c r="M253" s="18">
        <v>1052.7401325000001</v>
      </c>
      <c r="N253" s="18">
        <v>1.6228420208000001</v>
      </c>
      <c r="O253" s="20" t="s">
        <v>13</v>
      </c>
      <c r="P253" s="24"/>
    </row>
    <row r="254" spans="3:18" x14ac:dyDescent="0.25">
      <c r="C254" s="24"/>
      <c r="D254" s="129" t="s">
        <v>19</v>
      </c>
      <c r="E254" s="130"/>
      <c r="F254" s="29" t="s">
        <v>20</v>
      </c>
      <c r="G254" s="30">
        <v>46.878357510999997</v>
      </c>
      <c r="H254" s="30">
        <v>0</v>
      </c>
      <c r="I254" s="30">
        <v>0</v>
      </c>
      <c r="J254" s="30">
        <v>41.279080256900002</v>
      </c>
      <c r="K254" s="30">
        <v>0</v>
      </c>
      <c r="L254" s="30">
        <v>5.5992772541000004</v>
      </c>
      <c r="M254" s="30">
        <v>0</v>
      </c>
      <c r="N254" s="30">
        <v>107.509414096</v>
      </c>
      <c r="O254" s="31" t="s">
        <v>13</v>
      </c>
      <c r="P254" s="24"/>
    </row>
    <row r="255" spans="3:18" ht="35.25" customHeight="1" x14ac:dyDescent="0.25">
      <c r="C255" s="24"/>
      <c r="D255" s="127" t="s">
        <v>21</v>
      </c>
      <c r="E255" s="128"/>
      <c r="F255" s="17" t="s">
        <v>12</v>
      </c>
      <c r="G255" s="18">
        <v>79.562439063699998</v>
      </c>
      <c r="H255" s="18">
        <v>0</v>
      </c>
      <c r="I255" s="18">
        <v>0</v>
      </c>
      <c r="J255" s="30">
        <v>0</v>
      </c>
      <c r="K255" s="18">
        <v>0</v>
      </c>
      <c r="L255" s="19">
        <v>79.562439063699998</v>
      </c>
      <c r="M255" s="18">
        <v>0</v>
      </c>
      <c r="N255" s="18">
        <v>1.2883645211000001</v>
      </c>
      <c r="O255" s="20" t="s">
        <v>13</v>
      </c>
      <c r="P255" s="24"/>
    </row>
    <row r="256" spans="3:18" ht="25.5" x14ac:dyDescent="0.25">
      <c r="C256" s="24"/>
      <c r="D256" s="127" t="s">
        <v>22</v>
      </c>
      <c r="E256" s="128"/>
      <c r="F256" s="17" t="s">
        <v>18</v>
      </c>
      <c r="G256" s="18">
        <v>24.885000008199999</v>
      </c>
      <c r="H256" s="18">
        <v>0</v>
      </c>
      <c r="I256" s="18">
        <v>0</v>
      </c>
      <c r="J256" s="30">
        <v>0</v>
      </c>
      <c r="K256" s="18">
        <v>0</v>
      </c>
      <c r="L256" s="19">
        <v>24.885000008199999</v>
      </c>
      <c r="M256" s="18">
        <v>0</v>
      </c>
      <c r="N256" s="18">
        <v>1.7917200000000001E-2</v>
      </c>
      <c r="O256" s="20" t="s">
        <v>13</v>
      </c>
      <c r="P256" s="24"/>
    </row>
    <row r="257" spans="3:16" x14ac:dyDescent="0.25">
      <c r="C257" s="24"/>
      <c r="D257" s="131" t="s">
        <v>23</v>
      </c>
      <c r="E257" s="132"/>
      <c r="F257" s="4" t="s">
        <v>12</v>
      </c>
      <c r="G257" s="5">
        <v>351.47925866240001</v>
      </c>
      <c r="H257" s="5">
        <v>0</v>
      </c>
      <c r="I257" s="5">
        <v>0</v>
      </c>
      <c r="J257" s="30">
        <v>0</v>
      </c>
      <c r="K257" s="5">
        <v>0</v>
      </c>
      <c r="L257" s="5">
        <v>284.69177306239999</v>
      </c>
      <c r="M257" s="5">
        <v>66.787485599999997</v>
      </c>
      <c r="N257" s="5">
        <v>4.9182492665000002</v>
      </c>
      <c r="O257" s="6" t="s">
        <v>13</v>
      </c>
      <c r="P257" s="24"/>
    </row>
    <row r="258" spans="3:16" x14ac:dyDescent="0.25">
      <c r="C258" s="24"/>
      <c r="D258" s="127" t="s">
        <v>24</v>
      </c>
      <c r="E258" s="128"/>
      <c r="F258" s="17" t="s">
        <v>13</v>
      </c>
      <c r="G258" s="18">
        <v>0.53002224789999997</v>
      </c>
      <c r="H258" s="18">
        <v>0</v>
      </c>
      <c r="I258" s="19">
        <v>0.24024332470000001</v>
      </c>
      <c r="J258" s="30">
        <v>0</v>
      </c>
      <c r="K258" s="19">
        <v>0.28977892319999998</v>
      </c>
      <c r="L258" s="18">
        <v>0</v>
      </c>
      <c r="M258" s="18">
        <v>0</v>
      </c>
      <c r="N258" s="18">
        <v>0.53002224789999997</v>
      </c>
      <c r="O258" s="20" t="s">
        <v>13</v>
      </c>
      <c r="P258" s="24"/>
    </row>
    <row r="259" spans="3:16" x14ac:dyDescent="0.25">
      <c r="C259" s="24"/>
      <c r="D259" s="127" t="s">
        <v>25</v>
      </c>
      <c r="E259" s="128"/>
      <c r="F259" s="17" t="s">
        <v>12</v>
      </c>
      <c r="G259" s="18">
        <v>657.30585733769999</v>
      </c>
      <c r="H259" s="18">
        <v>0</v>
      </c>
      <c r="I259" s="18">
        <v>0</v>
      </c>
      <c r="J259" s="30">
        <v>0</v>
      </c>
      <c r="K259" s="18">
        <v>657.30585733769999</v>
      </c>
      <c r="L259" s="18">
        <v>0</v>
      </c>
      <c r="M259" s="18">
        <v>0</v>
      </c>
      <c r="N259" s="18">
        <v>8.4399835233000005</v>
      </c>
      <c r="O259" s="20" t="s">
        <v>13</v>
      </c>
      <c r="P259" s="24"/>
    </row>
    <row r="260" spans="3:16" x14ac:dyDescent="0.25">
      <c r="C260" s="24"/>
      <c r="D260" s="127" t="s">
        <v>26</v>
      </c>
      <c r="E260" s="128"/>
      <c r="F260" s="17" t="s">
        <v>27</v>
      </c>
      <c r="G260" s="18">
        <v>314.99999997920003</v>
      </c>
      <c r="H260" s="18">
        <v>0</v>
      </c>
      <c r="I260" s="18">
        <v>0</v>
      </c>
      <c r="J260" s="30">
        <v>0</v>
      </c>
      <c r="K260" s="18">
        <v>0</v>
      </c>
      <c r="L260" s="19">
        <v>314.99999997920003</v>
      </c>
      <c r="M260" s="18">
        <v>0</v>
      </c>
      <c r="N260" s="18">
        <v>0.315</v>
      </c>
      <c r="O260" s="20" t="s">
        <v>13</v>
      </c>
      <c r="P260" s="24"/>
    </row>
    <row r="261" spans="3:16" x14ac:dyDescent="0.25">
      <c r="C261" s="24"/>
      <c r="D261" s="127" t="s">
        <v>28</v>
      </c>
      <c r="E261" s="128"/>
      <c r="F261" s="17" t="s">
        <v>13</v>
      </c>
      <c r="G261" s="18">
        <v>0.35999998979999998</v>
      </c>
      <c r="H261" s="18">
        <v>0</v>
      </c>
      <c r="I261" s="18">
        <v>0</v>
      </c>
      <c r="J261" s="30">
        <v>0</v>
      </c>
      <c r="K261" s="18">
        <v>0</v>
      </c>
      <c r="L261" s="19">
        <v>0.35999998979999998</v>
      </c>
      <c r="M261" s="18">
        <v>0</v>
      </c>
      <c r="N261" s="18">
        <v>0.35999998979999998</v>
      </c>
      <c r="O261" s="20" t="s">
        <v>13</v>
      </c>
      <c r="P261" s="24"/>
    </row>
    <row r="262" spans="3:16" x14ac:dyDescent="0.25">
      <c r="C262" s="24"/>
      <c r="D262" s="131" t="s">
        <v>29</v>
      </c>
      <c r="E262" s="132"/>
      <c r="F262" s="4" t="s">
        <v>13</v>
      </c>
      <c r="G262" s="5">
        <v>0.65001342449999999</v>
      </c>
      <c r="H262" s="5">
        <v>0</v>
      </c>
      <c r="I262" s="5">
        <v>0</v>
      </c>
      <c r="J262" s="30">
        <v>0</v>
      </c>
      <c r="K262" s="5">
        <v>0</v>
      </c>
      <c r="L262" s="5">
        <v>0.65001342449999999</v>
      </c>
      <c r="M262" s="5">
        <v>0</v>
      </c>
      <c r="N262" s="5">
        <v>0.65001342449999999</v>
      </c>
      <c r="O262" s="6" t="s">
        <v>13</v>
      </c>
      <c r="P262" s="24"/>
    </row>
    <row r="263" spans="3:16" x14ac:dyDescent="0.25">
      <c r="C263" s="24"/>
      <c r="D263" s="127" t="s">
        <v>30</v>
      </c>
      <c r="E263" s="128"/>
      <c r="F263" s="17" t="s">
        <v>20</v>
      </c>
      <c r="G263" s="18">
        <v>0.33329999269999999</v>
      </c>
      <c r="H263" s="18">
        <v>0</v>
      </c>
      <c r="I263" s="18">
        <v>0</v>
      </c>
      <c r="J263" s="30">
        <v>0</v>
      </c>
      <c r="K263" s="18">
        <v>0</v>
      </c>
      <c r="L263" s="19">
        <v>0.33329999269999999</v>
      </c>
      <c r="M263" s="18">
        <v>0</v>
      </c>
      <c r="N263" s="18">
        <v>0.15233809470000001</v>
      </c>
      <c r="O263" s="20" t="s">
        <v>13</v>
      </c>
      <c r="P263" s="24"/>
    </row>
    <row r="264" spans="3:16" ht="35.25" customHeight="1" x14ac:dyDescent="0.25">
      <c r="C264" s="24"/>
      <c r="D264" s="127" t="s">
        <v>31</v>
      </c>
      <c r="E264" s="128"/>
      <c r="F264" s="17" t="s">
        <v>20</v>
      </c>
      <c r="G264" s="18">
        <v>11.484061478299999</v>
      </c>
      <c r="H264" s="18">
        <v>0</v>
      </c>
      <c r="I264" s="19">
        <v>0.52892803600000005</v>
      </c>
      <c r="J264" s="30">
        <v>0</v>
      </c>
      <c r="K264" s="18">
        <v>0</v>
      </c>
      <c r="L264" s="18">
        <v>0</v>
      </c>
      <c r="M264" s="19">
        <v>10.955133442299999</v>
      </c>
      <c r="N264" s="18">
        <v>4.8592509334000002</v>
      </c>
      <c r="O264" s="20" t="s">
        <v>13</v>
      </c>
      <c r="P264" s="24"/>
    </row>
    <row r="265" spans="3:16" x14ac:dyDescent="0.25">
      <c r="C265" s="24"/>
      <c r="D265" s="127" t="s">
        <v>32</v>
      </c>
      <c r="E265" s="128"/>
      <c r="F265" s="17" t="s">
        <v>13</v>
      </c>
      <c r="G265" s="18">
        <f>SUM(H265:M265)</f>
        <v>0.25820536500000002</v>
      </c>
      <c r="H265" s="18">
        <v>0</v>
      </c>
      <c r="I265" s="19">
        <v>3.1327616099999997E-2</v>
      </c>
      <c r="J265" s="30">
        <v>0</v>
      </c>
      <c r="K265" s="19">
        <v>4.4864871799999997E-2</v>
      </c>
      <c r="L265" s="19">
        <f>0.2168228771-348.1*0.0001</f>
        <v>0.1820128771</v>
      </c>
      <c r="M265" s="18">
        <v>0</v>
      </c>
      <c r="N265" s="18">
        <f>G265/1000</f>
        <v>2.5820536500000002E-4</v>
      </c>
      <c r="O265" s="20" t="s">
        <v>13</v>
      </c>
      <c r="P265" s="24"/>
    </row>
    <row r="266" spans="3:16" ht="25.5" x14ac:dyDescent="0.25">
      <c r="C266" s="24"/>
      <c r="D266" s="127" t="s">
        <v>33</v>
      </c>
      <c r="E266" s="128"/>
      <c r="F266" s="16" t="s">
        <v>34</v>
      </c>
      <c r="G266" s="18">
        <f>SUM(H266:M266)</f>
        <v>853.61632151689992</v>
      </c>
      <c r="H266" s="18">
        <v>0</v>
      </c>
      <c r="I266" s="19">
        <v>492.18415307089998</v>
      </c>
      <c r="J266" s="30">
        <v>0</v>
      </c>
      <c r="K266" s="18">
        <v>0</v>
      </c>
      <c r="L266" s="19">
        <v>361.43216844599999</v>
      </c>
      <c r="M266" s="108">
        <v>0</v>
      </c>
      <c r="N266" s="18">
        <f>G266*0.005838264</f>
        <v>4.983637439724542</v>
      </c>
      <c r="O266" s="20" t="s">
        <v>13</v>
      </c>
      <c r="P266" s="24"/>
    </row>
    <row r="267" spans="3:16" x14ac:dyDescent="0.25">
      <c r="C267" s="24"/>
      <c r="D267" s="131" t="s">
        <v>35</v>
      </c>
      <c r="E267" s="132"/>
      <c r="F267" s="4" t="s">
        <v>13</v>
      </c>
      <c r="G267" s="5">
        <v>7.4603934999999998E-3</v>
      </c>
      <c r="H267" s="5">
        <v>0</v>
      </c>
      <c r="I267" s="5">
        <v>0</v>
      </c>
      <c r="J267" s="30">
        <v>0</v>
      </c>
      <c r="K267" s="5">
        <v>0</v>
      </c>
      <c r="L267" s="5">
        <v>7.4603934999999998E-3</v>
      </c>
      <c r="M267" s="5">
        <v>0</v>
      </c>
      <c r="N267" s="5">
        <v>7.4603934999999998E-3</v>
      </c>
      <c r="O267" s="6" t="s">
        <v>13</v>
      </c>
      <c r="P267" s="24"/>
    </row>
    <row r="268" spans="3:16" ht="25.5" x14ac:dyDescent="0.25">
      <c r="C268" s="24"/>
      <c r="D268" s="131" t="s">
        <v>36</v>
      </c>
      <c r="E268" s="132"/>
      <c r="F268" s="4" t="s">
        <v>18</v>
      </c>
      <c r="G268" s="5">
        <v>56.229820268499999</v>
      </c>
      <c r="H268" s="5">
        <v>0</v>
      </c>
      <c r="I268" s="5">
        <v>0</v>
      </c>
      <c r="J268" s="30">
        <v>0</v>
      </c>
      <c r="K268" s="5">
        <v>0</v>
      </c>
      <c r="L268" s="5">
        <v>56.229820268499999</v>
      </c>
      <c r="M268" s="5">
        <v>0</v>
      </c>
      <c r="N268" s="5">
        <v>4.2110512400000001E-2</v>
      </c>
      <c r="O268" s="6" t="s">
        <v>13</v>
      </c>
      <c r="P268" s="24"/>
    </row>
    <row r="269" spans="3:16" x14ac:dyDescent="0.25">
      <c r="C269" s="24"/>
      <c r="D269" s="127" t="s">
        <v>37</v>
      </c>
      <c r="E269" s="128"/>
      <c r="F269" s="17" t="s">
        <v>27</v>
      </c>
      <c r="G269" s="18">
        <v>1450.7601601705001</v>
      </c>
      <c r="H269" s="18">
        <v>0</v>
      </c>
      <c r="I269" s="18">
        <v>0</v>
      </c>
      <c r="J269" s="30">
        <v>0</v>
      </c>
      <c r="K269" s="18">
        <v>0</v>
      </c>
      <c r="L269" s="19">
        <v>1450.7601601705001</v>
      </c>
      <c r="M269" s="18">
        <v>0</v>
      </c>
      <c r="N269" s="18">
        <v>1.4507601602</v>
      </c>
      <c r="O269" s="20" t="s">
        <v>13</v>
      </c>
      <c r="P269" s="24"/>
    </row>
    <row r="270" spans="3:16" x14ac:dyDescent="0.25">
      <c r="C270" s="24"/>
      <c r="D270" s="129" t="s">
        <v>38</v>
      </c>
      <c r="E270" s="130"/>
      <c r="F270" s="29" t="s">
        <v>13</v>
      </c>
      <c r="G270" s="30">
        <v>3.2177622030999999</v>
      </c>
      <c r="H270" s="30">
        <v>0</v>
      </c>
      <c r="I270" s="30">
        <v>0</v>
      </c>
      <c r="J270" s="30">
        <v>3.0705104091000002</v>
      </c>
      <c r="K270" s="30">
        <v>0</v>
      </c>
      <c r="L270" s="30">
        <v>0.1472517941</v>
      </c>
      <c r="M270" s="30">
        <v>0</v>
      </c>
      <c r="N270" s="30">
        <v>3.2177622030999999</v>
      </c>
      <c r="O270" s="31" t="s">
        <v>13</v>
      </c>
      <c r="P270" s="24"/>
    </row>
    <row r="271" spans="3:16" x14ac:dyDescent="0.25">
      <c r="C271" s="24"/>
      <c r="D271" s="127" t="s">
        <v>39</v>
      </c>
      <c r="E271" s="128"/>
      <c r="F271" s="17" t="s">
        <v>27</v>
      </c>
      <c r="G271" s="18">
        <v>52.225971428599998</v>
      </c>
      <c r="H271" s="18">
        <v>0</v>
      </c>
      <c r="I271" s="18">
        <v>0</v>
      </c>
      <c r="J271" s="30">
        <v>0</v>
      </c>
      <c r="K271" s="18">
        <v>0</v>
      </c>
      <c r="L271" s="18">
        <v>0</v>
      </c>
      <c r="M271" s="19">
        <v>52.225971428599998</v>
      </c>
      <c r="N271" s="18">
        <v>5.2225971400000001E-2</v>
      </c>
      <c r="O271" s="20" t="s">
        <v>13</v>
      </c>
      <c r="P271" s="24"/>
    </row>
    <row r="272" spans="3:16" ht="24" customHeight="1" x14ac:dyDescent="0.25">
      <c r="C272" s="24"/>
      <c r="D272" s="127" t="s">
        <v>40</v>
      </c>
      <c r="E272" s="128"/>
      <c r="F272" s="16" t="s">
        <v>20</v>
      </c>
      <c r="G272" s="18">
        <f>SUM(H272:M272)</f>
        <v>10.342869179099999</v>
      </c>
      <c r="H272" s="18">
        <v>0</v>
      </c>
      <c r="I272" s="19">
        <v>3.3532014067000002</v>
      </c>
      <c r="J272" s="30">
        <v>0</v>
      </c>
      <c r="K272" s="19">
        <v>5.6655932130000002</v>
      </c>
      <c r="L272" s="19">
        <f>8.5645545594-0.0208*348.1</f>
        <v>1.3240745593999996</v>
      </c>
      <c r="M272" s="18">
        <v>0</v>
      </c>
      <c r="N272" s="18">
        <f>G272*450/1000</f>
        <v>4.6542911305949994</v>
      </c>
      <c r="O272" s="20" t="s">
        <v>13</v>
      </c>
      <c r="P272" s="24"/>
    </row>
    <row r="273" spans="3:16" ht="25.5" x14ac:dyDescent="0.25">
      <c r="C273" s="24"/>
      <c r="D273" s="127" t="s">
        <v>41</v>
      </c>
      <c r="E273" s="128"/>
      <c r="F273" s="16" t="s">
        <v>34</v>
      </c>
      <c r="G273" s="18">
        <v>345.94201158229998</v>
      </c>
      <c r="H273" s="18">
        <v>0</v>
      </c>
      <c r="I273" s="18">
        <v>0</v>
      </c>
      <c r="J273" s="30">
        <v>0</v>
      </c>
      <c r="K273" s="19">
        <v>345.94201158229998</v>
      </c>
      <c r="L273" s="18">
        <v>0</v>
      </c>
      <c r="M273" s="18">
        <v>0</v>
      </c>
      <c r="N273" s="18">
        <v>1.5716723649</v>
      </c>
      <c r="O273" s="20" t="s">
        <v>13</v>
      </c>
      <c r="P273" s="24"/>
    </row>
    <row r="274" spans="3:16" x14ac:dyDescent="0.25">
      <c r="C274" s="24"/>
      <c r="D274" s="127" t="s">
        <v>42</v>
      </c>
      <c r="E274" s="128"/>
      <c r="F274" s="17" t="s">
        <v>43</v>
      </c>
      <c r="G274" s="18">
        <v>2.7163714292000001</v>
      </c>
      <c r="H274" s="18">
        <v>0</v>
      </c>
      <c r="I274" s="18">
        <v>0</v>
      </c>
      <c r="J274" s="30">
        <v>0</v>
      </c>
      <c r="K274" s="18">
        <v>0</v>
      </c>
      <c r="L274" s="19">
        <v>2.7163714292000001</v>
      </c>
      <c r="M274" s="18">
        <v>0</v>
      </c>
      <c r="N274" s="18">
        <v>2.0372786000000002E-3</v>
      </c>
      <c r="O274" s="20" t="s">
        <v>13</v>
      </c>
      <c r="P274" s="24"/>
    </row>
    <row r="275" spans="3:16" x14ac:dyDescent="0.25">
      <c r="C275" s="24"/>
      <c r="D275" s="127" t="s">
        <v>44</v>
      </c>
      <c r="E275" s="128"/>
      <c r="F275" s="17" t="s">
        <v>43</v>
      </c>
      <c r="G275" s="18">
        <v>478.90253468100002</v>
      </c>
      <c r="H275" s="18">
        <v>0</v>
      </c>
      <c r="I275" s="18">
        <v>0</v>
      </c>
      <c r="J275" s="30">
        <v>0</v>
      </c>
      <c r="K275" s="18">
        <v>0</v>
      </c>
      <c r="L275" s="19">
        <v>145.33829948100001</v>
      </c>
      <c r="M275" s="19">
        <v>333.56423519999998</v>
      </c>
      <c r="N275" s="18">
        <v>0.35917690099999999</v>
      </c>
      <c r="O275" s="20" t="s">
        <v>13</v>
      </c>
      <c r="P275" s="24"/>
    </row>
    <row r="276" spans="3:16" x14ac:dyDescent="0.25">
      <c r="D276" s="129" t="s">
        <v>45</v>
      </c>
      <c r="E276" s="130"/>
      <c r="F276" s="29" t="s">
        <v>13</v>
      </c>
      <c r="G276" s="30">
        <v>3.5598334199999998E-2</v>
      </c>
      <c r="H276" s="30">
        <v>0</v>
      </c>
      <c r="I276" s="30">
        <v>0</v>
      </c>
      <c r="J276" s="30">
        <v>3.5598334199999998E-2</v>
      </c>
      <c r="K276" s="30">
        <v>0</v>
      </c>
      <c r="L276" s="30">
        <v>0</v>
      </c>
      <c r="M276" s="30">
        <v>0</v>
      </c>
      <c r="N276" s="30">
        <v>3.5598334199999998E-2</v>
      </c>
      <c r="O276" s="31" t="s">
        <v>13</v>
      </c>
      <c r="P276" s="24"/>
    </row>
    <row r="277" spans="3:16" x14ac:dyDescent="0.25"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</row>
    <row r="278" spans="3:16" x14ac:dyDescent="0.25">
      <c r="C278" s="24"/>
      <c r="D278" s="82" t="s">
        <v>136</v>
      </c>
      <c r="E278" s="24"/>
      <c r="F278" s="24"/>
      <c r="G278" s="24" t="s">
        <v>166</v>
      </c>
      <c r="H278" s="24"/>
      <c r="I278" s="24"/>
      <c r="J278" s="24"/>
      <c r="K278" s="24"/>
      <c r="L278" s="24"/>
      <c r="M278" s="24"/>
      <c r="N278" s="24"/>
      <c r="O278" s="24"/>
      <c r="P278" s="24"/>
    </row>
    <row r="279" spans="3:16" x14ac:dyDescent="0.25">
      <c r="C279" s="24"/>
      <c r="D279" s="137" t="s">
        <v>0</v>
      </c>
      <c r="E279" s="137"/>
      <c r="F279" s="62" t="s">
        <v>1</v>
      </c>
      <c r="G279" s="63" t="s">
        <v>2</v>
      </c>
      <c r="H279" s="62" t="s">
        <v>3</v>
      </c>
      <c r="I279" s="63" t="s">
        <v>4</v>
      </c>
      <c r="J279" s="62" t="s">
        <v>5</v>
      </c>
      <c r="K279" s="63" t="s">
        <v>6</v>
      </c>
      <c r="L279" s="62" t="s">
        <v>7</v>
      </c>
      <c r="M279" s="63" t="s">
        <v>8</v>
      </c>
      <c r="N279" s="64" t="s">
        <v>9</v>
      </c>
      <c r="O279" s="65" t="s">
        <v>10</v>
      </c>
      <c r="P279" s="24"/>
    </row>
    <row r="280" spans="3:16" x14ac:dyDescent="0.25">
      <c r="C280" s="24"/>
      <c r="D280" s="136" t="s">
        <v>164</v>
      </c>
      <c r="E280" s="136"/>
      <c r="F280" s="77" t="s">
        <v>20</v>
      </c>
      <c r="G280" s="78">
        <f>0.0084*12.7</f>
        <v>0.10667999999999998</v>
      </c>
      <c r="H280" s="77"/>
      <c r="I280" s="78"/>
      <c r="J280" s="77"/>
      <c r="K280" s="78"/>
      <c r="L280" s="77">
        <f>G280</f>
        <v>0.10667999999999998</v>
      </c>
      <c r="M280" s="78"/>
      <c r="N280" s="77">
        <f>L280*2150/1000</f>
        <v>0.22936199999999995</v>
      </c>
      <c r="O280" s="78" t="s">
        <v>13</v>
      </c>
      <c r="P280" s="24"/>
    </row>
    <row r="281" spans="3:16" x14ac:dyDescent="0.25">
      <c r="C281" s="24"/>
      <c r="D281" s="136" t="s">
        <v>124</v>
      </c>
      <c r="E281" s="136"/>
      <c r="F281" s="77" t="s">
        <v>27</v>
      </c>
      <c r="G281" s="78">
        <v>46.99</v>
      </c>
      <c r="H281" s="77"/>
      <c r="I281" s="78"/>
      <c r="J281" s="77"/>
      <c r="K281" s="78"/>
      <c r="L281" s="77">
        <f>G281</f>
        <v>46.99</v>
      </c>
      <c r="M281" s="78"/>
      <c r="N281" s="77">
        <f>L281/1000</f>
        <v>4.6990000000000004E-2</v>
      </c>
      <c r="O281" s="78" t="s">
        <v>13</v>
      </c>
      <c r="P281" s="24"/>
    </row>
    <row r="282" spans="3:16" x14ac:dyDescent="0.25">
      <c r="C282" s="24"/>
      <c r="D282" s="136" t="s">
        <v>165</v>
      </c>
      <c r="E282" s="136"/>
      <c r="F282" s="77" t="s">
        <v>27</v>
      </c>
      <c r="G282" s="78">
        <v>70.433999999999997</v>
      </c>
      <c r="H282" s="77"/>
      <c r="I282" s="78"/>
      <c r="J282" s="78"/>
      <c r="K282" s="78"/>
      <c r="L282" s="77">
        <f>G282</f>
        <v>70.433999999999997</v>
      </c>
      <c r="M282" s="78"/>
      <c r="N282" s="77">
        <f>L282/1000</f>
        <v>7.0433999999999997E-2</v>
      </c>
      <c r="O282" s="78" t="s">
        <v>13</v>
      </c>
      <c r="P282" s="24"/>
    </row>
    <row r="283" spans="3:16" x14ac:dyDescent="0.25">
      <c r="C283" s="24"/>
      <c r="D283" s="136" t="s">
        <v>167</v>
      </c>
      <c r="E283" s="136"/>
      <c r="F283" s="77" t="s">
        <v>236</v>
      </c>
      <c r="G283" s="78">
        <v>1</v>
      </c>
      <c r="H283" s="78"/>
      <c r="I283" s="78"/>
      <c r="J283" s="78"/>
      <c r="K283" s="78"/>
      <c r="L283" s="77">
        <v>1</v>
      </c>
      <c r="M283" s="78"/>
      <c r="N283" s="77">
        <f>N256/G256*85/25</f>
        <v>2.4479999991933459E-3</v>
      </c>
      <c r="O283" s="78" t="s">
        <v>13</v>
      </c>
      <c r="P283" s="24"/>
    </row>
    <row r="284" spans="3:16" x14ac:dyDescent="0.25"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</row>
    <row r="285" spans="3:16" x14ac:dyDescent="0.25">
      <c r="C285" s="24"/>
      <c r="D285" s="82" t="s">
        <v>144</v>
      </c>
      <c r="E285" s="24"/>
      <c r="F285" s="24">
        <v>1</v>
      </c>
      <c r="G285" s="24" t="s">
        <v>12</v>
      </c>
      <c r="H285" s="24"/>
      <c r="I285" s="24"/>
      <c r="J285" s="24"/>
      <c r="K285" s="24"/>
      <c r="L285" s="24"/>
      <c r="M285" s="24"/>
      <c r="N285" s="24"/>
      <c r="O285" s="24"/>
      <c r="P285" s="24"/>
    </row>
    <row r="286" spans="3:16" x14ac:dyDescent="0.25">
      <c r="C286" s="24"/>
      <c r="D286" s="137" t="s">
        <v>0</v>
      </c>
      <c r="E286" s="137"/>
      <c r="F286" s="62" t="s">
        <v>1</v>
      </c>
      <c r="G286" s="63" t="s">
        <v>2</v>
      </c>
      <c r="H286" s="62" t="s">
        <v>3</v>
      </c>
      <c r="I286" s="63" t="s">
        <v>4</v>
      </c>
      <c r="J286" s="62" t="s">
        <v>5</v>
      </c>
      <c r="K286" s="63" t="s">
        <v>6</v>
      </c>
      <c r="L286" s="62" t="s">
        <v>7</v>
      </c>
      <c r="M286" s="63" t="s">
        <v>8</v>
      </c>
      <c r="N286" s="64" t="s">
        <v>9</v>
      </c>
      <c r="O286" s="65" t="s">
        <v>10</v>
      </c>
      <c r="P286" s="24"/>
    </row>
    <row r="287" spans="3:16" x14ac:dyDescent="0.25">
      <c r="C287" s="24"/>
      <c r="D287" s="136" t="s">
        <v>32</v>
      </c>
      <c r="E287" s="136"/>
      <c r="F287" s="81" t="s">
        <v>27</v>
      </c>
      <c r="G287" s="76">
        <v>0.124</v>
      </c>
      <c r="H287" s="81"/>
      <c r="I287" s="76"/>
      <c r="J287" s="81"/>
      <c r="K287" s="76"/>
      <c r="L287" s="81">
        <f>G287</f>
        <v>0.124</v>
      </c>
      <c r="M287" s="76"/>
      <c r="N287" s="81">
        <f>L287/1000</f>
        <v>1.2400000000000001E-4</v>
      </c>
      <c r="O287" s="76" t="s">
        <v>13</v>
      </c>
      <c r="P287" s="24"/>
    </row>
    <row r="288" spans="3:16" x14ac:dyDescent="0.25">
      <c r="C288" s="24"/>
      <c r="D288" s="136" t="s">
        <v>163</v>
      </c>
      <c r="E288" s="136"/>
      <c r="F288" s="81" t="s">
        <v>20</v>
      </c>
      <c r="G288" s="76">
        <v>2.8579999999999999E-3</v>
      </c>
      <c r="H288" s="81"/>
      <c r="I288" s="76"/>
      <c r="J288" s="81"/>
      <c r="K288" s="76"/>
      <c r="L288" s="81">
        <f>G288</f>
        <v>2.8579999999999999E-3</v>
      </c>
      <c r="M288" s="76"/>
      <c r="N288" s="81">
        <f>L288*450/1000</f>
        <v>1.2861000000000001E-3</v>
      </c>
      <c r="O288" s="76" t="s">
        <v>13</v>
      </c>
      <c r="P288" s="24"/>
    </row>
    <row r="289" spans="3:18" x14ac:dyDescent="0.25">
      <c r="C289" s="24"/>
      <c r="D289" s="136" t="s">
        <v>162</v>
      </c>
      <c r="E289" s="136"/>
      <c r="F289" s="81" t="s">
        <v>27</v>
      </c>
      <c r="G289" s="76">
        <v>5.3339999999999996</v>
      </c>
      <c r="H289" s="81"/>
      <c r="I289" s="76"/>
      <c r="J289" s="81"/>
      <c r="K289" s="76"/>
      <c r="L289" s="81">
        <f>G289</f>
        <v>5.3339999999999996</v>
      </c>
      <c r="M289" s="76"/>
      <c r="N289" s="81">
        <f>L289/1000</f>
        <v>5.3339999999999993E-3</v>
      </c>
      <c r="O289" s="76" t="s">
        <v>13</v>
      </c>
      <c r="P289" s="24"/>
    </row>
    <row r="290" spans="3:18" x14ac:dyDescent="0.25"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</row>
    <row r="291" spans="3:18" x14ac:dyDescent="0.25"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</row>
    <row r="292" spans="3:18" x14ac:dyDescent="0.25"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</row>
    <row r="293" spans="3:18" x14ac:dyDescent="0.25">
      <c r="C293" s="24"/>
      <c r="D293" s="39" t="s">
        <v>133</v>
      </c>
      <c r="E293" s="24"/>
      <c r="F293" s="24"/>
      <c r="G293" s="24"/>
      <c r="H293" s="24"/>
      <c r="I293" s="24"/>
      <c r="J293" s="24"/>
      <c r="K293" s="24"/>
      <c r="L293" s="24"/>
      <c r="M293" s="24" t="s">
        <v>128</v>
      </c>
      <c r="N293" s="48">
        <f>(2904+655)/N294</f>
        <v>889.75</v>
      </c>
      <c r="O293" s="24" t="s">
        <v>12</v>
      </c>
      <c r="P293" s="24"/>
      <c r="R293" s="7" t="s">
        <v>131</v>
      </c>
    </row>
    <row r="294" spans="3:18" x14ac:dyDescent="0.25"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 t="s">
        <v>129</v>
      </c>
      <c r="N294" s="24">
        <v>4</v>
      </c>
      <c r="O294" s="49"/>
      <c r="P294" s="24"/>
    </row>
    <row r="295" spans="3:18" ht="15" customHeight="1" x14ac:dyDescent="0.25">
      <c r="C295" s="24"/>
      <c r="D295" s="146" t="s">
        <v>0</v>
      </c>
      <c r="E295" s="146"/>
      <c r="F295" s="42" t="s">
        <v>1</v>
      </c>
      <c r="G295" s="41" t="s">
        <v>2</v>
      </c>
      <c r="H295" s="42" t="s">
        <v>3</v>
      </c>
      <c r="I295" s="41" t="s">
        <v>4</v>
      </c>
      <c r="J295" s="42" t="s">
        <v>5</v>
      </c>
      <c r="K295" s="41" t="s">
        <v>6</v>
      </c>
      <c r="L295" s="42" t="s">
        <v>7</v>
      </c>
      <c r="M295" s="41" t="s">
        <v>8</v>
      </c>
      <c r="N295" s="43" t="s">
        <v>9</v>
      </c>
      <c r="O295" s="45" t="s">
        <v>10</v>
      </c>
      <c r="P295" s="24"/>
    </row>
    <row r="296" spans="3:18" ht="38.25" customHeight="1" x14ac:dyDescent="0.25">
      <c r="C296" s="24"/>
      <c r="D296" s="145" t="s">
        <v>111</v>
      </c>
      <c r="E296" s="145"/>
      <c r="F296" s="47" t="s">
        <v>12</v>
      </c>
      <c r="G296" s="40">
        <v>1195.6032</v>
      </c>
      <c r="H296" s="40">
        <v>0</v>
      </c>
      <c r="I296" s="40">
        <v>0</v>
      </c>
      <c r="J296" s="40">
        <v>0</v>
      </c>
      <c r="K296" s="40">
        <v>0</v>
      </c>
      <c r="L296" s="40">
        <v>1195.6032</v>
      </c>
      <c r="M296" s="40">
        <v>0</v>
      </c>
      <c r="N296" s="44">
        <v>8.1720472266000002</v>
      </c>
      <c r="O296" s="46" t="s">
        <v>13</v>
      </c>
      <c r="P296" s="24"/>
    </row>
    <row r="297" spans="3:18" ht="38.25" customHeight="1" x14ac:dyDescent="0.25">
      <c r="C297" s="24"/>
      <c r="D297" s="145" t="s">
        <v>112</v>
      </c>
      <c r="E297" s="145"/>
      <c r="F297" s="47" t="s">
        <v>12</v>
      </c>
      <c r="G297" s="40">
        <v>2376</v>
      </c>
      <c r="H297" s="40">
        <v>0</v>
      </c>
      <c r="I297" s="40">
        <v>0</v>
      </c>
      <c r="J297" s="40">
        <v>0</v>
      </c>
      <c r="K297" s="40">
        <v>0</v>
      </c>
      <c r="L297" s="40">
        <v>2376</v>
      </c>
      <c r="M297" s="40">
        <v>0</v>
      </c>
      <c r="N297" s="44">
        <v>25.344875635200001</v>
      </c>
      <c r="O297" s="46" t="s">
        <v>13</v>
      </c>
      <c r="P297" s="24"/>
    </row>
    <row r="298" spans="3:18" ht="38.25" customHeight="1" x14ac:dyDescent="0.25">
      <c r="C298" s="24"/>
      <c r="D298" s="145" t="s">
        <v>113</v>
      </c>
      <c r="E298" s="145"/>
      <c r="F298" s="47" t="s">
        <v>114</v>
      </c>
      <c r="G298" s="40">
        <v>3013.4632499999998</v>
      </c>
      <c r="H298" s="40">
        <v>0</v>
      </c>
      <c r="I298" s="40">
        <v>0</v>
      </c>
      <c r="J298" s="40">
        <v>0</v>
      </c>
      <c r="K298" s="40">
        <v>0</v>
      </c>
      <c r="L298" s="40">
        <v>3013.4632499999998</v>
      </c>
      <c r="M298" s="40">
        <v>0</v>
      </c>
      <c r="N298" s="44">
        <v>51.909191097200001</v>
      </c>
      <c r="O298" s="46" t="s">
        <v>13</v>
      </c>
      <c r="P298" s="24"/>
    </row>
    <row r="299" spans="3:18" ht="25.5" customHeight="1" x14ac:dyDescent="0.25">
      <c r="C299" s="24"/>
      <c r="D299" s="145" t="s">
        <v>115</v>
      </c>
      <c r="E299" s="145"/>
      <c r="F299" s="47" t="s">
        <v>27</v>
      </c>
      <c r="G299" s="40">
        <v>454.64545020060001</v>
      </c>
      <c r="H299" s="40">
        <v>0</v>
      </c>
      <c r="I299" s="40">
        <v>0</v>
      </c>
      <c r="J299" s="40">
        <v>0</v>
      </c>
      <c r="K299" s="40">
        <v>0</v>
      </c>
      <c r="L299" s="54">
        <v>454.64545020060001</v>
      </c>
      <c r="M299" s="40">
        <v>0</v>
      </c>
      <c r="N299" s="44">
        <v>0.45464545020000002</v>
      </c>
      <c r="O299" s="46" t="s">
        <v>13</v>
      </c>
      <c r="P299" s="24"/>
    </row>
    <row r="300" spans="3:18" ht="38.25" customHeight="1" x14ac:dyDescent="0.25">
      <c r="C300" s="24"/>
      <c r="D300" s="145" t="s">
        <v>116</v>
      </c>
      <c r="E300" s="145"/>
      <c r="F300" s="47" t="s">
        <v>20</v>
      </c>
      <c r="G300" s="40">
        <v>890.49773510670002</v>
      </c>
      <c r="H300" s="40">
        <v>0</v>
      </c>
      <c r="I300" s="40">
        <v>538.51546021399997</v>
      </c>
      <c r="J300" s="40">
        <v>233.93366267440001</v>
      </c>
      <c r="K300" s="40">
        <v>0</v>
      </c>
      <c r="L300" s="40">
        <v>118.04861221829999</v>
      </c>
      <c r="M300" s="40">
        <v>0</v>
      </c>
      <c r="N300" s="44">
        <v>2074.3433681320998</v>
      </c>
      <c r="O300" s="46" t="s">
        <v>13</v>
      </c>
      <c r="P300" s="24"/>
    </row>
    <row r="301" spans="3:18" ht="38.25" customHeight="1" x14ac:dyDescent="0.25">
      <c r="C301" s="24"/>
      <c r="D301" s="145" t="s">
        <v>117</v>
      </c>
      <c r="E301" s="145"/>
      <c r="F301" s="47" t="s">
        <v>20</v>
      </c>
      <c r="G301" s="40">
        <v>150.42398310729999</v>
      </c>
      <c r="H301" s="40">
        <v>0</v>
      </c>
      <c r="I301" s="40">
        <v>126.8988414649</v>
      </c>
      <c r="J301" s="40">
        <v>23.525141642400001</v>
      </c>
      <c r="K301" s="40">
        <v>0</v>
      </c>
      <c r="L301" s="40">
        <v>0</v>
      </c>
      <c r="M301" s="40">
        <v>0</v>
      </c>
      <c r="N301" s="44">
        <v>350.648799193</v>
      </c>
      <c r="O301" s="46" t="s">
        <v>13</v>
      </c>
      <c r="P301" s="24"/>
    </row>
    <row r="302" spans="3:18" ht="38.25" customHeight="1" x14ac:dyDescent="0.25">
      <c r="C302" s="24"/>
      <c r="D302" s="145" t="s">
        <v>118</v>
      </c>
      <c r="E302" s="145"/>
      <c r="F302" s="47" t="s">
        <v>12</v>
      </c>
      <c r="G302" s="40">
        <v>215.95734670920001</v>
      </c>
      <c r="H302" s="40">
        <v>0</v>
      </c>
      <c r="I302" s="40">
        <v>0</v>
      </c>
      <c r="J302" s="40">
        <v>0</v>
      </c>
      <c r="K302" s="40">
        <v>0</v>
      </c>
      <c r="L302" s="54">
        <v>134.3891667092</v>
      </c>
      <c r="M302" s="40">
        <v>81.568179999999998</v>
      </c>
      <c r="N302" s="44">
        <v>3.4970243099</v>
      </c>
      <c r="O302" s="46" t="s">
        <v>13</v>
      </c>
      <c r="P302" s="24"/>
    </row>
    <row r="303" spans="3:18" ht="25.5" x14ac:dyDescent="0.25">
      <c r="C303" s="24"/>
      <c r="D303" s="145" t="s">
        <v>119</v>
      </c>
      <c r="E303" s="145"/>
      <c r="F303" s="47" t="s">
        <v>18</v>
      </c>
      <c r="G303" s="40">
        <v>2266.2766771677998</v>
      </c>
      <c r="H303" s="40">
        <v>0</v>
      </c>
      <c r="I303" s="40">
        <v>0</v>
      </c>
      <c r="J303" s="40">
        <v>0</v>
      </c>
      <c r="K303" s="40">
        <v>0</v>
      </c>
      <c r="L303" s="40">
        <v>2266.2766771677998</v>
      </c>
      <c r="M303" s="40">
        <v>0</v>
      </c>
      <c r="N303" s="44">
        <v>0.44652585350000001</v>
      </c>
      <c r="O303" s="46" t="s">
        <v>13</v>
      </c>
      <c r="P303" s="24"/>
    </row>
    <row r="304" spans="3:18" ht="25.5" customHeight="1" x14ac:dyDescent="0.25">
      <c r="C304" s="24"/>
      <c r="D304" s="145" t="s">
        <v>24</v>
      </c>
      <c r="E304" s="145"/>
      <c r="F304" s="47" t="s">
        <v>13</v>
      </c>
      <c r="G304" s="40">
        <v>2.7441124704000002</v>
      </c>
      <c r="H304" s="40">
        <v>0</v>
      </c>
      <c r="I304" s="40">
        <v>0</v>
      </c>
      <c r="J304" s="40">
        <v>0</v>
      </c>
      <c r="K304" s="40">
        <v>0</v>
      </c>
      <c r="L304" s="40">
        <v>2.7441124704000002</v>
      </c>
      <c r="M304" s="40">
        <v>0</v>
      </c>
      <c r="N304" s="44">
        <v>2.7441124704000002</v>
      </c>
      <c r="O304" s="46" t="s">
        <v>13</v>
      </c>
      <c r="P304" s="24"/>
    </row>
    <row r="305" spans="3:16" ht="25.5" customHeight="1" x14ac:dyDescent="0.25">
      <c r="C305" s="24"/>
      <c r="D305" s="145" t="s">
        <v>120</v>
      </c>
      <c r="E305" s="145"/>
      <c r="F305" s="47" t="s">
        <v>13</v>
      </c>
      <c r="G305" s="40">
        <v>5.6844284815000004</v>
      </c>
      <c r="H305" s="40">
        <v>0</v>
      </c>
      <c r="I305" s="40">
        <v>0</v>
      </c>
      <c r="J305" s="40">
        <v>0</v>
      </c>
      <c r="K305" s="40">
        <v>0</v>
      </c>
      <c r="L305" s="40">
        <v>5.6844284815000004</v>
      </c>
      <c r="M305" s="40">
        <v>0</v>
      </c>
      <c r="N305" s="44">
        <v>5.6844284815000004</v>
      </c>
      <c r="O305" s="46" t="s">
        <v>13</v>
      </c>
      <c r="P305" s="24"/>
    </row>
    <row r="306" spans="3:16" x14ac:dyDescent="0.25">
      <c r="C306" s="24"/>
      <c r="D306" s="145" t="s">
        <v>121</v>
      </c>
      <c r="E306" s="145"/>
      <c r="F306" s="47" t="s">
        <v>20</v>
      </c>
      <c r="G306" s="40">
        <v>12.327986981700001</v>
      </c>
      <c r="H306" s="40">
        <v>0</v>
      </c>
      <c r="I306" s="40">
        <v>0</v>
      </c>
      <c r="J306" s="40">
        <v>0</v>
      </c>
      <c r="K306" s="40">
        <v>0</v>
      </c>
      <c r="L306" s="40">
        <v>12.327986981700001</v>
      </c>
      <c r="M306" s="40">
        <v>0</v>
      </c>
      <c r="N306" s="44">
        <v>26.332580192999998</v>
      </c>
      <c r="O306" s="46" t="s">
        <v>13</v>
      </c>
      <c r="P306" s="24"/>
    </row>
    <row r="307" spans="3:16" ht="45.75" customHeight="1" x14ac:dyDescent="0.25">
      <c r="C307" s="24"/>
      <c r="D307" s="145" t="s">
        <v>29</v>
      </c>
      <c r="E307" s="145"/>
      <c r="F307" s="47" t="s">
        <v>13</v>
      </c>
      <c r="G307" s="40">
        <v>3.5645249317999999</v>
      </c>
      <c r="H307" s="40">
        <v>0</v>
      </c>
      <c r="I307" s="40">
        <v>0</v>
      </c>
      <c r="J307" s="40">
        <v>0</v>
      </c>
      <c r="K307" s="40">
        <v>0</v>
      </c>
      <c r="L307" s="40">
        <v>3.5645249317999999</v>
      </c>
      <c r="M307" s="40">
        <v>0</v>
      </c>
      <c r="N307" s="44">
        <v>3.5645249317999999</v>
      </c>
      <c r="O307" s="46" t="s">
        <v>13</v>
      </c>
      <c r="P307" s="24"/>
    </row>
    <row r="308" spans="3:16" ht="51" customHeight="1" x14ac:dyDescent="0.25">
      <c r="C308" s="24"/>
      <c r="D308" s="145" t="s">
        <v>122</v>
      </c>
      <c r="E308" s="145"/>
      <c r="F308" s="47" t="s">
        <v>12</v>
      </c>
      <c r="G308" s="40">
        <v>418.899924</v>
      </c>
      <c r="H308" s="40">
        <v>0</v>
      </c>
      <c r="I308" s="40">
        <v>0</v>
      </c>
      <c r="J308" s="40">
        <v>0</v>
      </c>
      <c r="K308" s="40">
        <v>0</v>
      </c>
      <c r="L308" s="40">
        <v>418.899924</v>
      </c>
      <c r="M308" s="40">
        <v>0</v>
      </c>
      <c r="N308" s="44">
        <v>2.0452509383000002</v>
      </c>
      <c r="O308" s="46" t="s">
        <v>13</v>
      </c>
      <c r="P308" s="24"/>
    </row>
    <row r="309" spans="3:16" ht="25.5" customHeight="1" x14ac:dyDescent="0.25">
      <c r="C309" s="24"/>
      <c r="D309" s="145" t="s">
        <v>123</v>
      </c>
      <c r="E309" s="145"/>
      <c r="F309" s="47" t="s">
        <v>18</v>
      </c>
      <c r="G309" s="40">
        <v>2175.7955808319002</v>
      </c>
      <c r="H309" s="40">
        <v>0</v>
      </c>
      <c r="I309" s="40">
        <v>0</v>
      </c>
      <c r="J309" s="40">
        <v>0</v>
      </c>
      <c r="K309" s="40">
        <v>0</v>
      </c>
      <c r="L309" s="40">
        <v>2175.7955808319002</v>
      </c>
      <c r="M309" s="40">
        <v>0</v>
      </c>
      <c r="N309" s="44">
        <v>2.2106083101</v>
      </c>
      <c r="O309" s="46" t="s">
        <v>13</v>
      </c>
      <c r="P309" s="24"/>
    </row>
    <row r="310" spans="3:16" ht="36.75" customHeight="1" x14ac:dyDescent="0.25">
      <c r="C310" s="24"/>
      <c r="D310" s="145" t="s">
        <v>124</v>
      </c>
      <c r="E310" s="145"/>
      <c r="F310" s="47" t="s">
        <v>20</v>
      </c>
      <c r="G310" s="40">
        <v>5.5321603332000002</v>
      </c>
      <c r="H310" s="40">
        <v>0</v>
      </c>
      <c r="I310" s="40">
        <v>0</v>
      </c>
      <c r="J310" s="40">
        <v>0</v>
      </c>
      <c r="K310" s="40">
        <v>0</v>
      </c>
      <c r="L310" s="40">
        <v>5.5321603332000002</v>
      </c>
      <c r="M310" s="40">
        <v>0</v>
      </c>
      <c r="N310" s="44">
        <v>10.444718709</v>
      </c>
      <c r="O310" s="46" t="s">
        <v>13</v>
      </c>
      <c r="P310" s="24"/>
    </row>
    <row r="311" spans="3:16" x14ac:dyDescent="0.25">
      <c r="C311" s="24"/>
      <c r="D311" s="145" t="s">
        <v>32</v>
      </c>
      <c r="E311" s="145"/>
      <c r="F311" s="47" t="s">
        <v>13</v>
      </c>
      <c r="G311" s="40">
        <v>6.6815193600000003E-2</v>
      </c>
      <c r="H311" s="40">
        <v>0</v>
      </c>
      <c r="I311" s="40">
        <v>0</v>
      </c>
      <c r="J311" s="40">
        <v>0</v>
      </c>
      <c r="K311" s="40">
        <v>0</v>
      </c>
      <c r="L311" s="40">
        <v>6.6815193600000003E-2</v>
      </c>
      <c r="M311" s="40">
        <v>0</v>
      </c>
      <c r="N311" s="44">
        <v>6.6815193600000003E-2</v>
      </c>
      <c r="O311" s="46" t="s">
        <v>13</v>
      </c>
      <c r="P311" s="24"/>
    </row>
    <row r="312" spans="3:16" x14ac:dyDescent="0.25">
      <c r="C312" s="24"/>
      <c r="D312" s="145" t="s">
        <v>35</v>
      </c>
      <c r="E312" s="145"/>
      <c r="F312" s="47" t="s">
        <v>13</v>
      </c>
      <c r="G312" s="40">
        <v>4.0911091199999999E-2</v>
      </c>
      <c r="H312" s="40">
        <v>0</v>
      </c>
      <c r="I312" s="40">
        <v>0</v>
      </c>
      <c r="J312" s="40">
        <v>0</v>
      </c>
      <c r="K312" s="40">
        <v>0</v>
      </c>
      <c r="L312" s="40">
        <v>4.0911091199999999E-2</v>
      </c>
      <c r="M312" s="40">
        <v>0</v>
      </c>
      <c r="N312" s="44">
        <v>4.0911091199999999E-2</v>
      </c>
      <c r="O312" s="46" t="s">
        <v>13</v>
      </c>
      <c r="P312" s="24"/>
    </row>
    <row r="313" spans="3:16" ht="63" customHeight="1" x14ac:dyDescent="0.25">
      <c r="C313" s="24"/>
      <c r="D313" s="145" t="s">
        <v>125</v>
      </c>
      <c r="E313" s="145"/>
      <c r="F313" s="47" t="s">
        <v>18</v>
      </c>
      <c r="G313" s="40">
        <v>1982.9909763800999</v>
      </c>
      <c r="H313" s="40">
        <v>0</v>
      </c>
      <c r="I313" s="40">
        <v>0</v>
      </c>
      <c r="J313" s="40">
        <v>0</v>
      </c>
      <c r="K313" s="40">
        <v>0</v>
      </c>
      <c r="L313" s="40">
        <v>1982.9909763800999</v>
      </c>
      <c r="M313" s="40">
        <v>0</v>
      </c>
      <c r="N313" s="44">
        <v>2.4726094936999998</v>
      </c>
      <c r="O313" s="46" t="s">
        <v>13</v>
      </c>
      <c r="P313" s="24"/>
    </row>
    <row r="314" spans="3:16" ht="37.5" customHeight="1" x14ac:dyDescent="0.25">
      <c r="C314" s="24"/>
      <c r="D314" s="145" t="s">
        <v>38</v>
      </c>
      <c r="E314" s="145"/>
      <c r="F314" s="47" t="s">
        <v>13</v>
      </c>
      <c r="G314" s="40">
        <v>43.1311599386</v>
      </c>
      <c r="H314" s="40">
        <v>0</v>
      </c>
      <c r="I314" s="40">
        <v>35.890960806800003</v>
      </c>
      <c r="J314" s="40">
        <v>2.1389642387999999</v>
      </c>
      <c r="K314" s="40">
        <v>0</v>
      </c>
      <c r="L314" s="40">
        <v>5.101234893</v>
      </c>
      <c r="M314" s="40">
        <v>0</v>
      </c>
      <c r="N314" s="44">
        <v>43.1311599386</v>
      </c>
      <c r="O314" s="46" t="s">
        <v>13</v>
      </c>
      <c r="P314" s="24"/>
    </row>
    <row r="315" spans="3:16" ht="46.5" customHeight="1" x14ac:dyDescent="0.25">
      <c r="C315" s="24"/>
      <c r="D315" s="145" t="s">
        <v>126</v>
      </c>
      <c r="E315" s="145"/>
      <c r="F315" s="47" t="s">
        <v>13</v>
      </c>
      <c r="G315" s="40">
        <v>0.13150574100000001</v>
      </c>
      <c r="H315" s="40">
        <v>0</v>
      </c>
      <c r="I315" s="40">
        <v>0</v>
      </c>
      <c r="J315" s="40">
        <v>0</v>
      </c>
      <c r="K315" s="40">
        <v>0</v>
      </c>
      <c r="L315" s="40">
        <v>0.13150574100000001</v>
      </c>
      <c r="M315" s="40">
        <v>0</v>
      </c>
      <c r="N315" s="44">
        <v>0.13150574100000001</v>
      </c>
      <c r="O315" s="46" t="s">
        <v>13</v>
      </c>
      <c r="P315" s="24"/>
    </row>
    <row r="316" spans="3:16" ht="51.75" customHeight="1" x14ac:dyDescent="0.25">
      <c r="C316" s="24"/>
      <c r="D316" s="145" t="s">
        <v>127</v>
      </c>
      <c r="E316" s="145"/>
      <c r="F316" s="47" t="s">
        <v>13</v>
      </c>
      <c r="G316" s="40">
        <v>2.7441124704000002</v>
      </c>
      <c r="H316" s="40">
        <v>0</v>
      </c>
      <c r="I316" s="40">
        <v>0</v>
      </c>
      <c r="J316" s="40">
        <v>0</v>
      </c>
      <c r="K316" s="40">
        <v>0</v>
      </c>
      <c r="L316" s="40">
        <v>2.7441124704000002</v>
      </c>
      <c r="M316" s="40">
        <v>0</v>
      </c>
      <c r="N316" s="44">
        <v>2.7441124704000002</v>
      </c>
      <c r="O316" s="46" t="s">
        <v>13</v>
      </c>
      <c r="P316" s="24"/>
    </row>
    <row r="317" spans="3:16" ht="48.75" customHeight="1" x14ac:dyDescent="0.25">
      <c r="C317" s="24"/>
      <c r="D317" s="145" t="s">
        <v>44</v>
      </c>
      <c r="E317" s="145"/>
      <c r="F317" s="47" t="s">
        <v>43</v>
      </c>
      <c r="G317" s="40">
        <v>561.85155964800003</v>
      </c>
      <c r="H317" s="40">
        <v>0</v>
      </c>
      <c r="I317" s="40">
        <v>0</v>
      </c>
      <c r="J317" s="40">
        <v>0</v>
      </c>
      <c r="K317" s="40">
        <v>0</v>
      </c>
      <c r="L317" s="40">
        <v>561.85155964800003</v>
      </c>
      <c r="M317" s="40">
        <v>0</v>
      </c>
      <c r="N317" s="44">
        <v>0.4213886697</v>
      </c>
      <c r="O317" s="46" t="s">
        <v>13</v>
      </c>
      <c r="P317" s="24"/>
    </row>
    <row r="318" spans="3:16" ht="59.25" customHeight="1" x14ac:dyDescent="0.25">
      <c r="C318" s="24"/>
      <c r="D318" s="145" t="s">
        <v>45</v>
      </c>
      <c r="E318" s="145"/>
      <c r="F318" s="47" t="s">
        <v>13</v>
      </c>
      <c r="G318" s="40">
        <v>1.0072851778</v>
      </c>
      <c r="H318" s="40">
        <v>0</v>
      </c>
      <c r="I318" s="40">
        <v>0</v>
      </c>
      <c r="J318" s="40">
        <v>1.0072851778</v>
      </c>
      <c r="K318" s="40">
        <v>0</v>
      </c>
      <c r="L318" s="40">
        <v>0</v>
      </c>
      <c r="M318" s="40">
        <v>0</v>
      </c>
      <c r="N318" s="44">
        <v>1.0072851778</v>
      </c>
      <c r="O318" s="46" t="s">
        <v>13</v>
      </c>
      <c r="P318" s="24"/>
    </row>
    <row r="319" spans="3:16" x14ac:dyDescent="0.25">
      <c r="C319" s="24"/>
      <c r="D319" s="50"/>
      <c r="E319" s="50"/>
      <c r="F319" s="51"/>
      <c r="G319" s="52"/>
      <c r="H319" s="52"/>
      <c r="I319" s="52"/>
      <c r="J319" s="52"/>
      <c r="K319" s="52"/>
      <c r="L319" s="52"/>
      <c r="M319" s="52"/>
      <c r="N319" s="52"/>
      <c r="O319" s="53"/>
      <c r="P319" s="24"/>
    </row>
    <row r="320" spans="3:16" x14ac:dyDescent="0.25">
      <c r="C320" s="24"/>
      <c r="D320" s="55" t="s">
        <v>132</v>
      </c>
      <c r="E320" s="50"/>
      <c r="F320" s="51"/>
      <c r="G320" s="52"/>
      <c r="H320" s="52"/>
      <c r="I320" s="52"/>
      <c r="J320" s="52"/>
      <c r="K320" s="52"/>
      <c r="L320" s="52"/>
      <c r="M320" s="52"/>
      <c r="N320" s="52"/>
      <c r="O320" s="53"/>
      <c r="P320" s="24"/>
    </row>
    <row r="321" spans="3:16" x14ac:dyDescent="0.25">
      <c r="C321" s="24"/>
      <c r="D321" s="144" t="s">
        <v>0</v>
      </c>
      <c r="E321" s="144"/>
      <c r="F321" s="57" t="s">
        <v>1</v>
      </c>
      <c r="G321" s="58" t="s">
        <v>2</v>
      </c>
      <c r="H321" s="57" t="s">
        <v>3</v>
      </c>
      <c r="I321" s="58" t="s">
        <v>4</v>
      </c>
      <c r="J321" s="57" t="s">
        <v>5</v>
      </c>
      <c r="K321" s="58" t="s">
        <v>6</v>
      </c>
      <c r="L321" s="57" t="s">
        <v>7</v>
      </c>
      <c r="M321" s="58" t="s">
        <v>8</v>
      </c>
      <c r="N321" s="59" t="s">
        <v>9</v>
      </c>
      <c r="O321" s="60" t="s">
        <v>10</v>
      </c>
      <c r="P321" s="24"/>
    </row>
    <row r="322" spans="3:16" x14ac:dyDescent="0.25">
      <c r="C322" s="24"/>
      <c r="D322" s="142" t="s">
        <v>11</v>
      </c>
      <c r="E322" s="142"/>
      <c r="F322" s="72" t="s">
        <v>12</v>
      </c>
      <c r="G322" s="5">
        <v>6087.799186272</v>
      </c>
      <c r="H322" s="5">
        <v>0</v>
      </c>
      <c r="I322" s="5">
        <v>0</v>
      </c>
      <c r="J322" s="5">
        <v>0</v>
      </c>
      <c r="K322" s="5">
        <v>6087.799186272</v>
      </c>
      <c r="L322" s="5">
        <v>0</v>
      </c>
      <c r="M322" s="5">
        <v>0</v>
      </c>
      <c r="N322" s="5">
        <v>4.4428338402999996</v>
      </c>
      <c r="O322" s="6" t="s">
        <v>13</v>
      </c>
    </row>
    <row r="323" spans="3:16" ht="32.25" customHeight="1" x14ac:dyDescent="0.25">
      <c r="C323" s="24"/>
      <c r="D323" s="142" t="s">
        <v>140</v>
      </c>
      <c r="E323" s="142"/>
      <c r="F323" s="72" t="s">
        <v>12</v>
      </c>
      <c r="G323" s="5">
        <v>979</v>
      </c>
      <c r="H323" s="5">
        <v>0</v>
      </c>
      <c r="I323" s="5">
        <v>0</v>
      </c>
      <c r="J323" s="5">
        <v>0</v>
      </c>
      <c r="K323" s="5">
        <v>979</v>
      </c>
      <c r="L323" s="5">
        <v>0</v>
      </c>
      <c r="M323" s="5">
        <v>0</v>
      </c>
      <c r="N323" s="5">
        <v>8.8207900000000006</v>
      </c>
      <c r="O323" s="6" t="s">
        <v>13</v>
      </c>
    </row>
    <row r="324" spans="3:16" ht="15" customHeight="1" x14ac:dyDescent="0.25">
      <c r="C324" s="24"/>
      <c r="D324" s="142" t="s">
        <v>15</v>
      </c>
      <c r="E324" s="142"/>
      <c r="F324" s="72" t="s">
        <v>12</v>
      </c>
      <c r="G324" s="5">
        <v>944.11199999999997</v>
      </c>
      <c r="H324" s="5">
        <v>0</v>
      </c>
      <c r="I324" s="5">
        <v>0</v>
      </c>
      <c r="J324" s="5">
        <v>0</v>
      </c>
      <c r="K324" s="5">
        <v>944.11199999999997</v>
      </c>
      <c r="L324" s="5">
        <v>0</v>
      </c>
      <c r="M324" s="5">
        <v>0</v>
      </c>
      <c r="N324" s="5">
        <v>0.14161679999999999</v>
      </c>
      <c r="O324" s="6" t="s">
        <v>13</v>
      </c>
    </row>
    <row r="325" spans="3:16" ht="26.25" customHeight="1" x14ac:dyDescent="0.25">
      <c r="C325" s="24"/>
      <c r="D325" s="143" t="s">
        <v>116</v>
      </c>
      <c r="E325" s="143"/>
      <c r="F325" s="87" t="s">
        <v>20</v>
      </c>
      <c r="G325" s="54">
        <v>153.97461664119999</v>
      </c>
      <c r="H325" s="54">
        <v>0</v>
      </c>
      <c r="I325" s="54">
        <v>0</v>
      </c>
      <c r="J325" s="54">
        <v>0</v>
      </c>
      <c r="K325" s="54">
        <v>153.97461664119999</v>
      </c>
      <c r="L325" s="54">
        <v>0</v>
      </c>
      <c r="M325" s="54">
        <v>0</v>
      </c>
      <c r="N325" s="54">
        <v>358.67157466949999</v>
      </c>
      <c r="O325" s="88" t="s">
        <v>13</v>
      </c>
    </row>
    <row r="326" spans="3:16" ht="15" customHeight="1" x14ac:dyDescent="0.25">
      <c r="C326" s="24"/>
      <c r="D326" s="142" t="s">
        <v>24</v>
      </c>
      <c r="E326" s="142"/>
      <c r="F326" s="72" t="s">
        <v>13</v>
      </c>
      <c r="G326" s="5">
        <v>0.32898391649999997</v>
      </c>
      <c r="H326" s="5">
        <v>0</v>
      </c>
      <c r="I326" s="5">
        <v>0</v>
      </c>
      <c r="J326" s="5">
        <v>0</v>
      </c>
      <c r="K326" s="5">
        <v>0.32898391649999997</v>
      </c>
      <c r="L326" s="5">
        <v>0</v>
      </c>
      <c r="M326" s="5">
        <v>0</v>
      </c>
      <c r="N326" s="5">
        <v>0.32898391649999997</v>
      </c>
      <c r="O326" s="6" t="s">
        <v>13</v>
      </c>
    </row>
    <row r="327" spans="3:16" ht="26.25" customHeight="1" x14ac:dyDescent="0.25">
      <c r="C327" s="24"/>
      <c r="D327" s="142" t="s">
        <v>141</v>
      </c>
      <c r="E327" s="142"/>
      <c r="F327" s="72" t="s">
        <v>12</v>
      </c>
      <c r="G327" s="5">
        <v>5963.3747368421</v>
      </c>
      <c r="H327" s="5">
        <v>0</v>
      </c>
      <c r="I327" s="5">
        <v>0</v>
      </c>
      <c r="J327" s="5">
        <v>0</v>
      </c>
      <c r="K327" s="5">
        <v>5963.3747368421</v>
      </c>
      <c r="L327" s="5">
        <v>0</v>
      </c>
      <c r="M327" s="5">
        <v>0</v>
      </c>
      <c r="N327" s="5">
        <v>24.837455778900001</v>
      </c>
      <c r="O327" s="6" t="s">
        <v>13</v>
      </c>
    </row>
    <row r="328" spans="3:16" x14ac:dyDescent="0.25">
      <c r="C328" s="24"/>
      <c r="D328" s="142" t="s">
        <v>32</v>
      </c>
      <c r="E328" s="142"/>
      <c r="F328" s="72" t="s">
        <v>13</v>
      </c>
      <c r="G328" s="5">
        <v>0.45834999999999998</v>
      </c>
      <c r="H328" s="5">
        <v>0</v>
      </c>
      <c r="I328" s="5">
        <v>0</v>
      </c>
      <c r="J328" s="5">
        <v>0</v>
      </c>
      <c r="K328" s="5">
        <v>0.45834999999999998</v>
      </c>
      <c r="L328" s="5">
        <v>0</v>
      </c>
      <c r="M328" s="5">
        <v>0</v>
      </c>
      <c r="N328" s="5">
        <v>0.45834999999999998</v>
      </c>
      <c r="O328" s="6" t="s">
        <v>13</v>
      </c>
    </row>
    <row r="329" spans="3:16" ht="25.5" customHeight="1" x14ac:dyDescent="0.25">
      <c r="C329" s="24"/>
      <c r="D329" s="142" t="s">
        <v>138</v>
      </c>
      <c r="E329" s="142"/>
      <c r="F329" s="72" t="s">
        <v>18</v>
      </c>
      <c r="G329" s="5">
        <v>7315.3128721733001</v>
      </c>
      <c r="H329" s="5">
        <v>0</v>
      </c>
      <c r="I329" s="5">
        <v>0</v>
      </c>
      <c r="J329" s="5">
        <v>0</v>
      </c>
      <c r="K329" s="5">
        <v>7315.3128721733001</v>
      </c>
      <c r="L329" s="5">
        <v>0</v>
      </c>
      <c r="M329" s="5">
        <v>0</v>
      </c>
      <c r="N329" s="5">
        <v>6.2877747649</v>
      </c>
      <c r="O329" s="6" t="s">
        <v>13</v>
      </c>
    </row>
    <row r="330" spans="3:16" ht="15" customHeight="1" x14ac:dyDescent="0.25">
      <c r="C330" s="24"/>
      <c r="D330" s="143" t="s">
        <v>38</v>
      </c>
      <c r="E330" s="143"/>
      <c r="F330" s="87" t="s">
        <v>13</v>
      </c>
      <c r="G330" s="54">
        <v>8.7027003500000006</v>
      </c>
      <c r="H330" s="54">
        <v>0</v>
      </c>
      <c r="I330" s="54">
        <v>0</v>
      </c>
      <c r="J330" s="54">
        <v>0</v>
      </c>
      <c r="K330" s="54">
        <v>8.7027003500000006</v>
      </c>
      <c r="L330" s="54">
        <v>0</v>
      </c>
      <c r="M330" s="54">
        <v>0</v>
      </c>
      <c r="N330" s="54">
        <v>8.7027003500000006</v>
      </c>
      <c r="O330" s="88" t="s">
        <v>13</v>
      </c>
    </row>
    <row r="331" spans="3:16" x14ac:dyDescent="0.25">
      <c r="C331" s="24"/>
      <c r="D331" s="142" t="s">
        <v>39</v>
      </c>
      <c r="E331" s="142"/>
      <c r="F331" s="72" t="s">
        <v>27</v>
      </c>
      <c r="G331" s="5">
        <v>9879.574812285</v>
      </c>
      <c r="H331" s="5">
        <v>0</v>
      </c>
      <c r="I331" s="5">
        <v>0</v>
      </c>
      <c r="J331" s="5">
        <v>0</v>
      </c>
      <c r="K331" s="5">
        <v>9879.574812285</v>
      </c>
      <c r="L331" s="5">
        <v>0</v>
      </c>
      <c r="M331" s="5">
        <v>0</v>
      </c>
      <c r="N331" s="5">
        <v>9.8795748122999996</v>
      </c>
      <c r="O331" s="6" t="s">
        <v>13</v>
      </c>
    </row>
    <row r="332" spans="3:16" x14ac:dyDescent="0.25">
      <c r="C332" s="24"/>
      <c r="D332" s="50"/>
      <c r="E332" s="50"/>
      <c r="F332" s="51"/>
      <c r="G332" s="52"/>
      <c r="H332" s="52"/>
      <c r="I332" s="52"/>
      <c r="J332" s="52"/>
      <c r="K332" s="52"/>
      <c r="L332" s="52"/>
      <c r="M332" s="52"/>
      <c r="N332" s="52"/>
      <c r="O332" s="53"/>
      <c r="P332" s="24"/>
    </row>
    <row r="333" spans="3:16" x14ac:dyDescent="0.25">
      <c r="C333" s="24"/>
      <c r="D333" s="50"/>
      <c r="E333" s="50"/>
      <c r="F333" s="51"/>
      <c r="G333" s="52"/>
      <c r="H333" s="52"/>
      <c r="I333" s="52"/>
      <c r="J333" s="52"/>
      <c r="K333" s="52"/>
      <c r="L333" s="52"/>
      <c r="M333" s="52"/>
      <c r="N333" s="52"/>
      <c r="O333" s="53"/>
      <c r="P333" s="24"/>
    </row>
    <row r="334" spans="3:16" x14ac:dyDescent="0.25">
      <c r="C334" s="24"/>
      <c r="D334" s="56" t="s">
        <v>135</v>
      </c>
      <c r="E334" s="50"/>
      <c r="F334" s="51"/>
      <c r="G334" s="52"/>
      <c r="H334" s="52"/>
      <c r="I334" s="52"/>
      <c r="J334" s="52"/>
      <c r="K334" s="52"/>
      <c r="L334" s="52"/>
      <c r="M334" s="52"/>
      <c r="N334" s="52"/>
      <c r="O334" s="53"/>
      <c r="P334" s="24"/>
    </row>
    <row r="335" spans="3:16" x14ac:dyDescent="0.25">
      <c r="C335" s="24"/>
      <c r="D335" s="137" t="s">
        <v>0</v>
      </c>
      <c r="E335" s="137"/>
      <c r="F335" s="62" t="s">
        <v>1</v>
      </c>
      <c r="G335" s="63" t="s">
        <v>2</v>
      </c>
      <c r="H335" s="62" t="s">
        <v>3</v>
      </c>
      <c r="I335" s="63" t="s">
        <v>4</v>
      </c>
      <c r="J335" s="62" t="s">
        <v>5</v>
      </c>
      <c r="K335" s="63" t="s">
        <v>6</v>
      </c>
      <c r="L335" s="62" t="s">
        <v>7</v>
      </c>
      <c r="M335" s="63" t="s">
        <v>8</v>
      </c>
      <c r="N335" s="64" t="s">
        <v>9</v>
      </c>
      <c r="O335" s="65" t="s">
        <v>10</v>
      </c>
      <c r="P335" s="24"/>
    </row>
    <row r="336" spans="3:16" x14ac:dyDescent="0.25">
      <c r="C336" s="24"/>
      <c r="D336" s="138" t="s">
        <v>11</v>
      </c>
      <c r="E336" s="139"/>
      <c r="F336" s="67" t="s">
        <v>12</v>
      </c>
      <c r="G336" s="66">
        <v>6087.799186272</v>
      </c>
      <c r="H336" s="67">
        <v>0</v>
      </c>
      <c r="I336" s="66">
        <v>0</v>
      </c>
      <c r="J336" s="67">
        <v>0</v>
      </c>
      <c r="K336" s="66">
        <v>6087.799186272</v>
      </c>
      <c r="L336" s="67">
        <v>0</v>
      </c>
      <c r="M336" s="66">
        <v>0</v>
      </c>
      <c r="N336" s="68">
        <v>4.4428338402999996</v>
      </c>
      <c r="O336" s="68" t="s">
        <v>13</v>
      </c>
    </row>
    <row r="337" spans="3:16" x14ac:dyDescent="0.25">
      <c r="C337" s="24"/>
      <c r="D337" s="138" t="s">
        <v>137</v>
      </c>
      <c r="E337" s="139"/>
      <c r="F337" s="67" t="s">
        <v>27</v>
      </c>
      <c r="G337" s="66">
        <v>59021.052631578903</v>
      </c>
      <c r="H337" s="67">
        <v>0</v>
      </c>
      <c r="I337" s="66">
        <v>0</v>
      </c>
      <c r="J337" s="67">
        <v>0</v>
      </c>
      <c r="K337" s="66">
        <v>59021.052631578903</v>
      </c>
      <c r="L337" s="67">
        <v>0</v>
      </c>
      <c r="M337" s="66">
        <v>0</v>
      </c>
      <c r="N337" s="68">
        <v>59.0210526316</v>
      </c>
      <c r="O337" s="68" t="s">
        <v>13</v>
      </c>
    </row>
    <row r="338" spans="3:16" ht="38.25" customHeight="1" x14ac:dyDescent="0.25">
      <c r="C338" s="24"/>
      <c r="D338" s="140" t="s">
        <v>116</v>
      </c>
      <c r="E338" s="141"/>
      <c r="F338" s="69" t="s">
        <v>20</v>
      </c>
      <c r="G338" s="70">
        <v>153.97461664119999</v>
      </c>
      <c r="H338" s="69">
        <v>0</v>
      </c>
      <c r="I338" s="70">
        <v>0</v>
      </c>
      <c r="J338" s="69">
        <v>0</v>
      </c>
      <c r="K338" s="70">
        <v>153.97461664119999</v>
      </c>
      <c r="L338" s="69">
        <v>0</v>
      </c>
      <c r="M338" s="70">
        <v>0</v>
      </c>
      <c r="N338" s="71">
        <v>358.67157466949999</v>
      </c>
      <c r="O338" s="71" t="s">
        <v>13</v>
      </c>
    </row>
    <row r="339" spans="3:16" x14ac:dyDescent="0.25">
      <c r="C339" s="24"/>
      <c r="D339" s="138" t="s">
        <v>24</v>
      </c>
      <c r="E339" s="139"/>
      <c r="F339" s="67" t="s">
        <v>13</v>
      </c>
      <c r="G339" s="66">
        <v>1.0604889607000001</v>
      </c>
      <c r="H339" s="67">
        <v>0</v>
      </c>
      <c r="I339" s="66">
        <v>0</v>
      </c>
      <c r="J339" s="67">
        <v>0</v>
      </c>
      <c r="K339" s="66">
        <v>1.0604889607000001</v>
      </c>
      <c r="L339" s="67">
        <v>0</v>
      </c>
      <c r="M339" s="66">
        <v>0</v>
      </c>
      <c r="N339" s="68">
        <v>1.0604889607000001</v>
      </c>
      <c r="O339" s="68" t="s">
        <v>13</v>
      </c>
    </row>
    <row r="340" spans="3:16" x14ac:dyDescent="0.25">
      <c r="C340" s="24"/>
      <c r="D340" s="138" t="s">
        <v>32</v>
      </c>
      <c r="E340" s="139"/>
      <c r="F340" s="67" t="s">
        <v>13</v>
      </c>
      <c r="G340" s="66">
        <v>0.45834999999999998</v>
      </c>
      <c r="H340" s="67">
        <v>0</v>
      </c>
      <c r="I340" s="66">
        <v>0</v>
      </c>
      <c r="J340" s="67">
        <v>0</v>
      </c>
      <c r="K340" s="66">
        <v>0.45834999999999998</v>
      </c>
      <c r="L340" s="67">
        <v>0</v>
      </c>
      <c r="M340" s="66">
        <v>0</v>
      </c>
      <c r="N340" s="68">
        <v>0.45834999999999998</v>
      </c>
      <c r="O340" s="68" t="s">
        <v>13</v>
      </c>
    </row>
    <row r="341" spans="3:16" ht="38.25" customHeight="1" x14ac:dyDescent="0.25">
      <c r="C341" s="24"/>
      <c r="D341" s="138" t="s">
        <v>138</v>
      </c>
      <c r="E341" s="139"/>
      <c r="F341" s="67" t="s">
        <v>18</v>
      </c>
      <c r="G341" s="66">
        <v>7315.3128721733001</v>
      </c>
      <c r="H341" s="67">
        <v>0</v>
      </c>
      <c r="I341" s="66">
        <v>0</v>
      </c>
      <c r="J341" s="67">
        <v>0</v>
      </c>
      <c r="K341" s="66">
        <v>7315.3128721733001</v>
      </c>
      <c r="L341" s="67">
        <v>0</v>
      </c>
      <c r="M341" s="66">
        <v>0</v>
      </c>
      <c r="N341" s="68">
        <v>6.2877747649</v>
      </c>
      <c r="O341" s="68" t="s">
        <v>13</v>
      </c>
    </row>
    <row r="342" spans="3:16" x14ac:dyDescent="0.25">
      <c r="C342" s="24"/>
      <c r="D342" s="140" t="s">
        <v>38</v>
      </c>
      <c r="E342" s="141"/>
      <c r="F342" s="69" t="s">
        <v>13</v>
      </c>
      <c r="G342" s="70">
        <v>8.7027003500000006</v>
      </c>
      <c r="H342" s="69">
        <v>0</v>
      </c>
      <c r="I342" s="70">
        <v>0</v>
      </c>
      <c r="J342" s="69">
        <v>0</v>
      </c>
      <c r="K342" s="70">
        <v>8.7027003500000006</v>
      </c>
      <c r="L342" s="69">
        <v>0</v>
      </c>
      <c r="M342" s="70">
        <v>0</v>
      </c>
      <c r="N342" s="71">
        <v>8.7027003500000006</v>
      </c>
      <c r="O342" s="71" t="s">
        <v>13</v>
      </c>
    </row>
    <row r="343" spans="3:16" x14ac:dyDescent="0.25">
      <c r="C343" s="24"/>
      <c r="D343" s="138" t="s">
        <v>39</v>
      </c>
      <c r="E343" s="139"/>
      <c r="F343" s="67" t="s">
        <v>27</v>
      </c>
      <c r="G343" s="66">
        <v>17962.863293850001</v>
      </c>
      <c r="H343" s="67">
        <v>0</v>
      </c>
      <c r="I343" s="66">
        <v>0</v>
      </c>
      <c r="J343" s="67">
        <v>0</v>
      </c>
      <c r="K343" s="66">
        <v>17962.863293850001</v>
      </c>
      <c r="L343" s="67">
        <v>0</v>
      </c>
      <c r="M343" s="66">
        <v>0</v>
      </c>
      <c r="N343" s="68">
        <v>17.9628632939</v>
      </c>
      <c r="O343" s="68" t="s">
        <v>13</v>
      </c>
    </row>
    <row r="344" spans="3:16" x14ac:dyDescent="0.25">
      <c r="C344" s="24"/>
      <c r="D344" s="138" t="s">
        <v>139</v>
      </c>
      <c r="E344" s="139"/>
      <c r="F344" s="67" t="s">
        <v>12</v>
      </c>
      <c r="G344" s="66">
        <v>12175.598402981999</v>
      </c>
      <c r="H344" s="67">
        <v>0</v>
      </c>
      <c r="I344" s="66">
        <v>0</v>
      </c>
      <c r="J344" s="67">
        <v>0</v>
      </c>
      <c r="K344" s="66">
        <v>12175.598402981999</v>
      </c>
      <c r="L344" s="67">
        <v>0</v>
      </c>
      <c r="M344" s="66">
        <v>0</v>
      </c>
      <c r="N344" s="68">
        <v>6.3955837184000002</v>
      </c>
      <c r="O344" s="68" t="s">
        <v>13</v>
      </c>
    </row>
    <row r="345" spans="3:16" x14ac:dyDescent="0.25">
      <c r="C345" s="24"/>
      <c r="D345" s="73"/>
      <c r="E345" s="73"/>
      <c r="F345" s="74"/>
      <c r="G345" s="75"/>
      <c r="H345" s="74"/>
      <c r="I345" s="75"/>
      <c r="J345" s="74"/>
      <c r="K345" s="75"/>
      <c r="L345" s="74"/>
      <c r="M345" s="75"/>
      <c r="N345" s="74"/>
      <c r="O345" s="75"/>
      <c r="P345" s="24"/>
    </row>
    <row r="346" spans="3:16" x14ac:dyDescent="0.25">
      <c r="C346" s="24"/>
      <c r="D346" s="82" t="s">
        <v>142</v>
      </c>
      <c r="E346" s="24"/>
      <c r="F346" s="24">
        <v>1</v>
      </c>
      <c r="G346" s="24" t="s">
        <v>12</v>
      </c>
      <c r="H346" s="24"/>
      <c r="I346" s="24"/>
      <c r="J346" s="24"/>
      <c r="K346" s="24"/>
      <c r="L346" s="24"/>
      <c r="M346" s="24"/>
      <c r="N346" s="24"/>
      <c r="O346" s="24"/>
      <c r="P346" s="24"/>
    </row>
    <row r="347" spans="3:16" x14ac:dyDescent="0.25">
      <c r="C347" s="24"/>
      <c r="D347" s="137" t="s">
        <v>0</v>
      </c>
      <c r="E347" s="137"/>
      <c r="F347" s="62" t="s">
        <v>1</v>
      </c>
      <c r="G347" s="63" t="s">
        <v>2</v>
      </c>
      <c r="H347" s="62" t="s">
        <v>3</v>
      </c>
      <c r="I347" s="63" t="s">
        <v>4</v>
      </c>
      <c r="J347" s="62" t="s">
        <v>5</v>
      </c>
      <c r="K347" s="63" t="s">
        <v>6</v>
      </c>
      <c r="L347" s="62" t="s">
        <v>7</v>
      </c>
      <c r="M347" s="63" t="s">
        <v>8</v>
      </c>
      <c r="N347" s="64" t="s">
        <v>9</v>
      </c>
      <c r="O347" s="65" t="s">
        <v>10</v>
      </c>
      <c r="P347" s="24"/>
    </row>
    <row r="348" spans="3:16" x14ac:dyDescent="0.25">
      <c r="C348" s="24"/>
      <c r="D348" s="136" t="s">
        <v>32</v>
      </c>
      <c r="E348" s="136"/>
      <c r="F348" s="81" t="s">
        <v>27</v>
      </c>
      <c r="G348" s="76">
        <v>2.5999999999999999E-2</v>
      </c>
      <c r="H348" s="81"/>
      <c r="I348" s="76"/>
      <c r="J348" s="81"/>
      <c r="K348" s="76"/>
      <c r="L348" s="81">
        <f>G348</f>
        <v>2.5999999999999999E-2</v>
      </c>
      <c r="M348" s="76"/>
      <c r="N348" s="81">
        <f>L348/1000</f>
        <v>2.5999999999999998E-5</v>
      </c>
      <c r="O348" s="76" t="s">
        <v>13</v>
      </c>
      <c r="P348" s="24"/>
    </row>
    <row r="349" spans="3:16" x14ac:dyDescent="0.25">
      <c r="C349" s="24"/>
      <c r="D349" s="136" t="s">
        <v>109</v>
      </c>
      <c r="E349" s="136"/>
      <c r="F349" s="81" t="s">
        <v>27</v>
      </c>
      <c r="G349" s="76">
        <v>2.2785000000000002</v>
      </c>
      <c r="H349" s="81"/>
      <c r="I349" s="76"/>
      <c r="J349" s="81"/>
      <c r="K349" s="76"/>
      <c r="L349" s="81">
        <f>G349</f>
        <v>2.2785000000000002</v>
      </c>
      <c r="M349" s="76"/>
      <c r="N349" s="81">
        <f>L349/1000</f>
        <v>2.2785000000000001E-3</v>
      </c>
      <c r="O349" s="76" t="s">
        <v>13</v>
      </c>
      <c r="P349" s="24"/>
    </row>
    <row r="350" spans="3:16" x14ac:dyDescent="0.25">
      <c r="C350" s="24"/>
      <c r="D350" s="73"/>
      <c r="E350" s="73"/>
      <c r="F350" s="74"/>
      <c r="G350" s="75"/>
      <c r="H350" s="74"/>
      <c r="I350" s="75"/>
      <c r="J350" s="74"/>
      <c r="K350" s="75"/>
      <c r="L350" s="74"/>
      <c r="M350" s="75"/>
      <c r="N350" s="74"/>
      <c r="O350" s="75"/>
      <c r="P350" s="24"/>
    </row>
    <row r="351" spans="3:16" x14ac:dyDescent="0.25">
      <c r="C351" s="24"/>
      <c r="D351" s="82" t="s">
        <v>143</v>
      </c>
      <c r="E351" s="24"/>
      <c r="F351" s="24">
        <v>1</v>
      </c>
      <c r="G351" s="24" t="s">
        <v>12</v>
      </c>
      <c r="H351" s="24"/>
      <c r="I351" s="24"/>
      <c r="J351" s="24"/>
      <c r="K351" s="24"/>
      <c r="L351" s="24"/>
      <c r="M351" s="24"/>
      <c r="N351" s="24"/>
      <c r="O351" s="24"/>
      <c r="P351" s="24"/>
    </row>
    <row r="352" spans="3:16" x14ac:dyDescent="0.25">
      <c r="C352" s="24"/>
      <c r="D352" s="137" t="s">
        <v>0</v>
      </c>
      <c r="E352" s="137"/>
      <c r="F352" s="62" t="s">
        <v>1</v>
      </c>
      <c r="G352" s="63" t="s">
        <v>2</v>
      </c>
      <c r="H352" s="62" t="s">
        <v>3</v>
      </c>
      <c r="I352" s="63" t="s">
        <v>4</v>
      </c>
      <c r="J352" s="62" t="s">
        <v>5</v>
      </c>
      <c r="K352" s="63" t="s">
        <v>6</v>
      </c>
      <c r="L352" s="62" t="s">
        <v>7</v>
      </c>
      <c r="M352" s="63" t="s">
        <v>8</v>
      </c>
      <c r="N352" s="64" t="s">
        <v>9</v>
      </c>
      <c r="O352" s="65" t="s">
        <v>10</v>
      </c>
      <c r="P352" s="24"/>
    </row>
    <row r="353" spans="3:16" x14ac:dyDescent="0.25">
      <c r="C353" s="24"/>
      <c r="D353" s="136" t="s">
        <v>160</v>
      </c>
      <c r="E353" s="136"/>
      <c r="F353" s="81" t="s">
        <v>27</v>
      </c>
      <c r="G353" s="76">
        <v>127.7</v>
      </c>
      <c r="H353" s="81"/>
      <c r="I353" s="76"/>
      <c r="J353" s="81"/>
      <c r="K353" s="76"/>
      <c r="L353" s="81">
        <f>G353</f>
        <v>127.7</v>
      </c>
      <c r="M353" s="76"/>
      <c r="N353" s="81">
        <f>L353/1000</f>
        <v>0.12770000000000001</v>
      </c>
      <c r="O353" s="76" t="s">
        <v>13</v>
      </c>
      <c r="P353" s="24"/>
    </row>
    <row r="354" spans="3:16" x14ac:dyDescent="0.25">
      <c r="C354" s="24"/>
      <c r="D354" s="136" t="s">
        <v>124</v>
      </c>
      <c r="E354" s="136"/>
      <c r="F354" s="81" t="s">
        <v>27</v>
      </c>
      <c r="G354" s="76">
        <v>328.8</v>
      </c>
      <c r="H354" s="81"/>
      <c r="I354" s="76"/>
      <c r="J354" s="81"/>
      <c r="K354" s="76"/>
      <c r="L354" s="81">
        <f>G354</f>
        <v>328.8</v>
      </c>
      <c r="M354" s="76"/>
      <c r="N354" s="81">
        <f>L354/1000</f>
        <v>0.32880000000000004</v>
      </c>
      <c r="O354" s="76" t="s">
        <v>13</v>
      </c>
      <c r="P354" s="24"/>
    </row>
    <row r="355" spans="3:16" x14ac:dyDescent="0.25">
      <c r="C355" s="24"/>
      <c r="D355" s="136" t="s">
        <v>161</v>
      </c>
      <c r="E355" s="136"/>
      <c r="F355" s="81" t="s">
        <v>27</v>
      </c>
      <c r="G355" s="76">
        <v>0.2</v>
      </c>
      <c r="H355" s="81"/>
      <c r="I355" s="76"/>
      <c r="J355" s="81"/>
      <c r="K355" s="76"/>
      <c r="L355" s="81">
        <f>G355</f>
        <v>0.2</v>
      </c>
      <c r="M355" s="76"/>
      <c r="N355" s="81">
        <f>L355/1000</f>
        <v>2.0000000000000001E-4</v>
      </c>
      <c r="O355" s="76" t="s">
        <v>13</v>
      </c>
      <c r="P355" s="24"/>
    </row>
    <row r="356" spans="3:16" x14ac:dyDescent="0.25">
      <c r="C356" s="24"/>
      <c r="D356" s="50"/>
      <c r="E356" s="50"/>
      <c r="F356" s="51"/>
      <c r="G356" s="52"/>
      <c r="H356" s="52"/>
      <c r="I356" s="52"/>
      <c r="J356" s="52"/>
      <c r="K356" s="52"/>
      <c r="L356" s="52"/>
      <c r="M356" s="52"/>
      <c r="N356" s="52"/>
      <c r="O356" s="53"/>
      <c r="P356" s="24"/>
    </row>
    <row r="357" spans="3:16" x14ac:dyDescent="0.25">
      <c r="C357" s="24"/>
      <c r="D357" s="50"/>
      <c r="E357" s="50"/>
      <c r="F357" s="61"/>
      <c r="H357" s="52"/>
      <c r="I357" s="52"/>
      <c r="J357" s="52"/>
      <c r="K357" s="52"/>
      <c r="L357" s="52"/>
      <c r="M357" s="52"/>
      <c r="N357" s="52"/>
      <c r="O357" s="53"/>
      <c r="P357" s="24"/>
    </row>
    <row r="358" spans="3:16" x14ac:dyDescent="0.25"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</row>
    <row r="359" spans="3:16" s="1" customFormat="1" x14ac:dyDescent="0.25"/>
  </sheetData>
  <mergeCells count="488">
    <mergeCell ref="D353:E353"/>
    <mergeCell ref="D354:E354"/>
    <mergeCell ref="D355:E355"/>
    <mergeCell ref="D348:E348"/>
    <mergeCell ref="D349:E349"/>
    <mergeCell ref="R105:U105"/>
    <mergeCell ref="D280:E280"/>
    <mergeCell ref="D281:E281"/>
    <mergeCell ref="D282:E282"/>
    <mergeCell ref="D230:E230"/>
    <mergeCell ref="D231:E231"/>
    <mergeCell ref="D235:E235"/>
    <mergeCell ref="D236:E236"/>
    <mergeCell ref="D237:E237"/>
    <mergeCell ref="D241:E241"/>
    <mergeCell ref="D243:E243"/>
    <mergeCell ref="D242:E242"/>
    <mergeCell ref="D287:E287"/>
    <mergeCell ref="D339:E339"/>
    <mergeCell ref="D340:E340"/>
    <mergeCell ref="D341:E341"/>
    <mergeCell ref="D110:D187"/>
    <mergeCell ref="D322:E322"/>
    <mergeCell ref="D323:E323"/>
    <mergeCell ref="D325:E325"/>
    <mergeCell ref="D326:E326"/>
    <mergeCell ref="D327:E327"/>
    <mergeCell ref="D328:E328"/>
    <mergeCell ref="D336:E336"/>
    <mergeCell ref="D347:E347"/>
    <mergeCell ref="D352:E352"/>
    <mergeCell ref="D283:E283"/>
    <mergeCell ref="D289:E289"/>
    <mergeCell ref="D286:E286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295:E295"/>
    <mergeCell ref="D296:E296"/>
    <mergeCell ref="D297:E297"/>
    <mergeCell ref="D298:E298"/>
    <mergeCell ref="D299:E299"/>
    <mergeCell ref="D300:E300"/>
    <mergeCell ref="D229:E229"/>
    <mergeCell ref="D234:E234"/>
    <mergeCell ref="D240:E240"/>
    <mergeCell ref="D337:E337"/>
    <mergeCell ref="D338:E338"/>
    <mergeCell ref="D342:E342"/>
    <mergeCell ref="D343:E343"/>
    <mergeCell ref="D344:E344"/>
    <mergeCell ref="D329:E329"/>
    <mergeCell ref="D330:E330"/>
    <mergeCell ref="D331:E331"/>
    <mergeCell ref="D321:E321"/>
    <mergeCell ref="D335:E335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24:E324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71:E271"/>
    <mergeCell ref="D272:E272"/>
    <mergeCell ref="D273:E273"/>
    <mergeCell ref="D274:E274"/>
    <mergeCell ref="D275:E275"/>
    <mergeCell ref="D276:E276"/>
    <mergeCell ref="D288:E288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7:E267"/>
    <mergeCell ref="D268:E268"/>
    <mergeCell ref="D269:E269"/>
    <mergeCell ref="D279:E279"/>
    <mergeCell ref="D270:E270"/>
    <mergeCell ref="R99:U99"/>
    <mergeCell ref="R100:U100"/>
    <mergeCell ref="R106:U106"/>
    <mergeCell ref="H107:L107"/>
    <mergeCell ref="R107:U107"/>
    <mergeCell ref="H108:L108"/>
    <mergeCell ref="R108:U108"/>
    <mergeCell ref="G149:G167"/>
    <mergeCell ref="D266:E266"/>
    <mergeCell ref="D219:E219"/>
    <mergeCell ref="D220:E220"/>
    <mergeCell ref="D221:E221"/>
    <mergeCell ref="D222:E222"/>
    <mergeCell ref="D223:E223"/>
    <mergeCell ref="D213:E213"/>
    <mergeCell ref="D214:E214"/>
    <mergeCell ref="D215:E215"/>
    <mergeCell ref="D216:E216"/>
    <mergeCell ref="D217:E217"/>
    <mergeCell ref="D218:E218"/>
    <mergeCell ref="D207:E207"/>
    <mergeCell ref="D208:E208"/>
    <mergeCell ref="D209:E209"/>
    <mergeCell ref="D210:E210"/>
    <mergeCell ref="R94:U94"/>
    <mergeCell ref="R95:U95"/>
    <mergeCell ref="R96:U96"/>
    <mergeCell ref="R97:U97"/>
    <mergeCell ref="R98:U98"/>
    <mergeCell ref="R92:U92"/>
    <mergeCell ref="R93:U93"/>
    <mergeCell ref="H185:L185"/>
    <mergeCell ref="H186:L186"/>
    <mergeCell ref="R121:U121"/>
    <mergeCell ref="R122:U122"/>
    <mergeCell ref="R123:U123"/>
    <mergeCell ref="R124:U124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9:U139"/>
    <mergeCell ref="R140:U140"/>
    <mergeCell ref="R141:U141"/>
    <mergeCell ref="H187:L187"/>
    <mergeCell ref="H165:L165"/>
    <mergeCell ref="H166:L166"/>
    <mergeCell ref="H167:L167"/>
    <mergeCell ref="H169:L176"/>
    <mergeCell ref="H177:L183"/>
    <mergeCell ref="G169:G187"/>
    <mergeCell ref="E169:F187"/>
    <mergeCell ref="H97:L97"/>
    <mergeCell ref="H98:L98"/>
    <mergeCell ref="H99:L99"/>
    <mergeCell ref="H100:L100"/>
    <mergeCell ref="H106:L106"/>
    <mergeCell ref="R90:U90"/>
    <mergeCell ref="R91:U91"/>
    <mergeCell ref="R86:U86"/>
    <mergeCell ref="R87:U87"/>
    <mergeCell ref="R89:U89"/>
    <mergeCell ref="R88:U88"/>
    <mergeCell ref="R80:U80"/>
    <mergeCell ref="R81:U81"/>
    <mergeCell ref="R82:U82"/>
    <mergeCell ref="R84:U84"/>
    <mergeCell ref="R85:U85"/>
    <mergeCell ref="R83:U83"/>
    <mergeCell ref="R77:U77"/>
    <mergeCell ref="R78:U78"/>
    <mergeCell ref="R79:U79"/>
    <mergeCell ref="H79:L79"/>
    <mergeCell ref="R75:U75"/>
    <mergeCell ref="R76:U76"/>
    <mergeCell ref="R70:U70"/>
    <mergeCell ref="R71:U71"/>
    <mergeCell ref="R72:U72"/>
    <mergeCell ref="R74:U74"/>
    <mergeCell ref="H70:L70"/>
    <mergeCell ref="H71:L71"/>
    <mergeCell ref="H72:L72"/>
    <mergeCell ref="R67:U67"/>
    <mergeCell ref="R68:U68"/>
    <mergeCell ref="R69:U69"/>
    <mergeCell ref="H69:L69"/>
    <mergeCell ref="R65:U65"/>
    <mergeCell ref="R66:U66"/>
    <mergeCell ref="R61:U61"/>
    <mergeCell ref="R62:U62"/>
    <mergeCell ref="R64:U64"/>
    <mergeCell ref="H67:L67"/>
    <mergeCell ref="H68:L68"/>
    <mergeCell ref="R58:U58"/>
    <mergeCell ref="H59:L59"/>
    <mergeCell ref="R59:U59"/>
    <mergeCell ref="R60:U60"/>
    <mergeCell ref="R57:U57"/>
    <mergeCell ref="R56:U56"/>
    <mergeCell ref="G129:G147"/>
    <mergeCell ref="H145:L145"/>
    <mergeCell ref="H146:L146"/>
    <mergeCell ref="H147:L147"/>
    <mergeCell ref="H84:L84"/>
    <mergeCell ref="H85:L85"/>
    <mergeCell ref="H86:L86"/>
    <mergeCell ref="H87:L87"/>
    <mergeCell ref="H88:L88"/>
    <mergeCell ref="H89:L89"/>
    <mergeCell ref="H90:L90"/>
    <mergeCell ref="H91:L91"/>
    <mergeCell ref="H92:L92"/>
    <mergeCell ref="H93:L93"/>
    <mergeCell ref="H105:L105"/>
    <mergeCell ref="H94:L94"/>
    <mergeCell ref="H95:L95"/>
    <mergeCell ref="H96:L96"/>
    <mergeCell ref="D4:D54"/>
    <mergeCell ref="E32:F54"/>
    <mergeCell ref="D56:D108"/>
    <mergeCell ref="E84:F108"/>
    <mergeCell ref="G84:G108"/>
    <mergeCell ref="H184:L184"/>
    <mergeCell ref="E110:F127"/>
    <mergeCell ref="H110:L117"/>
    <mergeCell ref="H118:L124"/>
    <mergeCell ref="H125:L125"/>
    <mergeCell ref="H126:L126"/>
    <mergeCell ref="H127:L127"/>
    <mergeCell ref="H128:L128"/>
    <mergeCell ref="E129:F147"/>
    <mergeCell ref="H144:L144"/>
    <mergeCell ref="G4:G10"/>
    <mergeCell ref="G12:G20"/>
    <mergeCell ref="G22:G30"/>
    <mergeCell ref="G56:G62"/>
    <mergeCell ref="G64:G72"/>
    <mergeCell ref="G74:G82"/>
    <mergeCell ref="G110:G127"/>
    <mergeCell ref="E149:F167"/>
    <mergeCell ref="H164:L164"/>
    <mergeCell ref="E74:F82"/>
    <mergeCell ref="H74:L74"/>
    <mergeCell ref="H75:L75"/>
    <mergeCell ref="H76:L76"/>
    <mergeCell ref="H77:L77"/>
    <mergeCell ref="H78:L78"/>
    <mergeCell ref="H80:L80"/>
    <mergeCell ref="H81:L81"/>
    <mergeCell ref="H82:L82"/>
    <mergeCell ref="D211:E211"/>
    <mergeCell ref="D212:E212"/>
    <mergeCell ref="D201:E201"/>
    <mergeCell ref="D202:E202"/>
    <mergeCell ref="D203:E203"/>
    <mergeCell ref="D204:E204"/>
    <mergeCell ref="D205:E205"/>
    <mergeCell ref="D206:E206"/>
    <mergeCell ref="D195:E195"/>
    <mergeCell ref="D196:E196"/>
    <mergeCell ref="D197:E197"/>
    <mergeCell ref="D198:E198"/>
    <mergeCell ref="D199:E199"/>
    <mergeCell ref="D200:E200"/>
    <mergeCell ref="R54:U54"/>
    <mergeCell ref="R55:U55"/>
    <mergeCell ref="H63:L63"/>
    <mergeCell ref="H73:L73"/>
    <mergeCell ref="H83:L83"/>
    <mergeCell ref="R109:U109"/>
    <mergeCell ref="H148:L148"/>
    <mergeCell ref="H168:L168"/>
    <mergeCell ref="R63:U63"/>
    <mergeCell ref="R73:U73"/>
    <mergeCell ref="R127:U127"/>
    <mergeCell ref="M128:Q128"/>
    <mergeCell ref="R128:V128"/>
    <mergeCell ref="M129:M136"/>
    <mergeCell ref="N129:N136"/>
    <mergeCell ref="R137:U137"/>
    <mergeCell ref="R138:U138"/>
    <mergeCell ref="M118:M124"/>
    <mergeCell ref="N118:N124"/>
    <mergeCell ref="R125:U125"/>
    <mergeCell ref="R126:U126"/>
    <mergeCell ref="R118:U118"/>
    <mergeCell ref="R119:U119"/>
    <mergeCell ref="R120:U120"/>
    <mergeCell ref="R50:U50"/>
    <mergeCell ref="R52:U52"/>
    <mergeCell ref="H53:L53"/>
    <mergeCell ref="R53:U53"/>
    <mergeCell ref="H45:L45"/>
    <mergeCell ref="R45:U45"/>
    <mergeCell ref="H46:L46"/>
    <mergeCell ref="R46:U46"/>
    <mergeCell ref="R47:U47"/>
    <mergeCell ref="R48:U48"/>
    <mergeCell ref="H50:L50"/>
    <mergeCell ref="H51:L51"/>
    <mergeCell ref="R49:U49"/>
    <mergeCell ref="H49:L49"/>
    <mergeCell ref="H47:L47"/>
    <mergeCell ref="H48:L48"/>
    <mergeCell ref="R51:U51"/>
    <mergeCell ref="H52:L52"/>
    <mergeCell ref="R43:U43"/>
    <mergeCell ref="H44:L44"/>
    <mergeCell ref="R44:U44"/>
    <mergeCell ref="R41:U41"/>
    <mergeCell ref="H42:L42"/>
    <mergeCell ref="R42:U42"/>
    <mergeCell ref="H41:L41"/>
    <mergeCell ref="H43:L43"/>
    <mergeCell ref="R39:U39"/>
    <mergeCell ref="H40:L40"/>
    <mergeCell ref="R40:U40"/>
    <mergeCell ref="H39:L39"/>
    <mergeCell ref="R38:U38"/>
    <mergeCell ref="R37:U37"/>
    <mergeCell ref="H35:L35"/>
    <mergeCell ref="H36:L36"/>
    <mergeCell ref="R36:U36"/>
    <mergeCell ref="H37:L37"/>
    <mergeCell ref="H30:L30"/>
    <mergeCell ref="R30:U30"/>
    <mergeCell ref="H31:L31"/>
    <mergeCell ref="R31:U31"/>
    <mergeCell ref="R35:U35"/>
    <mergeCell ref="H32:L32"/>
    <mergeCell ref="R32:U32"/>
    <mergeCell ref="H33:L33"/>
    <mergeCell ref="R33:U33"/>
    <mergeCell ref="H34:L34"/>
    <mergeCell ref="R34:U34"/>
    <mergeCell ref="H38:L38"/>
    <mergeCell ref="R22:U22"/>
    <mergeCell ref="H25:L25"/>
    <mergeCell ref="R25:U25"/>
    <mergeCell ref="R29:U29"/>
    <mergeCell ref="R17:U17"/>
    <mergeCell ref="H20:L20"/>
    <mergeCell ref="R20:U20"/>
    <mergeCell ref="H21:L21"/>
    <mergeCell ref="R21:U21"/>
    <mergeCell ref="H18:L18"/>
    <mergeCell ref="R18:U18"/>
    <mergeCell ref="R26:U26"/>
    <mergeCell ref="H26:L26"/>
    <mergeCell ref="H28:L28"/>
    <mergeCell ref="R28:U28"/>
    <mergeCell ref="R27:U27"/>
    <mergeCell ref="R23:U23"/>
    <mergeCell ref="H24:L24"/>
    <mergeCell ref="H23:L23"/>
    <mergeCell ref="R24:U24"/>
    <mergeCell ref="H19:L19"/>
    <mergeCell ref="H17:L17"/>
    <mergeCell ref="H27:L27"/>
    <mergeCell ref="H29:L29"/>
    <mergeCell ref="R6:U6"/>
    <mergeCell ref="H8:L8"/>
    <mergeCell ref="R8:U8"/>
    <mergeCell ref="R7:U7"/>
    <mergeCell ref="H7:L7"/>
    <mergeCell ref="E4:F10"/>
    <mergeCell ref="H4:L4"/>
    <mergeCell ref="H9:L9"/>
    <mergeCell ref="R19:U19"/>
    <mergeCell ref="E12:F20"/>
    <mergeCell ref="R16:U16"/>
    <mergeCell ref="H16:L16"/>
    <mergeCell ref="H14:L14"/>
    <mergeCell ref="R14:U14"/>
    <mergeCell ref="H15:L15"/>
    <mergeCell ref="R15:U15"/>
    <mergeCell ref="R12:U12"/>
    <mergeCell ref="H13:L13"/>
    <mergeCell ref="H12:L12"/>
    <mergeCell ref="R13:U13"/>
    <mergeCell ref="E2:F2"/>
    <mergeCell ref="H2:L2"/>
    <mergeCell ref="H5:L5"/>
    <mergeCell ref="H6:L6"/>
    <mergeCell ref="H10:L10"/>
    <mergeCell ref="H129:L136"/>
    <mergeCell ref="H137:L143"/>
    <mergeCell ref="H149:L156"/>
    <mergeCell ref="H157:L163"/>
    <mergeCell ref="E56:F62"/>
    <mergeCell ref="H56:L56"/>
    <mergeCell ref="H57:L57"/>
    <mergeCell ref="H58:L58"/>
    <mergeCell ref="H60:L60"/>
    <mergeCell ref="H61:L61"/>
    <mergeCell ref="H62:L62"/>
    <mergeCell ref="E22:F30"/>
    <mergeCell ref="H54:L54"/>
    <mergeCell ref="G32:G54"/>
    <mergeCell ref="H22:L22"/>
    <mergeCell ref="E64:F72"/>
    <mergeCell ref="H64:L64"/>
    <mergeCell ref="H65:L65"/>
    <mergeCell ref="H66:L66"/>
    <mergeCell ref="R2:U2"/>
    <mergeCell ref="H3:L3"/>
    <mergeCell ref="R3:U3"/>
    <mergeCell ref="R4:U4"/>
    <mergeCell ref="R5:U5"/>
    <mergeCell ref="R9:U9"/>
    <mergeCell ref="R10:U10"/>
    <mergeCell ref="H11:L11"/>
    <mergeCell ref="M110:M117"/>
    <mergeCell ref="N110:N117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01:U101"/>
    <mergeCell ref="R102:U102"/>
    <mergeCell ref="R103:U103"/>
    <mergeCell ref="R104:U104"/>
    <mergeCell ref="H101:L104"/>
    <mergeCell ref="R11:U11"/>
    <mergeCell ref="R142:U142"/>
    <mergeCell ref="R143:U143"/>
    <mergeCell ref="R145:U145"/>
    <mergeCell ref="R146:U146"/>
    <mergeCell ref="R147:U147"/>
    <mergeCell ref="M137:M143"/>
    <mergeCell ref="N137:N143"/>
    <mergeCell ref="R144:U144"/>
    <mergeCell ref="M149:M156"/>
    <mergeCell ref="N149:N156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66:U166"/>
    <mergeCell ref="R167:U167"/>
    <mergeCell ref="M157:M163"/>
    <mergeCell ref="N157:N163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85:U185"/>
    <mergeCell ref="R186:U186"/>
    <mergeCell ref="R187:U187"/>
    <mergeCell ref="M169:M176"/>
    <mergeCell ref="N169:N176"/>
    <mergeCell ref="M177:M183"/>
    <mergeCell ref="N177:N183"/>
    <mergeCell ref="R178:U178"/>
    <mergeCell ref="R179:U179"/>
    <mergeCell ref="R180:U180"/>
    <mergeCell ref="R181:U181"/>
    <mergeCell ref="R182:U182"/>
    <mergeCell ref="R183:U183"/>
    <mergeCell ref="R184:U184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</mergeCells>
  <hyperlinks>
    <hyperlink ref="X51" r:id="rId1" display="https://www.gobrick.com/media/file/10-dimensioning-and-estimating-brick-masonry.pdf ; " xr:uid="{5B0D95F1-DD5C-4A7D-8BFC-68933D4F7E55}"/>
    <hyperlink ref="E246" r:id="rId2" xr:uid="{9903CB90-5E9F-48EB-A88B-CE95916AC5A8}"/>
    <hyperlink ref="X7" r:id="rId3" display="https://bpcan.com/wp-content/uploads/2017/02/sds-asphalt-saturated-felts-2021.pdf ; " xr:uid="{99CFCC3B-82A8-4D62-BFB9-7B4AFFC6C648}"/>
    <hyperlink ref="X6" r:id="rId4" display="https://www.iko.com/comm/wp-content/uploads/sites/7/2024/02/SDS_1216-Roofing-Asphalt-Easy-Melt-FR.pdf ; " xr:uid="{E90E56F7-443E-4D9B-9EBF-6E4566EA9A19}"/>
    <hyperlink ref="X14" r:id="rId5" display="https://www.iko.com/comm/wp-content/uploads/sites/7/2024/02/SDS_1216-Roofing-Asphalt-Easy-Melt-FR.pdf ; " xr:uid="{FBF9DB7E-FB77-4B3C-9DE2-7AA16CA83CF6}"/>
    <hyperlink ref="X24" r:id="rId6" display="https://www.iko.com/comm/wp-content/uploads/sites/7/2024/02/SDS_1216-Roofing-Asphalt-Easy-Melt-FR.pdf ; " xr:uid="{A84E55D3-2D44-4FC8-981A-0B552BFA988D}"/>
    <hyperlink ref="X17" r:id="rId7" display="https://bpcan.com/wp-content/uploads/2017/02/sds-asphalt-saturated-felts-2021.pdf ; " xr:uid="{CBD15F70-0EAC-4267-BDC2-B0D8E48F0A94}"/>
    <hyperlink ref="X27" r:id="rId8" display="https://bpcan.com/wp-content/uploads/2017/02/sds-asphalt-saturated-felts-2021.pdf ; " xr:uid="{35E1F8D2-22AB-4AB0-8CF2-3AAD9720B8F8}"/>
    <hyperlink ref="X41" r:id="rId9" display="https://www.iko.com/comm/wp-content/uploads/sites/7/2024/02/SDS_1216-Roofing-Asphalt-Easy-Melt-FR.pdf ; " xr:uid="{81526905-5AA2-420C-8854-53D0C8EBD3D9}"/>
    <hyperlink ref="X47" r:id="rId10" display="https://bpcan.com/wp-content/uploads/2017/02/sds-asphalt-saturated-felts-2021.pdf ; " xr:uid="{CCEC54AA-C33D-4E23-BA59-0D1762EB4C4F}"/>
    <hyperlink ref="X32" r:id="rId11" display="https://certainteed.widen.net/content/opoyh8dp5n/pdf/117.2-CertainTeed-Gypsum-EPD-TypeC-OneHalfInch-Gypsum-Board-MontrealQC.pdf?u=nwk4fd ; " xr:uid="{C50401C2-263D-47FA-9364-4E07AD4B4F6B}"/>
    <hyperlink ref="X58" r:id="rId12" display="https://www.iko.com/comm/wp-content/uploads/sites/7/2024/02/SDS_1216-Roofing-Asphalt-Easy-Melt-FR.pdf ; " xr:uid="{F415492F-6086-4485-87EC-F15573C97D58}"/>
    <hyperlink ref="X59" r:id="rId13" display="https://bpcan.com/wp-content/uploads/2017/02/sds-asphalt-saturated-felts-2021.pdf ; " xr:uid="{B67B5D9A-E1C3-4BA5-897B-38492CBDFDDA}"/>
    <hyperlink ref="X69" r:id="rId14" display="https://bpcan.com/wp-content/uploads/2017/02/sds-asphalt-saturated-felts-2021.pdf ; " xr:uid="{65EACD4C-3298-43D9-BFAD-048FC9E6525B}"/>
    <hyperlink ref="X66" r:id="rId15" display="https://www.iko.com/comm/wp-content/uploads/sites/7/2024/02/SDS_1216-Roofing-Asphalt-Easy-Melt-FR.pdf ; " xr:uid="{88FD2A44-1F1D-4207-BAA3-D9233F15E277}"/>
    <hyperlink ref="X76" r:id="rId16" display="https://www.iko.com/comm/wp-content/uploads/sites/7/2024/02/SDS_1216-Roofing-Asphalt-Easy-Melt-FR.pdf ; " xr:uid="{165E6AF3-A8C3-4477-96A8-638CF454254C}"/>
    <hyperlink ref="X79" r:id="rId17" display="https://bpcan.com/wp-content/uploads/2017/02/sds-asphalt-saturated-felts-2021.pdf ; " xr:uid="{161FD206-CDF6-4C3A-9053-D20B12F48992}"/>
    <hyperlink ref="X84" r:id="rId18" display="https://certainteed.widen.net/content/opoyh8dp5n/pdf/117.2-CertainTeed-Gypsum-EPD-TypeC-OneHalfInch-Gypsum-Board-MontrealQC.pdf?u=nwk4fd ; " xr:uid="{F1D4242C-DBAD-4D6E-B02A-F76F70098F90}"/>
    <hyperlink ref="X93" r:id="rId19" display="https://www.iko.com/comm/wp-content/uploads/sites/7/2024/02/SDS_1216-Roofing-Asphalt-Easy-Melt-FR.pdf ; " xr:uid="{8F6EDCD1-3872-4B43-B447-C02462F0A98E}"/>
    <hyperlink ref="X99" r:id="rId20" display="https://bpcan.com/wp-content/uploads/2017/02/sds-asphalt-saturated-felts-2021.pdf ; " xr:uid="{09B4870A-C606-41E1-BAE7-E91A2FB2360C}"/>
    <hyperlink ref="X117" r:id="rId21" display="https://www.iko.com/comm/wp-content/uploads/sites/7/2024/02/SDS_1216-Roofing-Asphalt-Easy-Melt-FR.pdf ; " xr:uid="{45821751-11BD-4ACD-8494-8C4518BD5088}"/>
    <hyperlink ref="X123" r:id="rId22" display="https://www.iko.com/comm/wp-content/uploads/sites/7/2024/02/SDS_1216-Roofing-Asphalt-Easy-Melt-FR.pdf ; " xr:uid="{9430D301-8F29-43D1-9E90-C3674E887A9B}"/>
    <hyperlink ref="X136" r:id="rId23" display="https://www.iko.com/comm/wp-content/uploads/sites/7/2024/02/SDS_1216-Roofing-Asphalt-Easy-Melt-FR.pdf ; " xr:uid="{DEB1CE52-D683-441D-B1A4-02910E7372DF}"/>
    <hyperlink ref="X142" r:id="rId24" display="https://www.iko.com/comm/wp-content/uploads/sites/7/2024/02/SDS_1216-Roofing-Asphalt-Easy-Melt-FR.pdf ; " xr:uid="{566DE149-3C9D-4331-B6E6-0303E4E40E0F}"/>
    <hyperlink ref="X156" r:id="rId25" display="https://www.iko.com/comm/wp-content/uploads/sites/7/2024/02/SDS_1216-Roofing-Asphalt-Easy-Melt-FR.pdf ; " xr:uid="{7217F25F-0BAD-45A3-8FA3-9049604442E1}"/>
    <hyperlink ref="X162" r:id="rId26" display="https://www.iko.com/comm/wp-content/uploads/sites/7/2024/02/SDS_1216-Roofing-Asphalt-Easy-Melt-FR.pdf ; " xr:uid="{0EBBFB62-F767-4980-A885-B38A632C23A1}"/>
    <hyperlink ref="X176" r:id="rId27" display="https://www.iko.com/comm/wp-content/uploads/sites/7/2024/02/SDS_1216-Roofing-Asphalt-Easy-Melt-FR.pdf ; " xr:uid="{4BE4DE2C-3F5B-4043-BF9E-76919C83A625}"/>
    <hyperlink ref="X182" r:id="rId28" display="https://www.iko.com/comm/wp-content/uploads/sites/7/2024/02/SDS_1216-Roofing-Asphalt-Easy-Melt-FR.pdf ; " xr:uid="{D7FD3E25-AE32-493C-9B8D-BAC0E5D99547}"/>
    <hyperlink ref="X111" r:id="rId29" display="https://certainteed.widen.net/content/opoyh8dp5n/pdf/117.2-CertainTeed-Gypsum-EPD-TypeC-OneHalfInch-Gypsum-Board-MontrealQC.pdf?u=nwk4fd ; " xr:uid="{C24C68A4-1D90-443D-8687-68A7C69DC3E2}"/>
    <hyperlink ref="X130" r:id="rId30" display="https://certainteed.widen.net/content/opoyh8dp5n/pdf/117.2-CertainTeed-Gypsum-EPD-TypeC-OneHalfInch-Gypsum-Board-MontrealQC.pdf?u=nwk4fd ; " xr:uid="{22B08704-D690-4534-851A-755F3932AFD2}"/>
    <hyperlink ref="X150" r:id="rId31" display="https://certainteed.widen.net/content/opoyh8dp5n/pdf/117.2-CertainTeed-Gypsum-EPD-TypeC-OneHalfInch-Gypsum-Board-MontrealQC.pdf?u=nwk4fd ; " xr:uid="{FE663894-A022-4723-8A3F-B6982E0DE0EF}"/>
    <hyperlink ref="X170" r:id="rId32" display="https://certainteed.widen.net/content/opoyh8dp5n/pdf/117.2-CertainTeed-Gypsum-EPD-TypeC-OneHalfInch-Gypsum-Board-MontrealQC.pdf?u=nwk4fd ; " xr:uid="{D8E13989-28E1-4A92-894C-A8D9411AAED1}"/>
    <hyperlink ref="X124" r:id="rId33" display="https://www.iko.com/comm/wp-content/uploads/sites/7/2024/02/0640092-PDS-Type-IV-Glass-Ply-Sheet.pdf ; " xr:uid="{2D302310-0108-4299-B6B8-4CAD3DA16503}"/>
    <hyperlink ref="X143" r:id="rId34" display="https://www.iko.com/comm/wp-content/uploads/sites/7/2024/02/0640092-PDS-Type-IV-Glass-Ply-Sheet.pdf ; " xr:uid="{25194268-C156-4BBD-B66B-28EEF8576A36}"/>
    <hyperlink ref="X163" r:id="rId35" display="https://www.iko.com/comm/wp-content/uploads/sites/7/2024/02/0640092-PDS-Type-IV-Glass-Ply-Sheet.pdf ; " xr:uid="{83368F3A-0B6B-4897-985B-E4D3C7E9FD03}"/>
    <hyperlink ref="X183" r:id="rId36" display="https://www.iko.com/comm/wp-content/uploads/sites/7/2024/02/0640092-PDS-Type-IV-Glass-Ply-Sheet.pdf ; " xr:uid="{C95A6A6B-61A4-40A2-BDA8-60B82A1ABE22}"/>
  </hyperlinks>
  <pageMargins left="0.7" right="0.7" top="0.75" bottom="0.75" header="0.3" footer="0.3"/>
  <pageSetup orientation="portrait" r:id="rId37"/>
  <drawing r:id="rId38"/>
  <legacy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BF41-044D-42CB-BD75-1CD4538246DA}">
  <dimension ref="A1:I2112"/>
  <sheetViews>
    <sheetView tabSelected="1" workbookViewId="0"/>
  </sheetViews>
  <sheetFormatPr defaultRowHeight="15" x14ac:dyDescent="0.25"/>
  <sheetData>
    <row r="1" spans="1:9" ht="15.75" x14ac:dyDescent="0.25">
      <c r="A1" s="109" t="s">
        <v>264</v>
      </c>
      <c r="B1" s="109" t="s">
        <v>850</v>
      </c>
    </row>
    <row r="2" spans="1:9" x14ac:dyDescent="0.25">
      <c r="A2" t="s">
        <v>851</v>
      </c>
      <c r="B2" t="s">
        <v>852</v>
      </c>
    </row>
    <row r="4" spans="1:9" ht="15.75" x14ac:dyDescent="0.25">
      <c r="A4" s="109" t="s">
        <v>265</v>
      </c>
      <c r="B4" s="109" t="s">
        <v>308</v>
      </c>
    </row>
    <row r="5" spans="1:9" x14ac:dyDescent="0.25">
      <c r="A5" t="s">
        <v>267</v>
      </c>
      <c r="B5" t="s">
        <v>268</v>
      </c>
    </row>
    <row r="6" spans="1:9" x14ac:dyDescent="0.25">
      <c r="A6" t="s">
        <v>269</v>
      </c>
      <c r="B6" t="s">
        <v>309</v>
      </c>
    </row>
    <row r="7" spans="1:9" x14ac:dyDescent="0.25">
      <c r="A7" t="s">
        <v>272</v>
      </c>
      <c r="B7" t="s">
        <v>293</v>
      </c>
    </row>
    <row r="8" spans="1:9" x14ac:dyDescent="0.25">
      <c r="A8" t="s">
        <v>274</v>
      </c>
      <c r="B8" t="s">
        <v>308</v>
      </c>
    </row>
    <row r="9" spans="1:9" x14ac:dyDescent="0.25">
      <c r="A9" t="s">
        <v>276</v>
      </c>
      <c r="B9" t="s">
        <v>277</v>
      </c>
    </row>
    <row r="10" spans="1:9" x14ac:dyDescent="0.25">
      <c r="A10" t="s">
        <v>278</v>
      </c>
      <c r="B10" t="s">
        <v>310</v>
      </c>
    </row>
    <row r="11" spans="1:9" x14ac:dyDescent="0.25">
      <c r="A11" t="s">
        <v>853</v>
      </c>
      <c r="B11" t="s">
        <v>850</v>
      </c>
    </row>
    <row r="12" spans="1:9" ht="15.75" x14ac:dyDescent="0.25">
      <c r="A12" s="109" t="s">
        <v>280</v>
      </c>
    </row>
    <row r="13" spans="1:9" x14ac:dyDescent="0.25">
      <c r="A13" t="s">
        <v>281</v>
      </c>
      <c r="B13" t="s">
        <v>282</v>
      </c>
      <c r="C13" t="s">
        <v>283</v>
      </c>
      <c r="D13" t="s">
        <v>272</v>
      </c>
      <c r="E13" t="s">
        <v>278</v>
      </c>
      <c r="F13" t="s">
        <v>311</v>
      </c>
      <c r="G13" t="s">
        <v>276</v>
      </c>
      <c r="H13" t="s">
        <v>284</v>
      </c>
      <c r="I13" t="s">
        <v>274</v>
      </c>
    </row>
    <row r="14" spans="1:9" x14ac:dyDescent="0.25">
      <c r="A14" t="s">
        <v>312</v>
      </c>
      <c r="B14">
        <v>3.8248999999999998E-2</v>
      </c>
      <c r="C14" t="s">
        <v>313</v>
      </c>
      <c r="E14" t="s">
        <v>279</v>
      </c>
      <c r="F14" t="s">
        <v>314</v>
      </c>
      <c r="G14" t="s">
        <v>315</v>
      </c>
      <c r="H14">
        <v>0</v>
      </c>
    </row>
    <row r="15" spans="1:9" x14ac:dyDescent="0.25">
      <c r="A15" t="s">
        <v>316</v>
      </c>
      <c r="B15">
        <v>0.19205</v>
      </c>
      <c r="C15" t="s">
        <v>313</v>
      </c>
      <c r="E15" t="s">
        <v>279</v>
      </c>
      <c r="F15" t="s">
        <v>314</v>
      </c>
      <c r="G15" t="s">
        <v>315</v>
      </c>
      <c r="H15">
        <v>0</v>
      </c>
    </row>
    <row r="16" spans="1:9" x14ac:dyDescent="0.25">
      <c r="A16" t="s">
        <v>317</v>
      </c>
      <c r="B16">
        <v>0.14575099999999999</v>
      </c>
      <c r="C16" t="s">
        <v>313</v>
      </c>
      <c r="E16" t="s">
        <v>279</v>
      </c>
      <c r="F16" t="s">
        <v>314</v>
      </c>
      <c r="G16" t="s">
        <v>315</v>
      </c>
      <c r="H16">
        <v>0</v>
      </c>
    </row>
    <row r="17" spans="1:9" x14ac:dyDescent="0.25">
      <c r="A17" t="s">
        <v>308</v>
      </c>
      <c r="B17">
        <v>1</v>
      </c>
      <c r="C17" t="s">
        <v>850</v>
      </c>
      <c r="D17" t="s">
        <v>293</v>
      </c>
      <c r="E17" t="s">
        <v>310</v>
      </c>
      <c r="G17" t="s">
        <v>286</v>
      </c>
      <c r="H17">
        <v>0</v>
      </c>
      <c r="I17" t="s">
        <v>308</v>
      </c>
    </row>
    <row r="18" spans="1:9" x14ac:dyDescent="0.25">
      <c r="A18" t="s">
        <v>318</v>
      </c>
      <c r="B18">
        <v>140.83000000000001</v>
      </c>
      <c r="C18" t="s">
        <v>854</v>
      </c>
      <c r="D18" t="s">
        <v>293</v>
      </c>
      <c r="E18" t="s">
        <v>319</v>
      </c>
      <c r="G18" t="s">
        <v>288</v>
      </c>
      <c r="H18">
        <v>0</v>
      </c>
      <c r="I18" t="s">
        <v>318</v>
      </c>
    </row>
    <row r="19" spans="1:9" hidden="1" x14ac:dyDescent="0.25"/>
    <row r="20" spans="1:9" ht="15.75" hidden="1" x14ac:dyDescent="0.25">
      <c r="A20" s="109" t="s">
        <v>265</v>
      </c>
      <c r="B20" s="109" t="s">
        <v>328</v>
      </c>
    </row>
    <row r="21" spans="1:9" hidden="1" x14ac:dyDescent="0.25">
      <c r="A21" t="s">
        <v>267</v>
      </c>
      <c r="B21" t="s">
        <v>268</v>
      </c>
    </row>
    <row r="22" spans="1:9" hidden="1" x14ac:dyDescent="0.25">
      <c r="A22" t="s">
        <v>269</v>
      </c>
      <c r="B22" t="s">
        <v>329</v>
      </c>
    </row>
    <row r="23" spans="1:9" hidden="1" x14ac:dyDescent="0.25">
      <c r="A23" t="s">
        <v>272</v>
      </c>
      <c r="B23" t="s">
        <v>305</v>
      </c>
    </row>
    <row r="24" spans="1:9" hidden="1" x14ac:dyDescent="0.25">
      <c r="A24" t="s">
        <v>274</v>
      </c>
      <c r="B24" t="s">
        <v>328</v>
      </c>
    </row>
    <row r="25" spans="1:9" hidden="1" x14ac:dyDescent="0.25">
      <c r="A25" t="s">
        <v>276</v>
      </c>
      <c r="B25" t="s">
        <v>277</v>
      </c>
    </row>
    <row r="26" spans="1:9" hidden="1" x14ac:dyDescent="0.25">
      <c r="A26" t="s">
        <v>278</v>
      </c>
      <c r="B26" t="s">
        <v>279</v>
      </c>
    </row>
    <row r="27" spans="1:9" hidden="1" x14ac:dyDescent="0.25">
      <c r="A27" t="s">
        <v>853</v>
      </c>
      <c r="B27" t="s">
        <v>850</v>
      </c>
    </row>
    <row r="28" spans="1:9" ht="15.75" hidden="1" x14ac:dyDescent="0.25">
      <c r="A28" s="109" t="s">
        <v>280</v>
      </c>
    </row>
    <row r="29" spans="1:9" hidden="1" x14ac:dyDescent="0.25">
      <c r="A29" t="s">
        <v>281</v>
      </c>
      <c r="B29" t="s">
        <v>282</v>
      </c>
      <c r="C29" t="s">
        <v>283</v>
      </c>
      <c r="D29" t="s">
        <v>272</v>
      </c>
      <c r="E29" t="s">
        <v>278</v>
      </c>
      <c r="F29" t="s">
        <v>276</v>
      </c>
      <c r="G29" t="s">
        <v>284</v>
      </c>
      <c r="H29" t="s">
        <v>274</v>
      </c>
    </row>
    <row r="30" spans="1:9" hidden="1" x14ac:dyDescent="0.25">
      <c r="A30" t="s">
        <v>328</v>
      </c>
      <c r="B30">
        <v>1</v>
      </c>
      <c r="C30" t="s">
        <v>850</v>
      </c>
      <c r="D30" t="s">
        <v>305</v>
      </c>
      <c r="E30" t="s">
        <v>279</v>
      </c>
      <c r="F30" t="s">
        <v>286</v>
      </c>
      <c r="G30">
        <v>0</v>
      </c>
      <c r="H30" t="s">
        <v>328</v>
      </c>
    </row>
    <row r="31" spans="1:9" hidden="1" x14ac:dyDescent="0.25">
      <c r="A31" t="s">
        <v>330</v>
      </c>
      <c r="B31">
        <v>0.70296999999999998</v>
      </c>
      <c r="C31" t="s">
        <v>854</v>
      </c>
      <c r="D31" t="s">
        <v>305</v>
      </c>
      <c r="E31" t="s">
        <v>279</v>
      </c>
      <c r="F31" t="s">
        <v>288</v>
      </c>
      <c r="G31">
        <v>0</v>
      </c>
      <c r="H31" t="s">
        <v>331</v>
      </c>
    </row>
    <row r="32" spans="1:9" hidden="1" x14ac:dyDescent="0.25">
      <c r="A32" t="s">
        <v>304</v>
      </c>
      <c r="B32">
        <v>0.29700290000000001</v>
      </c>
      <c r="C32" t="s">
        <v>854</v>
      </c>
      <c r="D32" t="s">
        <v>305</v>
      </c>
      <c r="E32" t="s">
        <v>279</v>
      </c>
      <c r="F32" t="s">
        <v>288</v>
      </c>
      <c r="G32">
        <v>0</v>
      </c>
      <c r="H32" t="s">
        <v>306</v>
      </c>
    </row>
    <row r="33" spans="1:9" hidden="1" x14ac:dyDescent="0.25"/>
    <row r="34" spans="1:9" ht="15.75" hidden="1" x14ac:dyDescent="0.25">
      <c r="A34" s="109" t="s">
        <v>265</v>
      </c>
      <c r="B34" s="109" t="s">
        <v>332</v>
      </c>
    </row>
    <row r="35" spans="1:9" hidden="1" x14ac:dyDescent="0.25">
      <c r="A35" t="s">
        <v>267</v>
      </c>
      <c r="B35" t="s">
        <v>268</v>
      </c>
    </row>
    <row r="36" spans="1:9" hidden="1" x14ac:dyDescent="0.25">
      <c r="A36" t="s">
        <v>269</v>
      </c>
      <c r="B36" t="s">
        <v>333</v>
      </c>
    </row>
    <row r="37" spans="1:9" hidden="1" x14ac:dyDescent="0.25">
      <c r="A37" t="s">
        <v>271</v>
      </c>
      <c r="B37" t="s">
        <v>334</v>
      </c>
    </row>
    <row r="38" spans="1:9" hidden="1" x14ac:dyDescent="0.25">
      <c r="A38" t="s">
        <v>272</v>
      </c>
      <c r="B38" t="s">
        <v>293</v>
      </c>
    </row>
    <row r="39" spans="1:9" hidden="1" x14ac:dyDescent="0.25">
      <c r="A39" t="s">
        <v>274</v>
      </c>
      <c r="B39" t="s">
        <v>332</v>
      </c>
    </row>
    <row r="40" spans="1:9" hidden="1" x14ac:dyDescent="0.25">
      <c r="A40" t="s">
        <v>276</v>
      </c>
      <c r="B40" t="s">
        <v>277</v>
      </c>
    </row>
    <row r="41" spans="1:9" hidden="1" x14ac:dyDescent="0.25">
      <c r="A41" t="s">
        <v>278</v>
      </c>
      <c r="B41" t="s">
        <v>279</v>
      </c>
    </row>
    <row r="42" spans="1:9" hidden="1" x14ac:dyDescent="0.25">
      <c r="A42" t="s">
        <v>853</v>
      </c>
      <c r="B42" t="s">
        <v>850</v>
      </c>
    </row>
    <row r="43" spans="1:9" ht="15.75" hidden="1" x14ac:dyDescent="0.25">
      <c r="A43" s="109" t="s">
        <v>280</v>
      </c>
    </row>
    <row r="44" spans="1:9" hidden="1" x14ac:dyDescent="0.25">
      <c r="A44" t="s">
        <v>281</v>
      </c>
      <c r="B44" t="s">
        <v>282</v>
      </c>
      <c r="C44" t="s">
        <v>283</v>
      </c>
      <c r="D44" t="s">
        <v>272</v>
      </c>
      <c r="E44" t="s">
        <v>278</v>
      </c>
      <c r="F44" t="s">
        <v>276</v>
      </c>
      <c r="G44" t="s">
        <v>284</v>
      </c>
      <c r="H44" t="s">
        <v>285</v>
      </c>
      <c r="I44" t="s">
        <v>274</v>
      </c>
    </row>
    <row r="45" spans="1:9" hidden="1" x14ac:dyDescent="0.25">
      <c r="A45" t="s">
        <v>332</v>
      </c>
      <c r="B45">
        <v>1</v>
      </c>
      <c r="C45" t="s">
        <v>850</v>
      </c>
      <c r="D45" t="s">
        <v>293</v>
      </c>
      <c r="E45" t="s">
        <v>279</v>
      </c>
      <c r="F45" t="s">
        <v>286</v>
      </c>
      <c r="G45">
        <v>0</v>
      </c>
      <c r="I45" t="s">
        <v>332</v>
      </c>
    </row>
    <row r="46" spans="1:9" hidden="1" x14ac:dyDescent="0.25">
      <c r="A46" t="s">
        <v>335</v>
      </c>
      <c r="B46">
        <v>0.5</v>
      </c>
      <c r="C46" t="s">
        <v>854</v>
      </c>
      <c r="D46" t="s">
        <v>293</v>
      </c>
      <c r="E46" t="s">
        <v>279</v>
      </c>
      <c r="F46" t="s">
        <v>288</v>
      </c>
      <c r="G46">
        <v>0</v>
      </c>
      <c r="I46" t="s">
        <v>336</v>
      </c>
    </row>
    <row r="47" spans="1:9" hidden="1" x14ac:dyDescent="0.25">
      <c r="A47" t="s">
        <v>337</v>
      </c>
      <c r="B47">
        <v>5.3199999999999997E-2</v>
      </c>
      <c r="C47" t="s">
        <v>854</v>
      </c>
      <c r="D47" t="s">
        <v>293</v>
      </c>
      <c r="E47" t="s">
        <v>279</v>
      </c>
      <c r="F47" t="s">
        <v>288</v>
      </c>
      <c r="G47">
        <v>0</v>
      </c>
      <c r="I47" t="s">
        <v>338</v>
      </c>
    </row>
    <row r="48" spans="1:9" hidden="1" x14ac:dyDescent="0.25">
      <c r="A48" t="s">
        <v>339</v>
      </c>
      <c r="B48">
        <v>2.8677839851024199E-2</v>
      </c>
      <c r="C48" t="s">
        <v>854</v>
      </c>
      <c r="D48" t="s">
        <v>300</v>
      </c>
      <c r="E48" t="s">
        <v>279</v>
      </c>
      <c r="F48" t="s">
        <v>288</v>
      </c>
      <c r="G48">
        <v>0</v>
      </c>
      <c r="H48">
        <v>-3.5516305850892809</v>
      </c>
      <c r="I48" t="s">
        <v>340</v>
      </c>
    </row>
    <row r="49" spans="1:9" hidden="1" x14ac:dyDescent="0.25">
      <c r="A49" t="s">
        <v>339</v>
      </c>
      <c r="B49">
        <v>0.17132216014897581</v>
      </c>
      <c r="C49" t="s">
        <v>854</v>
      </c>
      <c r="D49" t="s">
        <v>305</v>
      </c>
      <c r="E49" t="s">
        <v>279</v>
      </c>
      <c r="F49" t="s">
        <v>288</v>
      </c>
      <c r="G49">
        <v>0</v>
      </c>
      <c r="H49">
        <v>-1.764209517459824</v>
      </c>
      <c r="I49" t="s">
        <v>340</v>
      </c>
    </row>
    <row r="50" spans="1:9" hidden="1" x14ac:dyDescent="0.25">
      <c r="A50" t="s">
        <v>341</v>
      </c>
      <c r="B50">
        <v>0.2</v>
      </c>
      <c r="C50" t="s">
        <v>854</v>
      </c>
      <c r="D50" t="s">
        <v>293</v>
      </c>
      <c r="E50" t="s">
        <v>279</v>
      </c>
      <c r="F50" t="s">
        <v>288</v>
      </c>
      <c r="G50">
        <v>0</v>
      </c>
      <c r="I50" t="s">
        <v>342</v>
      </c>
    </row>
    <row r="51" spans="1:9" hidden="1" x14ac:dyDescent="0.25">
      <c r="A51" t="s">
        <v>343</v>
      </c>
      <c r="B51">
        <v>0.05</v>
      </c>
      <c r="C51" t="s">
        <v>854</v>
      </c>
      <c r="D51" t="s">
        <v>293</v>
      </c>
      <c r="E51" t="s">
        <v>279</v>
      </c>
      <c r="F51" t="s">
        <v>288</v>
      </c>
      <c r="G51">
        <v>0</v>
      </c>
      <c r="I51" t="s">
        <v>344</v>
      </c>
    </row>
    <row r="52" spans="1:9" hidden="1" x14ac:dyDescent="0.25">
      <c r="A52" t="s">
        <v>345</v>
      </c>
      <c r="B52">
        <v>0.05</v>
      </c>
      <c r="C52" t="s">
        <v>854</v>
      </c>
      <c r="D52" t="s">
        <v>293</v>
      </c>
      <c r="E52" t="s">
        <v>279</v>
      </c>
      <c r="F52" t="s">
        <v>288</v>
      </c>
      <c r="G52">
        <v>0</v>
      </c>
      <c r="I52" t="s">
        <v>346</v>
      </c>
    </row>
    <row r="53" spans="1:9" hidden="1" x14ac:dyDescent="0.25">
      <c r="A53" t="s">
        <v>347</v>
      </c>
      <c r="B53">
        <v>0.05</v>
      </c>
      <c r="C53" t="s">
        <v>854</v>
      </c>
      <c r="D53" t="s">
        <v>305</v>
      </c>
      <c r="E53" t="s">
        <v>279</v>
      </c>
      <c r="F53" t="s">
        <v>288</v>
      </c>
      <c r="G53">
        <v>0</v>
      </c>
      <c r="I53" t="s">
        <v>348</v>
      </c>
    </row>
    <row r="54" spans="1:9" hidden="1" x14ac:dyDescent="0.25"/>
    <row r="55" spans="1:9" ht="15.75" hidden="1" x14ac:dyDescent="0.25">
      <c r="A55" s="109" t="s">
        <v>265</v>
      </c>
      <c r="B55" s="109" t="s">
        <v>351</v>
      </c>
    </row>
    <row r="56" spans="1:9" hidden="1" x14ac:dyDescent="0.25">
      <c r="A56" t="s">
        <v>267</v>
      </c>
      <c r="B56" t="s">
        <v>268</v>
      </c>
    </row>
    <row r="57" spans="1:9" hidden="1" x14ac:dyDescent="0.25">
      <c r="A57" t="s">
        <v>269</v>
      </c>
      <c r="B57" t="s">
        <v>352</v>
      </c>
    </row>
    <row r="58" spans="1:9" hidden="1" x14ac:dyDescent="0.25">
      <c r="A58" t="s">
        <v>272</v>
      </c>
      <c r="B58" t="s">
        <v>353</v>
      </c>
    </row>
    <row r="59" spans="1:9" hidden="1" x14ac:dyDescent="0.25">
      <c r="A59" t="s">
        <v>274</v>
      </c>
      <c r="B59" t="s">
        <v>354</v>
      </c>
    </row>
    <row r="60" spans="1:9" hidden="1" x14ac:dyDescent="0.25">
      <c r="A60" t="s">
        <v>276</v>
      </c>
      <c r="B60" t="s">
        <v>277</v>
      </c>
    </row>
    <row r="61" spans="1:9" hidden="1" x14ac:dyDescent="0.25">
      <c r="A61" t="s">
        <v>278</v>
      </c>
      <c r="B61" t="s">
        <v>279</v>
      </c>
    </row>
    <row r="62" spans="1:9" hidden="1" x14ac:dyDescent="0.25">
      <c r="A62" t="s">
        <v>853</v>
      </c>
      <c r="B62" t="s">
        <v>850</v>
      </c>
    </row>
    <row r="63" spans="1:9" ht="15.75" hidden="1" x14ac:dyDescent="0.25">
      <c r="A63" s="109" t="s">
        <v>280</v>
      </c>
    </row>
    <row r="64" spans="1:9" hidden="1" x14ac:dyDescent="0.25">
      <c r="A64" t="s">
        <v>281</v>
      </c>
      <c r="B64" t="s">
        <v>282</v>
      </c>
      <c r="C64" t="s">
        <v>283</v>
      </c>
      <c r="D64" t="s">
        <v>272</v>
      </c>
      <c r="E64" t="s">
        <v>278</v>
      </c>
      <c r="F64" t="s">
        <v>276</v>
      </c>
      <c r="G64" t="s">
        <v>284</v>
      </c>
      <c r="H64" t="s">
        <v>274</v>
      </c>
    </row>
    <row r="65" spans="1:8" hidden="1" x14ac:dyDescent="0.25">
      <c r="A65" t="s">
        <v>351</v>
      </c>
      <c r="B65">
        <v>1</v>
      </c>
      <c r="C65" t="s">
        <v>850</v>
      </c>
      <c r="D65" t="s">
        <v>353</v>
      </c>
      <c r="E65" t="s">
        <v>279</v>
      </c>
      <c r="F65" t="s">
        <v>286</v>
      </c>
      <c r="G65">
        <v>0</v>
      </c>
      <c r="H65" t="s">
        <v>354</v>
      </c>
    </row>
    <row r="66" spans="1:8" hidden="1" x14ac:dyDescent="0.25">
      <c r="A66" t="s">
        <v>355</v>
      </c>
      <c r="B66">
        <v>0.3145</v>
      </c>
      <c r="C66" t="s">
        <v>850</v>
      </c>
      <c r="D66" t="s">
        <v>356</v>
      </c>
      <c r="E66" t="s">
        <v>279</v>
      </c>
      <c r="F66" t="s">
        <v>288</v>
      </c>
      <c r="G66">
        <v>0</v>
      </c>
      <c r="H66" t="s">
        <v>357</v>
      </c>
    </row>
    <row r="67" spans="1:8" hidden="1" x14ac:dyDescent="0.25">
      <c r="A67" t="s">
        <v>358</v>
      </c>
      <c r="B67">
        <v>3.7400000000000003E-2</v>
      </c>
      <c r="C67" t="s">
        <v>854</v>
      </c>
      <c r="D67" t="s">
        <v>305</v>
      </c>
      <c r="E67" t="s">
        <v>279</v>
      </c>
      <c r="F67" t="s">
        <v>288</v>
      </c>
      <c r="G67">
        <v>0</v>
      </c>
      <c r="H67" t="s">
        <v>359</v>
      </c>
    </row>
    <row r="68" spans="1:8" hidden="1" x14ac:dyDescent="0.25">
      <c r="A68" t="s">
        <v>360</v>
      </c>
      <c r="B68">
        <v>0.10009999999999999</v>
      </c>
      <c r="C68" t="s">
        <v>850</v>
      </c>
      <c r="D68" t="s">
        <v>353</v>
      </c>
      <c r="E68" t="s">
        <v>279</v>
      </c>
      <c r="F68" t="s">
        <v>288</v>
      </c>
      <c r="G68">
        <v>0</v>
      </c>
      <c r="H68" t="s">
        <v>361</v>
      </c>
    </row>
    <row r="69" spans="1:8" hidden="1" x14ac:dyDescent="0.25">
      <c r="A69" t="s">
        <v>362</v>
      </c>
      <c r="B69">
        <v>0.15</v>
      </c>
      <c r="C69" t="s">
        <v>850</v>
      </c>
      <c r="D69" t="s">
        <v>353</v>
      </c>
      <c r="E69" t="s">
        <v>279</v>
      </c>
      <c r="F69" t="s">
        <v>288</v>
      </c>
      <c r="G69">
        <v>0</v>
      </c>
      <c r="H69" t="s">
        <v>363</v>
      </c>
    </row>
    <row r="70" spans="1:8" hidden="1" x14ac:dyDescent="0.25">
      <c r="A70" t="s">
        <v>364</v>
      </c>
      <c r="B70">
        <v>0.14749999999999999</v>
      </c>
      <c r="C70" t="s">
        <v>854</v>
      </c>
      <c r="D70" t="s">
        <v>305</v>
      </c>
      <c r="E70" t="s">
        <v>279</v>
      </c>
      <c r="F70" t="s">
        <v>288</v>
      </c>
      <c r="G70">
        <v>0</v>
      </c>
      <c r="H70" t="s">
        <v>365</v>
      </c>
    </row>
    <row r="71" spans="1:8" hidden="1" x14ac:dyDescent="0.25">
      <c r="A71" t="s">
        <v>366</v>
      </c>
      <c r="B71">
        <v>3.2399999999999998E-2</v>
      </c>
      <c r="C71" t="s">
        <v>854</v>
      </c>
      <c r="D71" t="s">
        <v>293</v>
      </c>
      <c r="E71" t="s">
        <v>279</v>
      </c>
      <c r="F71" t="s">
        <v>288</v>
      </c>
      <c r="G71">
        <v>0</v>
      </c>
      <c r="H71" t="s">
        <v>367</v>
      </c>
    </row>
    <row r="72" spans="1:8" hidden="1" x14ac:dyDescent="0.25">
      <c r="A72" t="s">
        <v>368</v>
      </c>
      <c r="B72">
        <v>0.03</v>
      </c>
      <c r="C72" t="s">
        <v>854</v>
      </c>
      <c r="D72" t="s">
        <v>293</v>
      </c>
      <c r="E72" t="s">
        <v>279</v>
      </c>
      <c r="F72" t="s">
        <v>288</v>
      </c>
      <c r="G72">
        <v>0</v>
      </c>
      <c r="H72" t="s">
        <v>369</v>
      </c>
    </row>
    <row r="73" spans="1:8" hidden="1" x14ac:dyDescent="0.25">
      <c r="A73" t="s">
        <v>296</v>
      </c>
      <c r="B73">
        <v>1.4322037000000001</v>
      </c>
      <c r="C73" t="s">
        <v>854</v>
      </c>
      <c r="D73" t="s">
        <v>353</v>
      </c>
      <c r="E73" t="s">
        <v>297</v>
      </c>
      <c r="F73" t="s">
        <v>288</v>
      </c>
      <c r="G73">
        <v>0</v>
      </c>
      <c r="H73" t="s">
        <v>298</v>
      </c>
    </row>
    <row r="74" spans="1:8" hidden="1" x14ac:dyDescent="0.25"/>
    <row r="75" spans="1:8" ht="15.75" hidden="1" x14ac:dyDescent="0.25">
      <c r="A75" s="109" t="s">
        <v>265</v>
      </c>
      <c r="B75" s="109" t="s">
        <v>398</v>
      </c>
    </row>
    <row r="76" spans="1:8" hidden="1" x14ac:dyDescent="0.25">
      <c r="A76" t="s">
        <v>267</v>
      </c>
      <c r="B76" t="s">
        <v>268</v>
      </c>
    </row>
    <row r="77" spans="1:8" hidden="1" x14ac:dyDescent="0.25">
      <c r="A77" t="s">
        <v>269</v>
      </c>
      <c r="B77" t="s">
        <v>399</v>
      </c>
    </row>
    <row r="78" spans="1:8" hidden="1" x14ac:dyDescent="0.25">
      <c r="A78" t="s">
        <v>272</v>
      </c>
      <c r="B78" t="s">
        <v>273</v>
      </c>
    </row>
    <row r="79" spans="1:8" hidden="1" x14ac:dyDescent="0.25">
      <c r="A79" t="s">
        <v>274</v>
      </c>
      <c r="B79" t="s">
        <v>398</v>
      </c>
    </row>
    <row r="80" spans="1:8" hidden="1" x14ac:dyDescent="0.25">
      <c r="A80" t="s">
        <v>276</v>
      </c>
      <c r="B80" t="s">
        <v>277</v>
      </c>
    </row>
    <row r="81" spans="1:8" hidden="1" x14ac:dyDescent="0.25">
      <c r="A81" t="s">
        <v>278</v>
      </c>
      <c r="B81" t="s">
        <v>279</v>
      </c>
    </row>
    <row r="82" spans="1:8" hidden="1" x14ac:dyDescent="0.25">
      <c r="A82" t="s">
        <v>853</v>
      </c>
      <c r="B82" t="s">
        <v>850</v>
      </c>
    </row>
    <row r="83" spans="1:8" ht="15.75" hidden="1" x14ac:dyDescent="0.25">
      <c r="A83" s="109" t="s">
        <v>280</v>
      </c>
    </row>
    <row r="84" spans="1:8" hidden="1" x14ac:dyDescent="0.25">
      <c r="A84" t="s">
        <v>281</v>
      </c>
      <c r="B84" t="s">
        <v>282</v>
      </c>
      <c r="C84" t="s">
        <v>283</v>
      </c>
      <c r="D84" t="s">
        <v>272</v>
      </c>
      <c r="E84" t="s">
        <v>278</v>
      </c>
      <c r="F84" t="s">
        <v>276</v>
      </c>
      <c r="G84" t="s">
        <v>284</v>
      </c>
      <c r="H84" t="s">
        <v>274</v>
      </c>
    </row>
    <row r="85" spans="1:8" hidden="1" x14ac:dyDescent="0.25">
      <c r="A85" t="s">
        <v>398</v>
      </c>
      <c r="B85">
        <v>1</v>
      </c>
      <c r="C85" t="s">
        <v>850</v>
      </c>
      <c r="D85" t="s">
        <v>273</v>
      </c>
      <c r="E85" t="s">
        <v>279</v>
      </c>
      <c r="F85" t="s">
        <v>286</v>
      </c>
      <c r="G85">
        <v>0</v>
      </c>
      <c r="H85" t="s">
        <v>398</v>
      </c>
    </row>
    <row r="86" spans="1:8" hidden="1" x14ac:dyDescent="0.25">
      <c r="A86" t="s">
        <v>372</v>
      </c>
      <c r="B86">
        <v>1</v>
      </c>
      <c r="C86" t="s">
        <v>850</v>
      </c>
      <c r="D86" t="s">
        <v>273</v>
      </c>
      <c r="E86" t="s">
        <v>279</v>
      </c>
      <c r="F86" t="s">
        <v>288</v>
      </c>
      <c r="G86">
        <v>0</v>
      </c>
      <c r="H86" t="s">
        <v>374</v>
      </c>
    </row>
    <row r="87" spans="1:8" hidden="1" x14ac:dyDescent="0.25">
      <c r="A87" t="s">
        <v>400</v>
      </c>
      <c r="B87">
        <v>1</v>
      </c>
      <c r="C87" t="s">
        <v>854</v>
      </c>
      <c r="D87" t="s">
        <v>305</v>
      </c>
      <c r="E87" t="s">
        <v>279</v>
      </c>
      <c r="F87" t="s">
        <v>288</v>
      </c>
      <c r="G87">
        <v>0</v>
      </c>
      <c r="H87" t="s">
        <v>400</v>
      </c>
    </row>
    <row r="88" spans="1:8" hidden="1" x14ac:dyDescent="0.25"/>
    <row r="89" spans="1:8" ht="15.75" hidden="1" x14ac:dyDescent="0.25">
      <c r="A89" s="109" t="s">
        <v>265</v>
      </c>
      <c r="B89" s="109" t="s">
        <v>401</v>
      </c>
    </row>
    <row r="90" spans="1:8" hidden="1" x14ac:dyDescent="0.25">
      <c r="A90" t="s">
        <v>267</v>
      </c>
      <c r="B90" t="s">
        <v>268</v>
      </c>
    </row>
    <row r="91" spans="1:8" hidden="1" x14ac:dyDescent="0.25">
      <c r="A91" t="s">
        <v>269</v>
      </c>
      <c r="B91" t="s">
        <v>402</v>
      </c>
    </row>
    <row r="92" spans="1:8" hidden="1" x14ac:dyDescent="0.25">
      <c r="A92" t="s">
        <v>272</v>
      </c>
      <c r="B92" t="s">
        <v>305</v>
      </c>
    </row>
    <row r="93" spans="1:8" hidden="1" x14ac:dyDescent="0.25">
      <c r="A93" t="s">
        <v>274</v>
      </c>
      <c r="B93" t="s">
        <v>401</v>
      </c>
    </row>
    <row r="94" spans="1:8" hidden="1" x14ac:dyDescent="0.25">
      <c r="A94" t="s">
        <v>276</v>
      </c>
      <c r="B94" t="s">
        <v>277</v>
      </c>
    </row>
    <row r="95" spans="1:8" hidden="1" x14ac:dyDescent="0.25">
      <c r="A95" t="s">
        <v>278</v>
      </c>
      <c r="B95" t="s">
        <v>279</v>
      </c>
    </row>
    <row r="96" spans="1:8" hidden="1" x14ac:dyDescent="0.25">
      <c r="A96" t="s">
        <v>853</v>
      </c>
      <c r="B96" t="s">
        <v>850</v>
      </c>
    </row>
    <row r="97" spans="1:8" ht="15.75" hidden="1" x14ac:dyDescent="0.25">
      <c r="A97" s="109" t="s">
        <v>280</v>
      </c>
    </row>
    <row r="98" spans="1:8" hidden="1" x14ac:dyDescent="0.25">
      <c r="A98" t="s">
        <v>281</v>
      </c>
      <c r="B98" t="s">
        <v>282</v>
      </c>
      <c r="C98" t="s">
        <v>283</v>
      </c>
      <c r="D98" t="s">
        <v>272</v>
      </c>
      <c r="E98" t="s">
        <v>278</v>
      </c>
      <c r="F98" t="s">
        <v>276</v>
      </c>
      <c r="G98" t="s">
        <v>284</v>
      </c>
      <c r="H98" t="s">
        <v>274</v>
      </c>
    </row>
    <row r="99" spans="1:8" hidden="1" x14ac:dyDescent="0.25">
      <c r="A99" t="s">
        <v>401</v>
      </c>
      <c r="B99">
        <v>1</v>
      </c>
      <c r="C99" t="s">
        <v>850</v>
      </c>
      <c r="D99" t="s">
        <v>305</v>
      </c>
      <c r="E99" t="s">
        <v>279</v>
      </c>
      <c r="F99" t="s">
        <v>286</v>
      </c>
      <c r="G99">
        <v>0</v>
      </c>
      <c r="H99" t="s">
        <v>401</v>
      </c>
    </row>
    <row r="100" spans="1:8" hidden="1" x14ac:dyDescent="0.25">
      <c r="A100" t="s">
        <v>403</v>
      </c>
      <c r="B100">
        <v>1.02</v>
      </c>
      <c r="C100" t="s">
        <v>854</v>
      </c>
      <c r="D100" t="s">
        <v>305</v>
      </c>
      <c r="E100" t="s">
        <v>279</v>
      </c>
      <c r="F100" t="s">
        <v>288</v>
      </c>
      <c r="G100">
        <v>0</v>
      </c>
      <c r="H100" t="s">
        <v>403</v>
      </c>
    </row>
    <row r="101" spans="1:8" hidden="1" x14ac:dyDescent="0.25">
      <c r="A101" t="s">
        <v>404</v>
      </c>
      <c r="B101">
        <v>1.02</v>
      </c>
      <c r="C101" t="s">
        <v>854</v>
      </c>
      <c r="D101" t="s">
        <v>305</v>
      </c>
      <c r="E101" t="s">
        <v>279</v>
      </c>
      <c r="F101" t="s">
        <v>288</v>
      </c>
      <c r="G101">
        <v>0</v>
      </c>
      <c r="H101" t="s">
        <v>405</v>
      </c>
    </row>
    <row r="102" spans="1:8" hidden="1" x14ac:dyDescent="0.25"/>
    <row r="103" spans="1:8" ht="15.75" hidden="1" x14ac:dyDescent="0.25">
      <c r="A103" s="109" t="s">
        <v>265</v>
      </c>
      <c r="B103" s="109" t="s">
        <v>427</v>
      </c>
    </row>
    <row r="104" spans="1:8" hidden="1" x14ac:dyDescent="0.25">
      <c r="A104" t="s">
        <v>267</v>
      </c>
      <c r="B104" t="s">
        <v>268</v>
      </c>
    </row>
    <row r="105" spans="1:8" hidden="1" x14ac:dyDescent="0.25">
      <c r="A105" t="s">
        <v>269</v>
      </c>
      <c r="B105" t="s">
        <v>428</v>
      </c>
    </row>
    <row r="106" spans="1:8" hidden="1" x14ac:dyDescent="0.25">
      <c r="A106" t="s">
        <v>272</v>
      </c>
      <c r="B106" t="s">
        <v>305</v>
      </c>
    </row>
    <row r="107" spans="1:8" hidden="1" x14ac:dyDescent="0.25">
      <c r="A107" t="s">
        <v>274</v>
      </c>
      <c r="B107" t="s">
        <v>429</v>
      </c>
    </row>
    <row r="108" spans="1:8" hidden="1" x14ac:dyDescent="0.25">
      <c r="A108" t="s">
        <v>276</v>
      </c>
      <c r="B108" t="s">
        <v>277</v>
      </c>
    </row>
    <row r="109" spans="1:8" hidden="1" x14ac:dyDescent="0.25">
      <c r="A109" t="s">
        <v>278</v>
      </c>
      <c r="B109" t="s">
        <v>279</v>
      </c>
    </row>
    <row r="110" spans="1:8" hidden="1" x14ac:dyDescent="0.25">
      <c r="A110" t="s">
        <v>853</v>
      </c>
      <c r="B110" t="s">
        <v>850</v>
      </c>
    </row>
    <row r="111" spans="1:8" ht="15.75" hidden="1" x14ac:dyDescent="0.25">
      <c r="A111" s="109" t="s">
        <v>280</v>
      </c>
    </row>
    <row r="112" spans="1:8" hidden="1" x14ac:dyDescent="0.25">
      <c r="A112" t="s">
        <v>281</v>
      </c>
      <c r="B112" t="s">
        <v>282</v>
      </c>
      <c r="C112" t="s">
        <v>283</v>
      </c>
      <c r="D112" t="s">
        <v>272</v>
      </c>
      <c r="E112" t="s">
        <v>278</v>
      </c>
      <c r="F112" t="s">
        <v>276</v>
      </c>
      <c r="G112" t="s">
        <v>284</v>
      </c>
      <c r="H112" t="s">
        <v>274</v>
      </c>
    </row>
    <row r="113" spans="1:8" hidden="1" x14ac:dyDescent="0.25">
      <c r="A113" t="s">
        <v>427</v>
      </c>
      <c r="B113">
        <v>1</v>
      </c>
      <c r="C113" t="s">
        <v>850</v>
      </c>
      <c r="D113" t="s">
        <v>305</v>
      </c>
      <c r="E113" t="s">
        <v>279</v>
      </c>
      <c r="F113" t="s">
        <v>286</v>
      </c>
      <c r="G113">
        <v>0</v>
      </c>
      <c r="H113" t="s">
        <v>429</v>
      </c>
    </row>
    <row r="114" spans="1:8" hidden="1" x14ac:dyDescent="0.25">
      <c r="A114" t="s">
        <v>430</v>
      </c>
      <c r="B114">
        <v>0.46501999999999999</v>
      </c>
      <c r="C114" t="s">
        <v>854</v>
      </c>
      <c r="D114" t="s">
        <v>305</v>
      </c>
      <c r="E114" t="s">
        <v>279</v>
      </c>
      <c r="F114" t="s">
        <v>288</v>
      </c>
      <c r="G114">
        <v>0</v>
      </c>
      <c r="H114" t="s">
        <v>431</v>
      </c>
    </row>
    <row r="115" spans="1:8" hidden="1" x14ac:dyDescent="0.25">
      <c r="A115" t="s">
        <v>432</v>
      </c>
      <c r="B115">
        <v>4.1020000000000001E-2</v>
      </c>
      <c r="C115" t="s">
        <v>854</v>
      </c>
      <c r="D115" t="s">
        <v>293</v>
      </c>
      <c r="E115" t="s">
        <v>279</v>
      </c>
      <c r="F115" t="s">
        <v>288</v>
      </c>
      <c r="G115">
        <v>0</v>
      </c>
      <c r="H115" t="s">
        <v>433</v>
      </c>
    </row>
    <row r="116" spans="1:8" hidden="1" x14ac:dyDescent="0.25">
      <c r="A116" t="s">
        <v>434</v>
      </c>
      <c r="B116">
        <v>5.6739999999999999E-2</v>
      </c>
      <c r="C116" t="s">
        <v>854</v>
      </c>
      <c r="D116" t="s">
        <v>305</v>
      </c>
      <c r="E116" t="s">
        <v>279</v>
      </c>
      <c r="F116" t="s">
        <v>288</v>
      </c>
      <c r="G116">
        <v>0</v>
      </c>
      <c r="H116" t="s">
        <v>331</v>
      </c>
    </row>
    <row r="117" spans="1:8" hidden="1" x14ac:dyDescent="0.25">
      <c r="A117" t="s">
        <v>435</v>
      </c>
      <c r="B117">
        <v>1.323E-2</v>
      </c>
      <c r="C117" t="s">
        <v>854</v>
      </c>
      <c r="D117" t="s">
        <v>305</v>
      </c>
      <c r="E117" t="s">
        <v>279</v>
      </c>
      <c r="F117" t="s">
        <v>288</v>
      </c>
      <c r="G117">
        <v>0</v>
      </c>
      <c r="H117" t="s">
        <v>436</v>
      </c>
    </row>
    <row r="118" spans="1:8" hidden="1" x14ac:dyDescent="0.25">
      <c r="A118" t="s">
        <v>302</v>
      </c>
      <c r="B118">
        <v>3.450259E-2</v>
      </c>
      <c r="C118" t="s">
        <v>854</v>
      </c>
      <c r="D118" t="s">
        <v>293</v>
      </c>
      <c r="E118" t="s">
        <v>279</v>
      </c>
      <c r="F118" t="s">
        <v>288</v>
      </c>
      <c r="G118">
        <v>0</v>
      </c>
      <c r="H118" t="s">
        <v>303</v>
      </c>
    </row>
    <row r="119" spans="1:8" hidden="1" x14ac:dyDescent="0.25">
      <c r="A119" t="s">
        <v>437</v>
      </c>
      <c r="B119">
        <v>7.1428999999999997E-5</v>
      </c>
      <c r="C119" t="s">
        <v>854</v>
      </c>
      <c r="D119" t="s">
        <v>305</v>
      </c>
      <c r="E119" t="s">
        <v>279</v>
      </c>
      <c r="F119" t="s">
        <v>288</v>
      </c>
      <c r="G119">
        <v>0</v>
      </c>
      <c r="H119" t="s">
        <v>438</v>
      </c>
    </row>
    <row r="120" spans="1:8" hidden="1" x14ac:dyDescent="0.25">
      <c r="A120" t="s">
        <v>439</v>
      </c>
      <c r="B120">
        <v>0.31623000000000001</v>
      </c>
      <c r="C120" t="s">
        <v>854</v>
      </c>
      <c r="D120" t="s">
        <v>305</v>
      </c>
      <c r="E120" t="s">
        <v>279</v>
      </c>
      <c r="F120" t="s">
        <v>288</v>
      </c>
      <c r="G120">
        <v>0</v>
      </c>
      <c r="H120" t="s">
        <v>440</v>
      </c>
    </row>
    <row r="121" spans="1:8" hidden="1" x14ac:dyDescent="0.25">
      <c r="A121" t="s">
        <v>441</v>
      </c>
      <c r="B121">
        <v>2.0129999999999999E-2</v>
      </c>
      <c r="C121" t="s">
        <v>854</v>
      </c>
      <c r="D121" t="s">
        <v>293</v>
      </c>
      <c r="E121" t="s">
        <v>279</v>
      </c>
      <c r="F121" t="s">
        <v>288</v>
      </c>
      <c r="G121">
        <v>0</v>
      </c>
      <c r="H121" t="s">
        <v>442</v>
      </c>
    </row>
    <row r="122" spans="1:8" hidden="1" x14ac:dyDescent="0.25"/>
    <row r="123" spans="1:8" ht="15.75" hidden="1" x14ac:dyDescent="0.25">
      <c r="A123" s="109" t="s">
        <v>265</v>
      </c>
      <c r="B123" s="109" t="s">
        <v>443</v>
      </c>
    </row>
    <row r="124" spans="1:8" hidden="1" x14ac:dyDescent="0.25">
      <c r="A124" t="s">
        <v>267</v>
      </c>
      <c r="B124" t="s">
        <v>268</v>
      </c>
    </row>
    <row r="125" spans="1:8" hidden="1" x14ac:dyDescent="0.25">
      <c r="A125" t="s">
        <v>269</v>
      </c>
      <c r="B125" t="s">
        <v>444</v>
      </c>
    </row>
    <row r="126" spans="1:8" hidden="1" x14ac:dyDescent="0.25">
      <c r="A126" t="s">
        <v>272</v>
      </c>
      <c r="B126" t="s">
        <v>293</v>
      </c>
    </row>
    <row r="127" spans="1:8" hidden="1" x14ac:dyDescent="0.25">
      <c r="A127" t="s">
        <v>274</v>
      </c>
      <c r="B127" t="s">
        <v>445</v>
      </c>
    </row>
    <row r="128" spans="1:8" hidden="1" x14ac:dyDescent="0.25">
      <c r="A128" t="s">
        <v>276</v>
      </c>
      <c r="B128" t="s">
        <v>277</v>
      </c>
    </row>
    <row r="129" spans="1:8" hidden="1" x14ac:dyDescent="0.25">
      <c r="A129" t="s">
        <v>278</v>
      </c>
      <c r="B129" t="s">
        <v>279</v>
      </c>
    </row>
    <row r="130" spans="1:8" hidden="1" x14ac:dyDescent="0.25">
      <c r="A130" t="s">
        <v>853</v>
      </c>
      <c r="B130" t="s">
        <v>850</v>
      </c>
    </row>
    <row r="131" spans="1:8" ht="15.75" hidden="1" x14ac:dyDescent="0.25">
      <c r="A131" s="109" t="s">
        <v>280</v>
      </c>
    </row>
    <row r="132" spans="1:8" hidden="1" x14ac:dyDescent="0.25">
      <c r="A132" t="s">
        <v>281</v>
      </c>
      <c r="B132" t="s">
        <v>282</v>
      </c>
      <c r="C132" t="s">
        <v>283</v>
      </c>
      <c r="D132" t="s">
        <v>272</v>
      </c>
      <c r="E132" t="s">
        <v>278</v>
      </c>
      <c r="F132" t="s">
        <v>276</v>
      </c>
      <c r="G132" t="s">
        <v>284</v>
      </c>
      <c r="H132" t="s">
        <v>274</v>
      </c>
    </row>
    <row r="133" spans="1:8" hidden="1" x14ac:dyDescent="0.25">
      <c r="A133" t="s">
        <v>443</v>
      </c>
      <c r="B133">
        <v>1</v>
      </c>
      <c r="C133" t="s">
        <v>850</v>
      </c>
      <c r="D133" t="s">
        <v>293</v>
      </c>
      <c r="E133" t="s">
        <v>279</v>
      </c>
      <c r="F133" t="s">
        <v>286</v>
      </c>
      <c r="G133">
        <v>0</v>
      </c>
      <c r="H133" t="s">
        <v>445</v>
      </c>
    </row>
    <row r="134" spans="1:8" hidden="1" x14ac:dyDescent="0.25">
      <c r="A134" t="s">
        <v>427</v>
      </c>
      <c r="B134">
        <v>0.52170000000000005</v>
      </c>
      <c r="C134" t="s">
        <v>850</v>
      </c>
      <c r="D134" t="s">
        <v>305</v>
      </c>
      <c r="E134" t="s">
        <v>279</v>
      </c>
      <c r="F134" t="s">
        <v>288</v>
      </c>
      <c r="G134">
        <v>0</v>
      </c>
      <c r="H134" t="s">
        <v>429</v>
      </c>
    </row>
    <row r="135" spans="1:8" hidden="1" x14ac:dyDescent="0.25">
      <c r="A135" t="s">
        <v>446</v>
      </c>
      <c r="B135">
        <v>4.0000000000000001E-10</v>
      </c>
      <c r="C135" t="s">
        <v>854</v>
      </c>
      <c r="D135" t="s">
        <v>293</v>
      </c>
      <c r="E135" t="s">
        <v>278</v>
      </c>
      <c r="F135" t="s">
        <v>288</v>
      </c>
      <c r="G135">
        <v>0</v>
      </c>
      <c r="H135" t="s">
        <v>447</v>
      </c>
    </row>
    <row r="136" spans="1:8" hidden="1" x14ac:dyDescent="0.25">
      <c r="A136" t="s">
        <v>448</v>
      </c>
      <c r="B136">
        <v>0.4783</v>
      </c>
      <c r="C136" t="s">
        <v>854</v>
      </c>
      <c r="D136" t="s">
        <v>305</v>
      </c>
      <c r="E136" t="s">
        <v>279</v>
      </c>
      <c r="F136" t="s">
        <v>288</v>
      </c>
      <c r="G136">
        <v>0</v>
      </c>
      <c r="H136" t="s">
        <v>449</v>
      </c>
    </row>
    <row r="137" spans="1:8" hidden="1" x14ac:dyDescent="0.25">
      <c r="A137" t="s">
        <v>426</v>
      </c>
      <c r="B137">
        <v>0.3</v>
      </c>
      <c r="C137" t="s">
        <v>854</v>
      </c>
      <c r="D137" t="s">
        <v>293</v>
      </c>
      <c r="E137" t="s">
        <v>297</v>
      </c>
      <c r="F137" t="s">
        <v>288</v>
      </c>
      <c r="G137">
        <v>0</v>
      </c>
      <c r="H137" t="s">
        <v>298</v>
      </c>
    </row>
    <row r="138" spans="1:8" hidden="1" x14ac:dyDescent="0.25"/>
    <row r="139" spans="1:8" ht="15.75" hidden="1" x14ac:dyDescent="0.25">
      <c r="A139" s="109" t="s">
        <v>265</v>
      </c>
      <c r="B139" s="109" t="s">
        <v>225</v>
      </c>
    </row>
    <row r="140" spans="1:8" hidden="1" x14ac:dyDescent="0.25">
      <c r="A140" t="s">
        <v>267</v>
      </c>
      <c r="B140" t="s">
        <v>268</v>
      </c>
    </row>
    <row r="141" spans="1:8" hidden="1" x14ac:dyDescent="0.25">
      <c r="A141" t="s">
        <v>269</v>
      </c>
      <c r="B141" t="s">
        <v>450</v>
      </c>
    </row>
    <row r="142" spans="1:8" hidden="1" x14ac:dyDescent="0.25">
      <c r="A142" t="s">
        <v>272</v>
      </c>
      <c r="B142" t="s">
        <v>305</v>
      </c>
    </row>
    <row r="143" spans="1:8" hidden="1" x14ac:dyDescent="0.25">
      <c r="A143" t="s">
        <v>274</v>
      </c>
      <c r="B143" t="s">
        <v>451</v>
      </c>
    </row>
    <row r="144" spans="1:8" hidden="1" x14ac:dyDescent="0.25">
      <c r="A144" t="s">
        <v>276</v>
      </c>
      <c r="B144" t="s">
        <v>277</v>
      </c>
    </row>
    <row r="145" spans="1:8" hidden="1" x14ac:dyDescent="0.25">
      <c r="A145" t="s">
        <v>278</v>
      </c>
      <c r="B145" t="s">
        <v>279</v>
      </c>
    </row>
    <row r="146" spans="1:8" hidden="1" x14ac:dyDescent="0.25">
      <c r="A146" t="s">
        <v>853</v>
      </c>
      <c r="B146" t="s">
        <v>850</v>
      </c>
    </row>
    <row r="147" spans="1:8" ht="15.75" hidden="1" x14ac:dyDescent="0.25">
      <c r="A147" s="109" t="s">
        <v>280</v>
      </c>
    </row>
    <row r="148" spans="1:8" hidden="1" x14ac:dyDescent="0.25">
      <c r="A148" t="s">
        <v>281</v>
      </c>
      <c r="B148" t="s">
        <v>282</v>
      </c>
      <c r="C148" t="s">
        <v>283</v>
      </c>
      <c r="D148" t="s">
        <v>272</v>
      </c>
      <c r="E148" t="s">
        <v>278</v>
      </c>
      <c r="F148" t="s">
        <v>276</v>
      </c>
      <c r="G148" t="s">
        <v>284</v>
      </c>
      <c r="H148" t="s">
        <v>274</v>
      </c>
    </row>
    <row r="149" spans="1:8" hidden="1" x14ac:dyDescent="0.25">
      <c r="A149" t="s">
        <v>225</v>
      </c>
      <c r="B149">
        <v>1</v>
      </c>
      <c r="C149" t="s">
        <v>850</v>
      </c>
      <c r="D149" t="s">
        <v>305</v>
      </c>
      <c r="E149" t="s">
        <v>279</v>
      </c>
      <c r="F149" t="s">
        <v>286</v>
      </c>
      <c r="G149">
        <v>0</v>
      </c>
      <c r="H149" t="s">
        <v>451</v>
      </c>
    </row>
    <row r="150" spans="1:8" hidden="1" x14ac:dyDescent="0.25">
      <c r="A150" t="s">
        <v>452</v>
      </c>
      <c r="B150">
        <v>0.6</v>
      </c>
      <c r="C150" t="s">
        <v>854</v>
      </c>
      <c r="D150" t="s">
        <v>305</v>
      </c>
      <c r="E150" t="s">
        <v>279</v>
      </c>
      <c r="F150" t="s">
        <v>288</v>
      </c>
      <c r="G150">
        <v>0</v>
      </c>
      <c r="H150" t="s">
        <v>453</v>
      </c>
    </row>
    <row r="151" spans="1:8" hidden="1" x14ac:dyDescent="0.25">
      <c r="A151" t="s">
        <v>304</v>
      </c>
      <c r="B151">
        <v>0.4</v>
      </c>
      <c r="C151" t="s">
        <v>854</v>
      </c>
      <c r="D151" t="s">
        <v>305</v>
      </c>
      <c r="E151" t="s">
        <v>279</v>
      </c>
      <c r="F151" t="s">
        <v>288</v>
      </c>
      <c r="G151">
        <v>0</v>
      </c>
      <c r="H151" t="s">
        <v>306</v>
      </c>
    </row>
    <row r="152" spans="1:8" hidden="1" x14ac:dyDescent="0.25"/>
    <row r="153" spans="1:8" ht="15.75" hidden="1" x14ac:dyDescent="0.25">
      <c r="A153" s="109" t="s">
        <v>265</v>
      </c>
      <c r="B153" s="109" t="s">
        <v>457</v>
      </c>
    </row>
    <row r="154" spans="1:8" hidden="1" x14ac:dyDescent="0.25">
      <c r="A154" t="s">
        <v>267</v>
      </c>
      <c r="B154" t="s">
        <v>268</v>
      </c>
    </row>
    <row r="155" spans="1:8" hidden="1" x14ac:dyDescent="0.25">
      <c r="A155" t="s">
        <v>269</v>
      </c>
      <c r="B155" t="s">
        <v>464</v>
      </c>
    </row>
    <row r="156" spans="1:8" hidden="1" x14ac:dyDescent="0.25">
      <c r="A156" t="s">
        <v>272</v>
      </c>
      <c r="B156" t="s">
        <v>371</v>
      </c>
    </row>
    <row r="157" spans="1:8" hidden="1" x14ac:dyDescent="0.25">
      <c r="A157" t="s">
        <v>274</v>
      </c>
      <c r="B157" t="s">
        <v>458</v>
      </c>
    </row>
    <row r="158" spans="1:8" hidden="1" x14ac:dyDescent="0.25">
      <c r="A158" t="s">
        <v>276</v>
      </c>
      <c r="B158" t="s">
        <v>277</v>
      </c>
    </row>
    <row r="159" spans="1:8" hidden="1" x14ac:dyDescent="0.25">
      <c r="A159" t="s">
        <v>278</v>
      </c>
      <c r="B159" t="s">
        <v>279</v>
      </c>
    </row>
    <row r="160" spans="1:8" hidden="1" x14ac:dyDescent="0.25">
      <c r="A160" t="s">
        <v>853</v>
      </c>
      <c r="B160" t="s">
        <v>850</v>
      </c>
    </row>
    <row r="161" spans="1:8" ht="15.75" hidden="1" x14ac:dyDescent="0.25">
      <c r="A161" s="109" t="s">
        <v>280</v>
      </c>
    </row>
    <row r="162" spans="1:8" hidden="1" x14ac:dyDescent="0.25">
      <c r="A162" t="s">
        <v>281</v>
      </c>
      <c r="B162" t="s">
        <v>282</v>
      </c>
      <c r="C162" t="s">
        <v>283</v>
      </c>
      <c r="D162" t="s">
        <v>272</v>
      </c>
      <c r="E162" t="s">
        <v>278</v>
      </c>
      <c r="F162" t="s">
        <v>276</v>
      </c>
      <c r="G162" t="s">
        <v>284</v>
      </c>
      <c r="H162" t="s">
        <v>274</v>
      </c>
    </row>
    <row r="163" spans="1:8" hidden="1" x14ac:dyDescent="0.25">
      <c r="A163" t="s">
        <v>457</v>
      </c>
      <c r="B163">
        <v>1</v>
      </c>
      <c r="C163" t="s">
        <v>850</v>
      </c>
      <c r="D163" t="s">
        <v>371</v>
      </c>
      <c r="E163" t="s">
        <v>279</v>
      </c>
      <c r="F163" t="s">
        <v>286</v>
      </c>
      <c r="G163">
        <v>0</v>
      </c>
      <c r="H163" t="s">
        <v>458</v>
      </c>
    </row>
    <row r="164" spans="1:8" hidden="1" x14ac:dyDescent="0.25">
      <c r="A164" t="s">
        <v>465</v>
      </c>
      <c r="B164">
        <v>1</v>
      </c>
      <c r="C164" t="s">
        <v>854</v>
      </c>
      <c r="D164" t="s">
        <v>293</v>
      </c>
      <c r="E164" t="s">
        <v>279</v>
      </c>
      <c r="F164" t="s">
        <v>288</v>
      </c>
      <c r="G164">
        <v>0</v>
      </c>
      <c r="H164" t="s">
        <v>466</v>
      </c>
    </row>
    <row r="165" spans="1:8" hidden="1" x14ac:dyDescent="0.25">
      <c r="A165" t="s">
        <v>459</v>
      </c>
      <c r="B165">
        <v>0.73934999999999995</v>
      </c>
      <c r="C165" t="s">
        <v>854</v>
      </c>
      <c r="D165" t="s">
        <v>356</v>
      </c>
      <c r="E165" t="s">
        <v>297</v>
      </c>
      <c r="F165" t="s">
        <v>288</v>
      </c>
      <c r="G165">
        <v>0</v>
      </c>
      <c r="H165" t="s">
        <v>460</v>
      </c>
    </row>
    <row r="166" spans="1:8" hidden="1" x14ac:dyDescent="0.25">
      <c r="A166" t="s">
        <v>422</v>
      </c>
      <c r="B166">
        <v>0.34417999999999999</v>
      </c>
      <c r="C166" t="s">
        <v>854</v>
      </c>
      <c r="D166" t="s">
        <v>371</v>
      </c>
      <c r="E166" t="s">
        <v>319</v>
      </c>
      <c r="F166" t="s">
        <v>288</v>
      </c>
      <c r="G166">
        <v>0</v>
      </c>
      <c r="H166" t="s">
        <v>423</v>
      </c>
    </row>
    <row r="167" spans="1:8" hidden="1" x14ac:dyDescent="0.25">
      <c r="A167" t="s">
        <v>467</v>
      </c>
      <c r="B167">
        <v>0.20884</v>
      </c>
      <c r="C167" t="s">
        <v>854</v>
      </c>
      <c r="D167" t="s">
        <v>371</v>
      </c>
      <c r="E167" t="s">
        <v>319</v>
      </c>
      <c r="F167" t="s">
        <v>288</v>
      </c>
      <c r="G167">
        <v>0</v>
      </c>
      <c r="H167" t="s">
        <v>380</v>
      </c>
    </row>
    <row r="168" spans="1:8" hidden="1" x14ac:dyDescent="0.25"/>
    <row r="169" spans="1:8" ht="15.75" hidden="1" x14ac:dyDescent="0.25">
      <c r="A169" s="109" t="s">
        <v>265</v>
      </c>
      <c r="B169" s="109" t="s">
        <v>260</v>
      </c>
    </row>
    <row r="170" spans="1:8" hidden="1" x14ac:dyDescent="0.25">
      <c r="A170" t="s">
        <v>267</v>
      </c>
      <c r="B170" t="s">
        <v>268</v>
      </c>
    </row>
    <row r="171" spans="1:8" hidden="1" x14ac:dyDescent="0.25">
      <c r="A171" t="s">
        <v>269</v>
      </c>
      <c r="B171" t="s">
        <v>468</v>
      </c>
    </row>
    <row r="172" spans="1:8" hidden="1" x14ac:dyDescent="0.25">
      <c r="A172" t="s">
        <v>272</v>
      </c>
      <c r="B172" t="s">
        <v>273</v>
      </c>
    </row>
    <row r="173" spans="1:8" hidden="1" x14ac:dyDescent="0.25">
      <c r="A173" t="s">
        <v>274</v>
      </c>
      <c r="B173" t="s">
        <v>469</v>
      </c>
    </row>
    <row r="174" spans="1:8" hidden="1" x14ac:dyDescent="0.25">
      <c r="A174" t="s">
        <v>276</v>
      </c>
      <c r="B174" t="s">
        <v>277</v>
      </c>
    </row>
    <row r="175" spans="1:8" hidden="1" x14ac:dyDescent="0.25">
      <c r="A175" t="s">
        <v>278</v>
      </c>
      <c r="B175" t="s">
        <v>323</v>
      </c>
    </row>
    <row r="176" spans="1:8" hidden="1" x14ac:dyDescent="0.25">
      <c r="A176" t="s">
        <v>853</v>
      </c>
      <c r="B176" t="s">
        <v>850</v>
      </c>
    </row>
    <row r="177" spans="1:9" ht="15.75" hidden="1" x14ac:dyDescent="0.25">
      <c r="A177" s="109" t="s">
        <v>280</v>
      </c>
    </row>
    <row r="178" spans="1:9" hidden="1" x14ac:dyDescent="0.25">
      <c r="A178" t="s">
        <v>281</v>
      </c>
      <c r="B178" t="s">
        <v>282</v>
      </c>
      <c r="C178" t="s">
        <v>283</v>
      </c>
      <c r="D178" t="s">
        <v>272</v>
      </c>
      <c r="E178" t="s">
        <v>278</v>
      </c>
      <c r="F178" t="s">
        <v>276</v>
      </c>
      <c r="G178" t="s">
        <v>284</v>
      </c>
      <c r="H178" t="s">
        <v>271</v>
      </c>
      <c r="I178" t="s">
        <v>274</v>
      </c>
    </row>
    <row r="179" spans="1:9" hidden="1" x14ac:dyDescent="0.25">
      <c r="A179" t="s">
        <v>260</v>
      </c>
      <c r="B179">
        <v>1</v>
      </c>
      <c r="C179" t="s">
        <v>850</v>
      </c>
      <c r="D179" t="s">
        <v>273</v>
      </c>
      <c r="E179" t="s">
        <v>323</v>
      </c>
      <c r="F179" t="s">
        <v>286</v>
      </c>
      <c r="G179">
        <v>0</v>
      </c>
      <c r="I179" t="s">
        <v>469</v>
      </c>
    </row>
    <row r="180" spans="1:9" hidden="1" x14ac:dyDescent="0.25">
      <c r="A180" t="s">
        <v>470</v>
      </c>
      <c r="B180">
        <v>0.35</v>
      </c>
      <c r="C180" t="s">
        <v>854</v>
      </c>
      <c r="D180" t="s">
        <v>305</v>
      </c>
      <c r="E180" t="s">
        <v>279</v>
      </c>
      <c r="F180" t="s">
        <v>288</v>
      </c>
      <c r="G180">
        <v>0</v>
      </c>
      <c r="I180" t="s">
        <v>367</v>
      </c>
    </row>
    <row r="181" spans="1:9" hidden="1" x14ac:dyDescent="0.25">
      <c r="A181" t="s">
        <v>454</v>
      </c>
      <c r="B181">
        <v>12.49</v>
      </c>
      <c r="C181" t="s">
        <v>850</v>
      </c>
      <c r="D181" t="s">
        <v>356</v>
      </c>
      <c r="E181" t="s">
        <v>279</v>
      </c>
      <c r="F181" t="s">
        <v>288</v>
      </c>
      <c r="G181">
        <v>0</v>
      </c>
      <c r="I181" t="s">
        <v>456</v>
      </c>
    </row>
    <row r="182" spans="1:9" hidden="1" x14ac:dyDescent="0.25">
      <c r="A182" t="s">
        <v>471</v>
      </c>
      <c r="B182">
        <v>3.082532</v>
      </c>
      <c r="C182" t="s">
        <v>854</v>
      </c>
      <c r="D182" t="s">
        <v>371</v>
      </c>
      <c r="E182" t="s">
        <v>323</v>
      </c>
      <c r="F182" t="s">
        <v>288</v>
      </c>
      <c r="G182">
        <v>0</v>
      </c>
      <c r="I182" t="s">
        <v>471</v>
      </c>
    </row>
    <row r="183" spans="1:9" hidden="1" x14ac:dyDescent="0.25">
      <c r="A183" t="s">
        <v>409</v>
      </c>
      <c r="B183">
        <v>0.53212851400000005</v>
      </c>
      <c r="C183" t="s">
        <v>850</v>
      </c>
      <c r="D183" t="s">
        <v>273</v>
      </c>
      <c r="E183" t="s">
        <v>279</v>
      </c>
      <c r="F183" t="s">
        <v>288</v>
      </c>
      <c r="G183">
        <v>0</v>
      </c>
      <c r="I183" t="s">
        <v>409</v>
      </c>
    </row>
    <row r="184" spans="1:9" hidden="1" x14ac:dyDescent="0.25">
      <c r="A184" t="s">
        <v>472</v>
      </c>
      <c r="B184">
        <v>0.72</v>
      </c>
      <c r="C184" t="s">
        <v>850</v>
      </c>
      <c r="D184" t="s">
        <v>384</v>
      </c>
      <c r="E184" t="s">
        <v>323</v>
      </c>
      <c r="F184" t="s">
        <v>288</v>
      </c>
      <c r="G184">
        <v>0</v>
      </c>
      <c r="I184" t="s">
        <v>322</v>
      </c>
    </row>
    <row r="185" spans="1:9" hidden="1" x14ac:dyDescent="0.25">
      <c r="A185" t="s">
        <v>473</v>
      </c>
      <c r="B185">
        <v>0.04</v>
      </c>
      <c r="C185" t="s">
        <v>854</v>
      </c>
      <c r="D185" t="s">
        <v>305</v>
      </c>
      <c r="E185" t="s">
        <v>279</v>
      </c>
      <c r="F185" t="s">
        <v>288</v>
      </c>
      <c r="G185">
        <v>0</v>
      </c>
      <c r="I185" t="s">
        <v>474</v>
      </c>
    </row>
    <row r="186" spans="1:9" hidden="1" x14ac:dyDescent="0.25">
      <c r="A186" t="s">
        <v>296</v>
      </c>
      <c r="B186">
        <v>1.27</v>
      </c>
      <c r="C186" t="s">
        <v>854</v>
      </c>
      <c r="D186" t="s">
        <v>273</v>
      </c>
      <c r="E186" t="s">
        <v>297</v>
      </c>
      <c r="F186" t="s">
        <v>288</v>
      </c>
      <c r="G186">
        <v>0</v>
      </c>
      <c r="I186" t="s">
        <v>298</v>
      </c>
    </row>
    <row r="187" spans="1:9" hidden="1" x14ac:dyDescent="0.25">
      <c r="A187" t="s">
        <v>475</v>
      </c>
      <c r="B187">
        <v>1.32</v>
      </c>
      <c r="C187" t="s">
        <v>854</v>
      </c>
      <c r="D187" t="s">
        <v>305</v>
      </c>
      <c r="E187" t="s">
        <v>279</v>
      </c>
      <c r="F187" t="s">
        <v>288</v>
      </c>
      <c r="G187">
        <v>0</v>
      </c>
      <c r="I187" t="s">
        <v>476</v>
      </c>
    </row>
    <row r="188" spans="1:9" hidden="1" x14ac:dyDescent="0.25">
      <c r="A188" t="s">
        <v>477</v>
      </c>
      <c r="B188">
        <v>0.12</v>
      </c>
      <c r="C188" t="s">
        <v>854</v>
      </c>
      <c r="D188" t="s">
        <v>305</v>
      </c>
      <c r="E188" t="s">
        <v>279</v>
      </c>
      <c r="F188" t="s">
        <v>288</v>
      </c>
      <c r="G188">
        <v>0</v>
      </c>
      <c r="I188" t="s">
        <v>478</v>
      </c>
    </row>
    <row r="189" spans="1:9" hidden="1" x14ac:dyDescent="0.25">
      <c r="A189" t="s">
        <v>855</v>
      </c>
      <c r="B189">
        <v>0.53212851400000005</v>
      </c>
      <c r="C189" t="s">
        <v>854</v>
      </c>
      <c r="D189" t="s">
        <v>384</v>
      </c>
      <c r="E189" t="s">
        <v>279</v>
      </c>
      <c r="F189" t="s">
        <v>288</v>
      </c>
      <c r="G189">
        <v>0</v>
      </c>
      <c r="I189" t="s">
        <v>856</v>
      </c>
    </row>
    <row r="190" spans="1:9" hidden="1" x14ac:dyDescent="0.25">
      <c r="A190" t="s">
        <v>479</v>
      </c>
      <c r="B190">
        <v>0.14000000000000001</v>
      </c>
      <c r="C190" t="s">
        <v>854</v>
      </c>
      <c r="D190" t="s">
        <v>305</v>
      </c>
      <c r="E190" t="s">
        <v>279</v>
      </c>
      <c r="F190" t="s">
        <v>288</v>
      </c>
      <c r="G190">
        <v>0</v>
      </c>
      <c r="I190" t="s">
        <v>480</v>
      </c>
    </row>
    <row r="191" spans="1:9" hidden="1" x14ac:dyDescent="0.25">
      <c r="A191" t="s">
        <v>481</v>
      </c>
      <c r="B191">
        <v>2.3199999999999999E-8</v>
      </c>
      <c r="C191" t="s">
        <v>854</v>
      </c>
      <c r="D191" t="s">
        <v>305</v>
      </c>
      <c r="E191" t="s">
        <v>278</v>
      </c>
      <c r="F191" t="s">
        <v>288</v>
      </c>
      <c r="G191">
        <v>0</v>
      </c>
      <c r="I191" t="s">
        <v>412</v>
      </c>
    </row>
    <row r="192" spans="1:9" hidden="1" x14ac:dyDescent="0.25">
      <c r="A192" t="s">
        <v>857</v>
      </c>
      <c r="B192">
        <v>0.05</v>
      </c>
      <c r="C192" t="s">
        <v>854</v>
      </c>
      <c r="D192" t="s">
        <v>327</v>
      </c>
      <c r="E192" t="s">
        <v>279</v>
      </c>
      <c r="F192" t="s">
        <v>288</v>
      </c>
      <c r="G192">
        <v>0</v>
      </c>
      <c r="I192" t="s">
        <v>405</v>
      </c>
    </row>
    <row r="193" spans="1:9" hidden="1" x14ac:dyDescent="0.25">
      <c r="A193" t="s">
        <v>347</v>
      </c>
      <c r="B193">
        <v>0</v>
      </c>
      <c r="C193" t="s">
        <v>854</v>
      </c>
      <c r="D193" t="s">
        <v>305</v>
      </c>
      <c r="E193" t="s">
        <v>279</v>
      </c>
      <c r="F193" t="s">
        <v>288</v>
      </c>
      <c r="G193">
        <v>0</v>
      </c>
      <c r="I193" t="s">
        <v>348</v>
      </c>
    </row>
    <row r="194" spans="1:9" hidden="1" x14ac:dyDescent="0.25">
      <c r="A194" t="s">
        <v>483</v>
      </c>
      <c r="B194">
        <v>1.139896373</v>
      </c>
      <c r="C194" t="s">
        <v>854</v>
      </c>
      <c r="D194" t="s">
        <v>305</v>
      </c>
      <c r="E194" t="s">
        <v>323</v>
      </c>
      <c r="F194" t="s">
        <v>288</v>
      </c>
      <c r="G194">
        <v>0</v>
      </c>
      <c r="I194" t="s">
        <v>484</v>
      </c>
    </row>
    <row r="195" spans="1:9" hidden="1" x14ac:dyDescent="0.25">
      <c r="A195" t="s">
        <v>414</v>
      </c>
      <c r="B195">
        <v>12.49</v>
      </c>
      <c r="C195" t="s">
        <v>854</v>
      </c>
      <c r="D195" t="s">
        <v>305</v>
      </c>
      <c r="E195" t="s">
        <v>279</v>
      </c>
      <c r="F195" t="s">
        <v>288</v>
      </c>
      <c r="G195">
        <v>0</v>
      </c>
      <c r="I195" t="s">
        <v>414</v>
      </c>
    </row>
    <row r="196" spans="1:9" hidden="1" x14ac:dyDescent="0.25">
      <c r="A196" t="s">
        <v>485</v>
      </c>
      <c r="B196">
        <v>0.74</v>
      </c>
      <c r="C196" t="s">
        <v>850</v>
      </c>
      <c r="D196" t="s">
        <v>273</v>
      </c>
      <c r="E196" t="s">
        <v>279</v>
      </c>
      <c r="F196" t="s">
        <v>288</v>
      </c>
      <c r="G196">
        <v>0</v>
      </c>
      <c r="I196" t="s">
        <v>485</v>
      </c>
    </row>
    <row r="197" spans="1:9" hidden="1" x14ac:dyDescent="0.25">
      <c r="A197" t="s">
        <v>486</v>
      </c>
      <c r="B197">
        <v>1.06</v>
      </c>
      <c r="C197" t="s">
        <v>854</v>
      </c>
      <c r="D197" t="s">
        <v>305</v>
      </c>
      <c r="E197" t="s">
        <v>279</v>
      </c>
      <c r="F197" t="s">
        <v>288</v>
      </c>
      <c r="G197">
        <v>0</v>
      </c>
      <c r="I197" t="s">
        <v>415</v>
      </c>
    </row>
    <row r="198" spans="1:9" hidden="1" x14ac:dyDescent="0.25">
      <c r="A198" t="s">
        <v>858</v>
      </c>
      <c r="B198">
        <v>46.67</v>
      </c>
      <c r="C198" t="s">
        <v>854</v>
      </c>
      <c r="D198" t="s">
        <v>305</v>
      </c>
      <c r="E198" t="s">
        <v>487</v>
      </c>
      <c r="F198" t="s">
        <v>288</v>
      </c>
      <c r="G198">
        <v>0</v>
      </c>
      <c r="H198" t="s">
        <v>488</v>
      </c>
      <c r="I198" t="s">
        <v>858</v>
      </c>
    </row>
    <row r="199" spans="1:9" hidden="1" x14ac:dyDescent="0.25"/>
    <row r="200" spans="1:9" ht="15.75" hidden="1" x14ac:dyDescent="0.25">
      <c r="A200" s="109" t="s">
        <v>265</v>
      </c>
      <c r="B200" s="109" t="s">
        <v>513</v>
      </c>
    </row>
    <row r="201" spans="1:9" hidden="1" x14ac:dyDescent="0.25">
      <c r="A201" t="s">
        <v>267</v>
      </c>
      <c r="B201" t="s">
        <v>268</v>
      </c>
    </row>
    <row r="202" spans="1:9" hidden="1" x14ac:dyDescent="0.25">
      <c r="A202" t="s">
        <v>269</v>
      </c>
      <c r="B202" t="s">
        <v>514</v>
      </c>
    </row>
    <row r="203" spans="1:9" hidden="1" x14ac:dyDescent="0.25">
      <c r="A203" t="s">
        <v>272</v>
      </c>
      <c r="B203" t="s">
        <v>273</v>
      </c>
    </row>
    <row r="204" spans="1:9" hidden="1" x14ac:dyDescent="0.25">
      <c r="A204" t="s">
        <v>274</v>
      </c>
      <c r="B204" t="s">
        <v>513</v>
      </c>
    </row>
    <row r="205" spans="1:9" hidden="1" x14ac:dyDescent="0.25">
      <c r="A205" t="s">
        <v>276</v>
      </c>
      <c r="B205" t="s">
        <v>277</v>
      </c>
    </row>
    <row r="206" spans="1:9" hidden="1" x14ac:dyDescent="0.25">
      <c r="A206" t="s">
        <v>278</v>
      </c>
      <c r="B206" t="s">
        <v>323</v>
      </c>
    </row>
    <row r="207" spans="1:9" hidden="1" x14ac:dyDescent="0.25">
      <c r="A207" t="s">
        <v>853</v>
      </c>
      <c r="B207" t="s">
        <v>850</v>
      </c>
    </row>
    <row r="208" spans="1:9" ht="15.75" hidden="1" x14ac:dyDescent="0.25">
      <c r="A208" s="109" t="s">
        <v>280</v>
      </c>
    </row>
    <row r="209" spans="1:9" hidden="1" x14ac:dyDescent="0.25">
      <c r="A209" t="s">
        <v>281</v>
      </c>
      <c r="B209" t="s">
        <v>282</v>
      </c>
      <c r="C209" t="s">
        <v>283</v>
      </c>
      <c r="D209" t="s">
        <v>272</v>
      </c>
      <c r="E209" t="s">
        <v>278</v>
      </c>
      <c r="F209" t="s">
        <v>276</v>
      </c>
      <c r="G209" t="s">
        <v>284</v>
      </c>
      <c r="H209" t="s">
        <v>271</v>
      </c>
      <c r="I209" t="s">
        <v>274</v>
      </c>
    </row>
    <row r="210" spans="1:9" hidden="1" x14ac:dyDescent="0.25">
      <c r="A210" t="s">
        <v>513</v>
      </c>
      <c r="B210">
        <v>1</v>
      </c>
      <c r="C210" t="s">
        <v>850</v>
      </c>
      <c r="D210" t="s">
        <v>273</v>
      </c>
      <c r="E210" t="s">
        <v>323</v>
      </c>
      <c r="F210" t="s">
        <v>286</v>
      </c>
      <c r="G210">
        <v>0</v>
      </c>
      <c r="I210" t="s">
        <v>513</v>
      </c>
    </row>
    <row r="211" spans="1:9" hidden="1" x14ac:dyDescent="0.25">
      <c r="A211" t="s">
        <v>325</v>
      </c>
      <c r="B211">
        <v>456.82</v>
      </c>
      <c r="C211" t="s">
        <v>850</v>
      </c>
      <c r="D211" t="s">
        <v>273</v>
      </c>
      <c r="E211" t="s">
        <v>279</v>
      </c>
      <c r="F211" t="s">
        <v>288</v>
      </c>
      <c r="G211">
        <v>0</v>
      </c>
      <c r="I211" t="s">
        <v>326</v>
      </c>
    </row>
    <row r="212" spans="1:9" hidden="1" x14ac:dyDescent="0.25">
      <c r="A212" t="s">
        <v>515</v>
      </c>
      <c r="B212">
        <v>328.9</v>
      </c>
      <c r="C212" t="s">
        <v>850</v>
      </c>
      <c r="D212" t="s">
        <v>273</v>
      </c>
      <c r="E212" t="s">
        <v>279</v>
      </c>
      <c r="F212" t="s">
        <v>288</v>
      </c>
      <c r="G212">
        <v>0</v>
      </c>
      <c r="I212" t="s">
        <v>516</v>
      </c>
    </row>
    <row r="213" spans="1:9" hidden="1" x14ac:dyDescent="0.25">
      <c r="A213" t="s">
        <v>517</v>
      </c>
      <c r="B213">
        <v>127.72</v>
      </c>
      <c r="C213" t="s">
        <v>850</v>
      </c>
      <c r="D213" t="s">
        <v>273</v>
      </c>
      <c r="E213" t="s">
        <v>279</v>
      </c>
      <c r="F213" t="s">
        <v>288</v>
      </c>
      <c r="G213">
        <v>0</v>
      </c>
      <c r="I213" t="s">
        <v>518</v>
      </c>
    </row>
    <row r="214" spans="1:9" hidden="1" x14ac:dyDescent="0.25">
      <c r="A214" t="s">
        <v>485</v>
      </c>
      <c r="B214">
        <v>0.2</v>
      </c>
      <c r="C214" t="s">
        <v>850</v>
      </c>
      <c r="D214" t="s">
        <v>273</v>
      </c>
      <c r="E214" t="s">
        <v>279</v>
      </c>
      <c r="F214" t="s">
        <v>288</v>
      </c>
      <c r="G214">
        <v>0</v>
      </c>
      <c r="H214" t="s">
        <v>519</v>
      </c>
      <c r="I214" t="s">
        <v>485</v>
      </c>
    </row>
    <row r="215" spans="1:9" hidden="1" x14ac:dyDescent="0.25">
      <c r="A215" t="s">
        <v>858</v>
      </c>
      <c r="B215">
        <v>13.704599999999999</v>
      </c>
      <c r="C215" t="s">
        <v>854</v>
      </c>
      <c r="D215" t="s">
        <v>305</v>
      </c>
      <c r="E215" t="s">
        <v>487</v>
      </c>
      <c r="F215" t="s">
        <v>288</v>
      </c>
      <c r="G215">
        <v>0</v>
      </c>
      <c r="I215" t="s">
        <v>858</v>
      </c>
    </row>
    <row r="216" spans="1:9" hidden="1" x14ac:dyDescent="0.25">
      <c r="A216" t="s">
        <v>858</v>
      </c>
      <c r="B216">
        <v>45.682000000000002</v>
      </c>
      <c r="C216" t="s">
        <v>854</v>
      </c>
      <c r="D216" t="s">
        <v>305</v>
      </c>
      <c r="E216" t="s">
        <v>487</v>
      </c>
      <c r="F216" t="s">
        <v>288</v>
      </c>
      <c r="G216">
        <v>0</v>
      </c>
      <c r="I216" t="s">
        <v>858</v>
      </c>
    </row>
    <row r="217" spans="1:9" hidden="1" x14ac:dyDescent="0.25"/>
    <row r="218" spans="1:9" ht="15.75" hidden="1" x14ac:dyDescent="0.25">
      <c r="A218" s="109" t="s">
        <v>265</v>
      </c>
      <c r="B218" s="109" t="s">
        <v>524</v>
      </c>
    </row>
    <row r="219" spans="1:9" hidden="1" x14ac:dyDescent="0.25">
      <c r="A219" t="s">
        <v>267</v>
      </c>
      <c r="B219" t="s">
        <v>268</v>
      </c>
    </row>
    <row r="220" spans="1:9" hidden="1" x14ac:dyDescent="0.25">
      <c r="A220" t="s">
        <v>269</v>
      </c>
      <c r="B220" t="s">
        <v>525</v>
      </c>
    </row>
    <row r="221" spans="1:9" hidden="1" x14ac:dyDescent="0.25">
      <c r="A221" t="s">
        <v>272</v>
      </c>
      <c r="B221" t="s">
        <v>273</v>
      </c>
    </row>
    <row r="222" spans="1:9" hidden="1" x14ac:dyDescent="0.25">
      <c r="A222" t="s">
        <v>274</v>
      </c>
      <c r="B222" t="s">
        <v>526</v>
      </c>
    </row>
    <row r="223" spans="1:9" hidden="1" x14ac:dyDescent="0.25">
      <c r="A223" t="s">
        <v>276</v>
      </c>
      <c r="B223" t="s">
        <v>277</v>
      </c>
    </row>
    <row r="224" spans="1:9" hidden="1" x14ac:dyDescent="0.25">
      <c r="A224" t="s">
        <v>278</v>
      </c>
      <c r="B224" t="s">
        <v>323</v>
      </c>
    </row>
    <row r="225" spans="1:9" hidden="1" x14ac:dyDescent="0.25">
      <c r="A225" t="s">
        <v>853</v>
      </c>
      <c r="B225" t="s">
        <v>850</v>
      </c>
    </row>
    <row r="226" spans="1:9" ht="15.75" hidden="1" x14ac:dyDescent="0.25">
      <c r="A226" s="109" t="s">
        <v>280</v>
      </c>
    </row>
    <row r="227" spans="1:9" hidden="1" x14ac:dyDescent="0.25">
      <c r="A227" t="s">
        <v>281</v>
      </c>
      <c r="B227" t="s">
        <v>282</v>
      </c>
      <c r="C227" t="s">
        <v>283</v>
      </c>
      <c r="D227" t="s">
        <v>272</v>
      </c>
      <c r="E227" t="s">
        <v>278</v>
      </c>
      <c r="F227" t="s">
        <v>276</v>
      </c>
      <c r="G227" t="s">
        <v>284</v>
      </c>
      <c r="H227" t="s">
        <v>271</v>
      </c>
      <c r="I227" t="s">
        <v>274</v>
      </c>
    </row>
    <row r="228" spans="1:9" hidden="1" x14ac:dyDescent="0.25">
      <c r="A228" t="s">
        <v>524</v>
      </c>
      <c r="B228">
        <v>1</v>
      </c>
      <c r="C228" t="s">
        <v>850</v>
      </c>
      <c r="D228" t="s">
        <v>273</v>
      </c>
      <c r="E228" t="s">
        <v>323</v>
      </c>
      <c r="F228" t="s">
        <v>286</v>
      </c>
      <c r="G228">
        <v>0</v>
      </c>
      <c r="I228" t="s">
        <v>526</v>
      </c>
    </row>
    <row r="229" spans="1:9" hidden="1" x14ac:dyDescent="0.25">
      <c r="A229" t="s">
        <v>325</v>
      </c>
      <c r="B229">
        <v>6.7438750000000001</v>
      </c>
      <c r="C229" t="s">
        <v>850</v>
      </c>
      <c r="D229" t="s">
        <v>273</v>
      </c>
      <c r="E229" t="s">
        <v>279</v>
      </c>
      <c r="F229" t="s">
        <v>288</v>
      </c>
      <c r="G229">
        <v>0</v>
      </c>
      <c r="I229" t="s">
        <v>326</v>
      </c>
    </row>
    <row r="230" spans="1:9" hidden="1" x14ac:dyDescent="0.25">
      <c r="A230" t="s">
        <v>74</v>
      </c>
      <c r="B230">
        <v>0.124</v>
      </c>
      <c r="C230" t="s">
        <v>850</v>
      </c>
      <c r="D230" t="s">
        <v>273</v>
      </c>
      <c r="E230" t="s">
        <v>279</v>
      </c>
      <c r="F230" t="s">
        <v>288</v>
      </c>
      <c r="G230">
        <v>0</v>
      </c>
      <c r="H230" t="s">
        <v>527</v>
      </c>
      <c r="I230" t="s">
        <v>32</v>
      </c>
    </row>
    <row r="231" spans="1:9" hidden="1" x14ac:dyDescent="0.25">
      <c r="A231" t="s">
        <v>528</v>
      </c>
      <c r="B231">
        <v>5.3339999999999996</v>
      </c>
      <c r="C231" t="s">
        <v>850</v>
      </c>
      <c r="D231" t="s">
        <v>273</v>
      </c>
      <c r="E231" t="s">
        <v>279</v>
      </c>
      <c r="F231" t="s">
        <v>288</v>
      </c>
      <c r="G231">
        <v>0</v>
      </c>
      <c r="I231" t="s">
        <v>529</v>
      </c>
    </row>
    <row r="232" spans="1:9" hidden="1" x14ac:dyDescent="0.25">
      <c r="A232" t="s">
        <v>530</v>
      </c>
      <c r="B232">
        <v>2.8574999999999998E-3</v>
      </c>
      <c r="C232" t="s">
        <v>850</v>
      </c>
      <c r="D232" t="s">
        <v>273</v>
      </c>
      <c r="E232" t="s">
        <v>310</v>
      </c>
      <c r="F232" t="s">
        <v>288</v>
      </c>
      <c r="G232">
        <v>0</v>
      </c>
      <c r="I232" t="s">
        <v>531</v>
      </c>
    </row>
    <row r="233" spans="1:9" hidden="1" x14ac:dyDescent="0.25">
      <c r="A233" t="s">
        <v>858</v>
      </c>
      <c r="B233">
        <v>0.202317</v>
      </c>
      <c r="C233" t="s">
        <v>854</v>
      </c>
      <c r="D233" t="s">
        <v>305</v>
      </c>
      <c r="E233" t="s">
        <v>487</v>
      </c>
      <c r="F233" t="s">
        <v>288</v>
      </c>
      <c r="G233">
        <v>0</v>
      </c>
      <c r="I233" t="s">
        <v>858</v>
      </c>
    </row>
    <row r="234" spans="1:9" hidden="1" x14ac:dyDescent="0.25">
      <c r="A234" t="s">
        <v>858</v>
      </c>
      <c r="B234">
        <v>0.67439000000000004</v>
      </c>
      <c r="C234" t="s">
        <v>854</v>
      </c>
      <c r="D234" t="s">
        <v>305</v>
      </c>
      <c r="E234" t="s">
        <v>487</v>
      </c>
      <c r="F234" t="s">
        <v>288</v>
      </c>
      <c r="G234">
        <v>0</v>
      </c>
      <c r="I234" t="s">
        <v>858</v>
      </c>
    </row>
    <row r="235" spans="1:9" hidden="1" x14ac:dyDescent="0.25"/>
    <row r="236" spans="1:9" ht="15.75" hidden="1" x14ac:dyDescent="0.25">
      <c r="A236" s="109" t="s">
        <v>265</v>
      </c>
      <c r="B236" s="109" t="s">
        <v>532</v>
      </c>
    </row>
    <row r="237" spans="1:9" hidden="1" x14ac:dyDescent="0.25">
      <c r="A237" t="s">
        <v>267</v>
      </c>
      <c r="B237" t="s">
        <v>268</v>
      </c>
    </row>
    <row r="238" spans="1:9" hidden="1" x14ac:dyDescent="0.25">
      <c r="A238" t="s">
        <v>269</v>
      </c>
      <c r="B238" t="s">
        <v>533</v>
      </c>
    </row>
    <row r="239" spans="1:9" hidden="1" x14ac:dyDescent="0.25">
      <c r="A239" t="s">
        <v>272</v>
      </c>
      <c r="B239" t="s">
        <v>273</v>
      </c>
    </row>
    <row r="240" spans="1:9" hidden="1" x14ac:dyDescent="0.25">
      <c r="A240" t="s">
        <v>274</v>
      </c>
      <c r="B240" t="s">
        <v>529</v>
      </c>
    </row>
    <row r="241" spans="1:8" hidden="1" x14ac:dyDescent="0.25">
      <c r="A241" t="s">
        <v>276</v>
      </c>
      <c r="B241" t="s">
        <v>277</v>
      </c>
    </row>
    <row r="242" spans="1:8" hidden="1" x14ac:dyDescent="0.25">
      <c r="A242" t="s">
        <v>278</v>
      </c>
      <c r="B242" t="s">
        <v>279</v>
      </c>
    </row>
    <row r="243" spans="1:8" hidden="1" x14ac:dyDescent="0.25">
      <c r="A243" t="s">
        <v>853</v>
      </c>
      <c r="B243" t="s">
        <v>850</v>
      </c>
    </row>
    <row r="244" spans="1:8" ht="15.75" hidden="1" x14ac:dyDescent="0.25">
      <c r="A244" s="109" t="s">
        <v>280</v>
      </c>
    </row>
    <row r="245" spans="1:8" hidden="1" x14ac:dyDescent="0.25">
      <c r="A245" t="s">
        <v>281</v>
      </c>
      <c r="B245" t="s">
        <v>282</v>
      </c>
      <c r="C245" t="s">
        <v>283</v>
      </c>
      <c r="D245" t="s">
        <v>272</v>
      </c>
      <c r="E245" t="s">
        <v>278</v>
      </c>
      <c r="F245" t="s">
        <v>276</v>
      </c>
      <c r="G245" t="s">
        <v>284</v>
      </c>
      <c r="H245" t="s">
        <v>274</v>
      </c>
    </row>
    <row r="246" spans="1:8" hidden="1" x14ac:dyDescent="0.25">
      <c r="A246" t="s">
        <v>532</v>
      </c>
      <c r="B246">
        <v>1</v>
      </c>
      <c r="C246" t="s">
        <v>850</v>
      </c>
      <c r="D246" t="s">
        <v>273</v>
      </c>
      <c r="E246" t="s">
        <v>279</v>
      </c>
      <c r="F246" t="s">
        <v>286</v>
      </c>
      <c r="G246">
        <v>0</v>
      </c>
      <c r="H246" t="s">
        <v>529</v>
      </c>
    </row>
    <row r="247" spans="1:8" hidden="1" x14ac:dyDescent="0.25">
      <c r="A247" t="s">
        <v>443</v>
      </c>
      <c r="B247">
        <v>6.1249999999999999E-2</v>
      </c>
      <c r="C247" t="s">
        <v>850</v>
      </c>
      <c r="D247" t="s">
        <v>293</v>
      </c>
      <c r="E247" t="s">
        <v>279</v>
      </c>
      <c r="F247" t="s">
        <v>288</v>
      </c>
      <c r="G247">
        <v>0</v>
      </c>
      <c r="H247" t="s">
        <v>445</v>
      </c>
    </row>
    <row r="248" spans="1:8" hidden="1" x14ac:dyDescent="0.25">
      <c r="A248" t="s">
        <v>507</v>
      </c>
      <c r="B248">
        <v>2.8600000000000001E-3</v>
      </c>
      <c r="C248" t="s">
        <v>850</v>
      </c>
      <c r="D248" t="s">
        <v>273</v>
      </c>
      <c r="E248" t="s">
        <v>310</v>
      </c>
      <c r="F248" t="s">
        <v>288</v>
      </c>
      <c r="G248">
        <v>0</v>
      </c>
      <c r="H248" t="s">
        <v>509</v>
      </c>
    </row>
    <row r="249" spans="1:8" hidden="1" x14ac:dyDescent="0.25">
      <c r="A249" t="s">
        <v>534</v>
      </c>
      <c r="B249">
        <v>2.5530000000000001E-2</v>
      </c>
      <c r="C249" t="s">
        <v>854</v>
      </c>
      <c r="D249" t="s">
        <v>305</v>
      </c>
      <c r="E249" t="s">
        <v>279</v>
      </c>
      <c r="F249" t="s">
        <v>288</v>
      </c>
      <c r="G249">
        <v>0</v>
      </c>
      <c r="H249" t="s">
        <v>453</v>
      </c>
    </row>
    <row r="250" spans="1:8" hidden="1" x14ac:dyDescent="0.25">
      <c r="A250" t="s">
        <v>448</v>
      </c>
      <c r="B250">
        <v>1.702E-2</v>
      </c>
      <c r="C250" t="s">
        <v>854</v>
      </c>
      <c r="D250" t="s">
        <v>305</v>
      </c>
      <c r="E250" t="s">
        <v>279</v>
      </c>
      <c r="F250" t="s">
        <v>288</v>
      </c>
      <c r="G250">
        <v>0</v>
      </c>
      <c r="H250" t="s">
        <v>449</v>
      </c>
    </row>
    <row r="251" spans="1:8" hidden="1" x14ac:dyDescent="0.25">
      <c r="A251" t="s">
        <v>535</v>
      </c>
      <c r="B251">
        <v>1.37729E-11</v>
      </c>
      <c r="C251" t="s">
        <v>854</v>
      </c>
      <c r="D251" t="s">
        <v>305</v>
      </c>
      <c r="E251" t="s">
        <v>278</v>
      </c>
      <c r="F251" t="s">
        <v>288</v>
      </c>
      <c r="G251">
        <v>0</v>
      </c>
      <c r="H251" t="s">
        <v>536</v>
      </c>
    </row>
    <row r="252" spans="1:8" hidden="1" x14ac:dyDescent="0.25"/>
    <row r="253" spans="1:8" ht="15.75" hidden="1" x14ac:dyDescent="0.25">
      <c r="A253" s="109" t="s">
        <v>265</v>
      </c>
      <c r="B253" s="109" t="s">
        <v>537</v>
      </c>
    </row>
    <row r="254" spans="1:8" hidden="1" x14ac:dyDescent="0.25">
      <c r="A254" t="s">
        <v>267</v>
      </c>
      <c r="B254" t="s">
        <v>268</v>
      </c>
    </row>
    <row r="255" spans="1:8" hidden="1" x14ac:dyDescent="0.25">
      <c r="A255" t="s">
        <v>269</v>
      </c>
      <c r="B255" t="s">
        <v>538</v>
      </c>
    </row>
    <row r="256" spans="1:8" hidden="1" x14ac:dyDescent="0.25">
      <c r="A256" t="s">
        <v>272</v>
      </c>
      <c r="B256" t="s">
        <v>384</v>
      </c>
    </row>
    <row r="257" spans="1:9" hidden="1" x14ac:dyDescent="0.25">
      <c r="A257" t="s">
        <v>274</v>
      </c>
      <c r="B257" t="s">
        <v>539</v>
      </c>
    </row>
    <row r="258" spans="1:9" hidden="1" x14ac:dyDescent="0.25">
      <c r="A258" t="s">
        <v>276</v>
      </c>
      <c r="B258" t="s">
        <v>277</v>
      </c>
    </row>
    <row r="259" spans="1:9" hidden="1" x14ac:dyDescent="0.25">
      <c r="A259" t="s">
        <v>278</v>
      </c>
      <c r="B259" t="s">
        <v>323</v>
      </c>
    </row>
    <row r="260" spans="1:9" hidden="1" x14ac:dyDescent="0.25">
      <c r="A260" t="s">
        <v>853</v>
      </c>
      <c r="B260" t="s">
        <v>850</v>
      </c>
    </row>
    <row r="261" spans="1:9" ht="15.75" hidden="1" x14ac:dyDescent="0.25">
      <c r="A261" s="109" t="s">
        <v>280</v>
      </c>
    </row>
    <row r="262" spans="1:9" hidden="1" x14ac:dyDescent="0.25">
      <c r="A262" t="s">
        <v>281</v>
      </c>
      <c r="B262" t="s">
        <v>282</v>
      </c>
      <c r="C262" t="s">
        <v>283</v>
      </c>
      <c r="D262" t="s">
        <v>272</v>
      </c>
      <c r="E262" t="s">
        <v>278</v>
      </c>
      <c r="F262" t="s">
        <v>276</v>
      </c>
      <c r="G262" t="s">
        <v>284</v>
      </c>
      <c r="H262" t="s">
        <v>271</v>
      </c>
      <c r="I262" t="s">
        <v>274</v>
      </c>
    </row>
    <row r="263" spans="1:9" hidden="1" x14ac:dyDescent="0.25">
      <c r="A263" t="s">
        <v>537</v>
      </c>
      <c r="B263">
        <v>1</v>
      </c>
      <c r="C263" t="s">
        <v>850</v>
      </c>
      <c r="D263" t="s">
        <v>384</v>
      </c>
      <c r="E263" t="s">
        <v>323</v>
      </c>
      <c r="F263" t="s">
        <v>286</v>
      </c>
      <c r="G263">
        <v>0</v>
      </c>
      <c r="I263" t="s">
        <v>539</v>
      </c>
    </row>
    <row r="264" spans="1:9" hidden="1" x14ac:dyDescent="0.25">
      <c r="A264" t="s">
        <v>225</v>
      </c>
      <c r="B264">
        <v>0.13450000000000001</v>
      </c>
      <c r="C264" t="s">
        <v>850</v>
      </c>
      <c r="D264" t="s">
        <v>305</v>
      </c>
      <c r="E264" t="s">
        <v>279</v>
      </c>
      <c r="F264" t="s">
        <v>288</v>
      </c>
      <c r="G264">
        <v>0</v>
      </c>
      <c r="H264" t="s">
        <v>540</v>
      </c>
      <c r="I264" t="s">
        <v>451</v>
      </c>
    </row>
    <row r="265" spans="1:9" hidden="1" x14ac:dyDescent="0.25">
      <c r="A265" t="s">
        <v>358</v>
      </c>
      <c r="B265">
        <v>2.2000000000000002</v>
      </c>
      <c r="C265" t="s">
        <v>850</v>
      </c>
      <c r="D265" t="s">
        <v>384</v>
      </c>
      <c r="E265" t="s">
        <v>279</v>
      </c>
      <c r="F265" t="s">
        <v>288</v>
      </c>
      <c r="G265">
        <v>0</v>
      </c>
      <c r="I265" t="s">
        <v>359</v>
      </c>
    </row>
    <row r="266" spans="1:9" hidden="1" x14ac:dyDescent="0.25"/>
    <row r="267" spans="1:9" ht="15.75" hidden="1" x14ac:dyDescent="0.25">
      <c r="A267" s="109" t="s">
        <v>265</v>
      </c>
      <c r="B267" s="109" t="s">
        <v>241</v>
      </c>
    </row>
    <row r="268" spans="1:9" hidden="1" x14ac:dyDescent="0.25">
      <c r="A268" t="s">
        <v>267</v>
      </c>
      <c r="B268" t="s">
        <v>268</v>
      </c>
    </row>
    <row r="269" spans="1:9" hidden="1" x14ac:dyDescent="0.25">
      <c r="A269" t="s">
        <v>269</v>
      </c>
      <c r="B269" t="s">
        <v>566</v>
      </c>
    </row>
    <row r="270" spans="1:9" hidden="1" x14ac:dyDescent="0.25">
      <c r="A270" t="s">
        <v>272</v>
      </c>
      <c r="B270" t="s">
        <v>273</v>
      </c>
    </row>
    <row r="271" spans="1:9" hidden="1" x14ac:dyDescent="0.25">
      <c r="A271" t="s">
        <v>274</v>
      </c>
      <c r="B271" t="s">
        <v>567</v>
      </c>
    </row>
    <row r="272" spans="1:9" hidden="1" x14ac:dyDescent="0.25">
      <c r="A272" t="s">
        <v>276</v>
      </c>
      <c r="B272" t="s">
        <v>277</v>
      </c>
    </row>
    <row r="273" spans="1:9" hidden="1" x14ac:dyDescent="0.25">
      <c r="A273" t="s">
        <v>278</v>
      </c>
      <c r="B273" t="s">
        <v>310</v>
      </c>
    </row>
    <row r="274" spans="1:9" hidden="1" x14ac:dyDescent="0.25">
      <c r="A274" t="s">
        <v>853</v>
      </c>
      <c r="B274" t="s">
        <v>850</v>
      </c>
    </row>
    <row r="275" spans="1:9" ht="15.75" hidden="1" x14ac:dyDescent="0.25">
      <c r="A275" s="109" t="s">
        <v>280</v>
      </c>
    </row>
    <row r="276" spans="1:9" hidden="1" x14ac:dyDescent="0.25">
      <c r="A276" t="s">
        <v>281</v>
      </c>
      <c r="B276" t="s">
        <v>282</v>
      </c>
      <c r="C276" t="s">
        <v>283</v>
      </c>
      <c r="D276" t="s">
        <v>272</v>
      </c>
      <c r="E276" t="s">
        <v>278</v>
      </c>
      <c r="F276" t="s">
        <v>311</v>
      </c>
      <c r="G276" t="s">
        <v>276</v>
      </c>
      <c r="H276" t="s">
        <v>284</v>
      </c>
      <c r="I276" t="s">
        <v>274</v>
      </c>
    </row>
    <row r="277" spans="1:9" hidden="1" x14ac:dyDescent="0.25">
      <c r="A277" t="s">
        <v>312</v>
      </c>
      <c r="B277">
        <v>1.66E-3</v>
      </c>
      <c r="C277" t="s">
        <v>313</v>
      </c>
      <c r="E277" t="s">
        <v>279</v>
      </c>
      <c r="F277" t="s">
        <v>314</v>
      </c>
      <c r="G277" t="s">
        <v>315</v>
      </c>
      <c r="H277">
        <v>0</v>
      </c>
    </row>
    <row r="278" spans="1:9" hidden="1" x14ac:dyDescent="0.25">
      <c r="A278" t="s">
        <v>316</v>
      </c>
      <c r="B278">
        <v>3.1699999999999999E-2</v>
      </c>
      <c r="C278" t="s">
        <v>313</v>
      </c>
      <c r="E278" t="s">
        <v>279</v>
      </c>
      <c r="F278" t="s">
        <v>314</v>
      </c>
      <c r="G278" t="s">
        <v>315</v>
      </c>
      <c r="H278">
        <v>0</v>
      </c>
    </row>
    <row r="279" spans="1:9" hidden="1" x14ac:dyDescent="0.25">
      <c r="A279" t="s">
        <v>317</v>
      </c>
      <c r="B279">
        <v>9.1400000000000006E-3</v>
      </c>
      <c r="C279" t="s">
        <v>313</v>
      </c>
      <c r="E279" t="s">
        <v>279</v>
      </c>
      <c r="F279" t="s">
        <v>314</v>
      </c>
      <c r="G279" t="s">
        <v>315</v>
      </c>
      <c r="H279">
        <v>0</v>
      </c>
    </row>
    <row r="280" spans="1:9" hidden="1" x14ac:dyDescent="0.25">
      <c r="A280" t="s">
        <v>317</v>
      </c>
      <c r="B280">
        <v>9.1400000000000006E-3</v>
      </c>
      <c r="C280" t="s">
        <v>313</v>
      </c>
      <c r="E280" t="s">
        <v>279</v>
      </c>
      <c r="F280" t="s">
        <v>314</v>
      </c>
      <c r="G280" t="s">
        <v>315</v>
      </c>
      <c r="H280">
        <v>0</v>
      </c>
    </row>
    <row r="281" spans="1:9" hidden="1" x14ac:dyDescent="0.25">
      <c r="A281" t="s">
        <v>241</v>
      </c>
      <c r="B281">
        <v>1</v>
      </c>
      <c r="C281" t="s">
        <v>850</v>
      </c>
      <c r="D281" t="s">
        <v>273</v>
      </c>
      <c r="E281" t="s">
        <v>310</v>
      </c>
      <c r="G281" t="s">
        <v>286</v>
      </c>
      <c r="H281">
        <v>0</v>
      </c>
      <c r="I281" t="s">
        <v>567</v>
      </c>
    </row>
    <row r="282" spans="1:9" hidden="1" x14ac:dyDescent="0.25">
      <c r="A282" t="s">
        <v>568</v>
      </c>
      <c r="B282">
        <v>0.23942208400000001</v>
      </c>
      <c r="C282" t="s">
        <v>850</v>
      </c>
      <c r="D282" t="s">
        <v>327</v>
      </c>
      <c r="E282" t="s">
        <v>279</v>
      </c>
      <c r="G282" t="s">
        <v>288</v>
      </c>
      <c r="H282">
        <v>0</v>
      </c>
      <c r="I282" t="s">
        <v>569</v>
      </c>
    </row>
    <row r="283" spans="1:9" hidden="1" x14ac:dyDescent="0.25">
      <c r="A283" t="s">
        <v>360</v>
      </c>
      <c r="B283">
        <v>1548.51</v>
      </c>
      <c r="C283" t="s">
        <v>850</v>
      </c>
      <c r="D283" t="s">
        <v>273</v>
      </c>
      <c r="E283" t="s">
        <v>279</v>
      </c>
      <c r="G283" t="s">
        <v>288</v>
      </c>
      <c r="H283">
        <v>0</v>
      </c>
      <c r="I283" t="s">
        <v>361</v>
      </c>
    </row>
    <row r="284" spans="1:9" hidden="1" x14ac:dyDescent="0.25">
      <c r="A284" t="s">
        <v>362</v>
      </c>
      <c r="B284">
        <v>426.58100000000002</v>
      </c>
      <c r="C284" t="s">
        <v>850</v>
      </c>
      <c r="D284" t="s">
        <v>273</v>
      </c>
      <c r="E284" t="s">
        <v>279</v>
      </c>
      <c r="G284" t="s">
        <v>288</v>
      </c>
      <c r="H284">
        <v>0</v>
      </c>
      <c r="I284" t="s">
        <v>363</v>
      </c>
    </row>
    <row r="285" spans="1:9" hidden="1" x14ac:dyDescent="0.25">
      <c r="A285" t="s">
        <v>570</v>
      </c>
      <c r="B285">
        <v>9.74</v>
      </c>
      <c r="C285" t="s">
        <v>854</v>
      </c>
      <c r="D285" t="s">
        <v>327</v>
      </c>
      <c r="E285" t="s">
        <v>279</v>
      </c>
      <c r="G285" t="s">
        <v>288</v>
      </c>
      <c r="H285">
        <v>0</v>
      </c>
      <c r="I285" t="s">
        <v>571</v>
      </c>
    </row>
    <row r="286" spans="1:9" hidden="1" x14ac:dyDescent="0.25">
      <c r="A286" t="s">
        <v>557</v>
      </c>
      <c r="B286">
        <v>0.94399999999999995</v>
      </c>
      <c r="C286" t="s">
        <v>854</v>
      </c>
      <c r="D286" t="s">
        <v>305</v>
      </c>
      <c r="E286" t="s">
        <v>278</v>
      </c>
      <c r="G286" t="s">
        <v>288</v>
      </c>
      <c r="H286">
        <v>0</v>
      </c>
      <c r="I286" t="s">
        <v>558</v>
      </c>
    </row>
    <row r="287" spans="1:9" hidden="1" x14ac:dyDescent="0.25">
      <c r="A287" t="s">
        <v>572</v>
      </c>
      <c r="B287">
        <v>0.03</v>
      </c>
      <c r="C287" t="s">
        <v>854</v>
      </c>
      <c r="D287" t="s">
        <v>293</v>
      </c>
      <c r="E287" t="s">
        <v>279</v>
      </c>
      <c r="G287" t="s">
        <v>288</v>
      </c>
      <c r="H287">
        <v>0</v>
      </c>
      <c r="I287" t="s">
        <v>573</v>
      </c>
    </row>
    <row r="288" spans="1:9" hidden="1" x14ac:dyDescent="0.25">
      <c r="A288" t="s">
        <v>574</v>
      </c>
      <c r="B288">
        <v>0.114</v>
      </c>
      <c r="C288" t="s">
        <v>854</v>
      </c>
      <c r="D288" t="s">
        <v>305</v>
      </c>
      <c r="E288" t="s">
        <v>279</v>
      </c>
      <c r="G288" t="s">
        <v>288</v>
      </c>
      <c r="H288">
        <v>0</v>
      </c>
      <c r="I288" t="s">
        <v>575</v>
      </c>
    </row>
    <row r="289" spans="1:9" hidden="1" x14ac:dyDescent="0.25">
      <c r="A289" t="s">
        <v>290</v>
      </c>
      <c r="B289">
        <v>190.84800000000001</v>
      </c>
      <c r="C289" t="s">
        <v>850</v>
      </c>
      <c r="D289" t="s">
        <v>273</v>
      </c>
      <c r="E289" t="s">
        <v>279</v>
      </c>
      <c r="G289" t="s">
        <v>288</v>
      </c>
      <c r="H289">
        <v>0</v>
      </c>
      <c r="I289" t="s">
        <v>291</v>
      </c>
    </row>
    <row r="290" spans="1:9" hidden="1" x14ac:dyDescent="0.25">
      <c r="A290" t="s">
        <v>576</v>
      </c>
      <c r="B290">
        <v>4.5699999999999998E-7</v>
      </c>
      <c r="C290" t="s">
        <v>854</v>
      </c>
      <c r="D290" t="s">
        <v>293</v>
      </c>
      <c r="E290" t="s">
        <v>278</v>
      </c>
      <c r="G290" t="s">
        <v>288</v>
      </c>
      <c r="H290">
        <v>0</v>
      </c>
      <c r="I290" t="s">
        <v>577</v>
      </c>
    </row>
    <row r="291" spans="1:9" hidden="1" x14ac:dyDescent="0.25">
      <c r="A291" t="s">
        <v>350</v>
      </c>
      <c r="B291">
        <v>103.2756</v>
      </c>
      <c r="C291" t="s">
        <v>854</v>
      </c>
      <c r="D291" t="s">
        <v>293</v>
      </c>
      <c r="E291" t="s">
        <v>319</v>
      </c>
      <c r="G291" t="s">
        <v>288</v>
      </c>
      <c r="H291">
        <v>0</v>
      </c>
      <c r="I291" t="s">
        <v>318</v>
      </c>
    </row>
    <row r="292" spans="1:9" hidden="1" x14ac:dyDescent="0.25">
      <c r="A292" t="s">
        <v>296</v>
      </c>
      <c r="B292">
        <v>33.119999999999997</v>
      </c>
      <c r="C292" t="s">
        <v>854</v>
      </c>
      <c r="D292" t="s">
        <v>273</v>
      </c>
      <c r="E292" t="s">
        <v>297</v>
      </c>
      <c r="G292" t="s">
        <v>288</v>
      </c>
      <c r="H292">
        <v>0</v>
      </c>
      <c r="I292" t="s">
        <v>298</v>
      </c>
    </row>
    <row r="293" spans="1:9" hidden="1" x14ac:dyDescent="0.25">
      <c r="A293" t="s">
        <v>422</v>
      </c>
      <c r="B293">
        <v>620.935294</v>
      </c>
      <c r="C293" t="s">
        <v>854</v>
      </c>
      <c r="D293" t="s">
        <v>305</v>
      </c>
      <c r="E293" t="s">
        <v>319</v>
      </c>
      <c r="G293" t="s">
        <v>288</v>
      </c>
      <c r="H293">
        <v>0</v>
      </c>
      <c r="I293" t="s">
        <v>423</v>
      </c>
    </row>
    <row r="294" spans="1:9" hidden="1" x14ac:dyDescent="0.25">
      <c r="A294" t="s">
        <v>559</v>
      </c>
      <c r="B294">
        <v>0.08</v>
      </c>
      <c r="C294" t="s">
        <v>854</v>
      </c>
      <c r="D294" t="s">
        <v>305</v>
      </c>
      <c r="E294" t="s">
        <v>279</v>
      </c>
      <c r="G294" t="s">
        <v>288</v>
      </c>
      <c r="H294">
        <v>0</v>
      </c>
      <c r="I294" t="s">
        <v>560</v>
      </c>
    </row>
    <row r="295" spans="1:9" hidden="1" x14ac:dyDescent="0.25">
      <c r="A295" t="s">
        <v>242</v>
      </c>
      <c r="B295">
        <v>8.0300000000000007E-3</v>
      </c>
      <c r="C295" t="s">
        <v>850</v>
      </c>
      <c r="D295" t="s">
        <v>273</v>
      </c>
      <c r="E295" t="s">
        <v>279</v>
      </c>
      <c r="G295" t="s">
        <v>288</v>
      </c>
      <c r="H295">
        <v>0</v>
      </c>
      <c r="I295" t="s">
        <v>578</v>
      </c>
    </row>
    <row r="296" spans="1:9" hidden="1" x14ac:dyDescent="0.25">
      <c r="A296" t="s">
        <v>304</v>
      </c>
      <c r="B296">
        <v>104.4</v>
      </c>
      <c r="C296" t="s">
        <v>854</v>
      </c>
      <c r="D296" t="s">
        <v>305</v>
      </c>
      <c r="E296" t="s">
        <v>279</v>
      </c>
      <c r="G296" t="s">
        <v>288</v>
      </c>
      <c r="H296">
        <v>0</v>
      </c>
      <c r="I296" t="s">
        <v>306</v>
      </c>
    </row>
    <row r="297" spans="1:9" hidden="1" x14ac:dyDescent="0.25">
      <c r="A297" t="s">
        <v>859</v>
      </c>
      <c r="B297">
        <v>0</v>
      </c>
      <c r="C297" t="s">
        <v>854</v>
      </c>
      <c r="D297" t="s">
        <v>305</v>
      </c>
      <c r="E297" t="s">
        <v>487</v>
      </c>
      <c r="G297" t="s">
        <v>288</v>
      </c>
      <c r="H297">
        <v>0</v>
      </c>
      <c r="I297" t="s">
        <v>860</v>
      </c>
    </row>
    <row r="298" spans="1:9" hidden="1" x14ac:dyDescent="0.25">
      <c r="A298" t="s">
        <v>861</v>
      </c>
      <c r="B298">
        <v>109.22</v>
      </c>
      <c r="C298" t="s">
        <v>854</v>
      </c>
      <c r="D298" t="s">
        <v>305</v>
      </c>
      <c r="E298" t="s">
        <v>487</v>
      </c>
      <c r="G298" t="s">
        <v>288</v>
      </c>
      <c r="H298">
        <v>0</v>
      </c>
      <c r="I298" t="s">
        <v>858</v>
      </c>
    </row>
    <row r="299" spans="1:9" hidden="1" x14ac:dyDescent="0.25">
      <c r="A299" t="s">
        <v>862</v>
      </c>
      <c r="B299">
        <v>0</v>
      </c>
      <c r="C299" t="s">
        <v>854</v>
      </c>
      <c r="D299" t="s">
        <v>327</v>
      </c>
      <c r="E299" t="s">
        <v>487</v>
      </c>
      <c r="G299" t="s">
        <v>288</v>
      </c>
      <c r="H299">
        <v>0</v>
      </c>
      <c r="I299" t="s">
        <v>863</v>
      </c>
    </row>
    <row r="300" spans="1:9" hidden="1" x14ac:dyDescent="0.25">
      <c r="A300" t="s">
        <v>579</v>
      </c>
      <c r="B300">
        <v>0.875</v>
      </c>
      <c r="C300" t="s">
        <v>854</v>
      </c>
      <c r="D300" t="s">
        <v>305</v>
      </c>
      <c r="E300" t="s">
        <v>279</v>
      </c>
      <c r="G300" t="s">
        <v>288</v>
      </c>
      <c r="H300">
        <v>0</v>
      </c>
      <c r="I300" t="s">
        <v>561</v>
      </c>
    </row>
    <row r="301" spans="1:9" hidden="1" x14ac:dyDescent="0.25">
      <c r="A301" t="s">
        <v>579</v>
      </c>
      <c r="B301">
        <v>0.11</v>
      </c>
      <c r="C301" t="s">
        <v>854</v>
      </c>
      <c r="D301" t="s">
        <v>305</v>
      </c>
      <c r="E301" t="s">
        <v>279</v>
      </c>
      <c r="G301" t="s">
        <v>288</v>
      </c>
      <c r="H301">
        <v>0</v>
      </c>
      <c r="I301" t="s">
        <v>561</v>
      </c>
    </row>
    <row r="302" spans="1:9" hidden="1" x14ac:dyDescent="0.25">
      <c r="A302" t="s">
        <v>857</v>
      </c>
      <c r="B302">
        <v>0.23200000000000001</v>
      </c>
      <c r="C302" t="s">
        <v>854</v>
      </c>
      <c r="D302" t="s">
        <v>327</v>
      </c>
      <c r="E302" t="s">
        <v>279</v>
      </c>
      <c r="G302" t="s">
        <v>288</v>
      </c>
      <c r="H302">
        <v>0</v>
      </c>
      <c r="I302" t="s">
        <v>405</v>
      </c>
    </row>
    <row r="303" spans="1:9" hidden="1" x14ac:dyDescent="0.25">
      <c r="A303" t="s">
        <v>864</v>
      </c>
      <c r="B303">
        <v>0</v>
      </c>
      <c r="C303" t="s">
        <v>854</v>
      </c>
      <c r="D303" t="s">
        <v>293</v>
      </c>
      <c r="E303" t="s">
        <v>487</v>
      </c>
      <c r="G303" t="s">
        <v>288</v>
      </c>
      <c r="H303">
        <v>0</v>
      </c>
      <c r="I303" t="s">
        <v>864</v>
      </c>
    </row>
    <row r="304" spans="1:9" hidden="1" x14ac:dyDescent="0.25">
      <c r="A304" t="s">
        <v>580</v>
      </c>
      <c r="B304">
        <v>-0.31</v>
      </c>
      <c r="C304" t="s">
        <v>854</v>
      </c>
      <c r="D304" t="s">
        <v>305</v>
      </c>
      <c r="E304" t="s">
        <v>279</v>
      </c>
      <c r="G304" t="s">
        <v>288</v>
      </c>
      <c r="H304">
        <v>0</v>
      </c>
      <c r="I304" t="s">
        <v>385</v>
      </c>
    </row>
    <row r="305" spans="1:9" hidden="1" x14ac:dyDescent="0.25"/>
    <row r="306" spans="1:9" ht="15.75" hidden="1" x14ac:dyDescent="0.25">
      <c r="A306" s="109" t="s">
        <v>265</v>
      </c>
      <c r="B306" s="109" t="s">
        <v>598</v>
      </c>
    </row>
    <row r="307" spans="1:9" hidden="1" x14ac:dyDescent="0.25">
      <c r="A307" t="s">
        <v>267</v>
      </c>
      <c r="B307" t="s">
        <v>268</v>
      </c>
    </row>
    <row r="308" spans="1:9" hidden="1" x14ac:dyDescent="0.25">
      <c r="A308" t="s">
        <v>269</v>
      </c>
      <c r="B308" t="s">
        <v>599</v>
      </c>
    </row>
    <row r="309" spans="1:9" hidden="1" x14ac:dyDescent="0.25">
      <c r="A309" t="s">
        <v>272</v>
      </c>
      <c r="B309" t="s">
        <v>371</v>
      </c>
    </row>
    <row r="310" spans="1:9" hidden="1" x14ac:dyDescent="0.25">
      <c r="A310" t="s">
        <v>274</v>
      </c>
      <c r="B310" t="s">
        <v>600</v>
      </c>
    </row>
    <row r="311" spans="1:9" hidden="1" x14ac:dyDescent="0.25">
      <c r="A311" t="s">
        <v>276</v>
      </c>
      <c r="B311" t="s">
        <v>277</v>
      </c>
    </row>
    <row r="312" spans="1:9" hidden="1" x14ac:dyDescent="0.25">
      <c r="A312" t="s">
        <v>278</v>
      </c>
      <c r="B312" t="s">
        <v>279</v>
      </c>
    </row>
    <row r="313" spans="1:9" hidden="1" x14ac:dyDescent="0.25">
      <c r="A313" t="s">
        <v>853</v>
      </c>
      <c r="B313" t="s">
        <v>850</v>
      </c>
    </row>
    <row r="314" spans="1:9" ht="15.75" hidden="1" x14ac:dyDescent="0.25">
      <c r="A314" s="109" t="s">
        <v>280</v>
      </c>
    </row>
    <row r="315" spans="1:9" hidden="1" x14ac:dyDescent="0.25">
      <c r="A315" t="s">
        <v>281</v>
      </c>
      <c r="B315" t="s">
        <v>282</v>
      </c>
      <c r="C315" t="s">
        <v>283</v>
      </c>
      <c r="D315" t="s">
        <v>272</v>
      </c>
      <c r="E315" t="s">
        <v>278</v>
      </c>
      <c r="F315" t="s">
        <v>311</v>
      </c>
      <c r="G315" t="s">
        <v>276</v>
      </c>
      <c r="H315" t="s">
        <v>284</v>
      </c>
      <c r="I315" t="s">
        <v>274</v>
      </c>
    </row>
    <row r="316" spans="1:9" hidden="1" x14ac:dyDescent="0.25">
      <c r="A316" t="s">
        <v>375</v>
      </c>
      <c r="B316">
        <v>0.29299999999999998</v>
      </c>
      <c r="C316" t="s">
        <v>313</v>
      </c>
      <c r="E316" t="s">
        <v>279</v>
      </c>
      <c r="F316" t="s">
        <v>314</v>
      </c>
      <c r="G316" t="s">
        <v>315</v>
      </c>
      <c r="H316">
        <v>0</v>
      </c>
    </row>
    <row r="317" spans="1:9" hidden="1" x14ac:dyDescent="0.25">
      <c r="A317" t="s">
        <v>375</v>
      </c>
      <c r="B317">
        <v>0.29299999999999998</v>
      </c>
      <c r="C317" t="s">
        <v>313</v>
      </c>
      <c r="E317" t="s">
        <v>279</v>
      </c>
      <c r="F317" t="s">
        <v>314</v>
      </c>
      <c r="G317" t="s">
        <v>315</v>
      </c>
      <c r="H317">
        <v>0</v>
      </c>
    </row>
    <row r="318" spans="1:9" hidden="1" x14ac:dyDescent="0.25">
      <c r="A318" t="s">
        <v>376</v>
      </c>
      <c r="B318">
        <v>1.16E-3</v>
      </c>
      <c r="C318" t="s">
        <v>313</v>
      </c>
      <c r="E318" t="s">
        <v>279</v>
      </c>
      <c r="F318" t="s">
        <v>314</v>
      </c>
      <c r="G318" t="s">
        <v>315</v>
      </c>
      <c r="H318">
        <v>0</v>
      </c>
    </row>
    <row r="319" spans="1:9" hidden="1" x14ac:dyDescent="0.25">
      <c r="A319" t="s">
        <v>378</v>
      </c>
      <c r="B319">
        <v>4.6E-5</v>
      </c>
      <c r="C319" t="s">
        <v>313</v>
      </c>
      <c r="E319" t="s">
        <v>279</v>
      </c>
      <c r="F319" t="s">
        <v>314</v>
      </c>
      <c r="G319" t="s">
        <v>315</v>
      </c>
      <c r="H319">
        <v>0</v>
      </c>
    </row>
    <row r="320" spans="1:9" hidden="1" x14ac:dyDescent="0.25">
      <c r="A320" t="s">
        <v>316</v>
      </c>
      <c r="B320">
        <v>1.77E-5</v>
      </c>
      <c r="C320" t="s">
        <v>313</v>
      </c>
      <c r="E320" t="s">
        <v>279</v>
      </c>
      <c r="F320" t="s">
        <v>314</v>
      </c>
      <c r="G320" t="s">
        <v>315</v>
      </c>
      <c r="H320">
        <v>0</v>
      </c>
    </row>
    <row r="321" spans="1:9" hidden="1" x14ac:dyDescent="0.25">
      <c r="A321" t="s">
        <v>379</v>
      </c>
      <c r="B321">
        <v>6.0999999999999999E-5</v>
      </c>
      <c r="C321" t="s">
        <v>313</v>
      </c>
      <c r="E321" t="s">
        <v>279</v>
      </c>
      <c r="F321" t="s">
        <v>314</v>
      </c>
      <c r="G321" t="s">
        <v>315</v>
      </c>
      <c r="H321">
        <v>0</v>
      </c>
    </row>
    <row r="322" spans="1:9" hidden="1" x14ac:dyDescent="0.25">
      <c r="A322" t="s">
        <v>598</v>
      </c>
      <c r="B322">
        <v>1</v>
      </c>
      <c r="C322" t="s">
        <v>850</v>
      </c>
      <c r="D322" t="s">
        <v>371</v>
      </c>
      <c r="E322" t="s">
        <v>279</v>
      </c>
      <c r="G322" t="s">
        <v>286</v>
      </c>
      <c r="H322">
        <v>0</v>
      </c>
      <c r="I322" t="s">
        <v>600</v>
      </c>
    </row>
    <row r="323" spans="1:9" hidden="1" x14ac:dyDescent="0.25">
      <c r="A323" t="s">
        <v>601</v>
      </c>
      <c r="B323">
        <v>1.4</v>
      </c>
      <c r="C323" t="s">
        <v>854</v>
      </c>
      <c r="D323" t="s">
        <v>371</v>
      </c>
      <c r="E323" t="s">
        <v>279</v>
      </c>
      <c r="G323" t="s">
        <v>288</v>
      </c>
      <c r="H323">
        <v>0</v>
      </c>
      <c r="I323" t="s">
        <v>602</v>
      </c>
    </row>
    <row r="324" spans="1:9" hidden="1" x14ac:dyDescent="0.25">
      <c r="A324" t="s">
        <v>296</v>
      </c>
      <c r="B324">
        <v>0.107</v>
      </c>
      <c r="C324" t="s">
        <v>854</v>
      </c>
      <c r="D324" t="s">
        <v>371</v>
      </c>
      <c r="E324" t="s">
        <v>297</v>
      </c>
      <c r="G324" t="s">
        <v>288</v>
      </c>
      <c r="H324">
        <v>0</v>
      </c>
      <c r="I324" t="s">
        <v>298</v>
      </c>
    </row>
    <row r="325" spans="1:9" hidden="1" x14ac:dyDescent="0.25">
      <c r="A325" t="s">
        <v>386</v>
      </c>
      <c r="B325">
        <v>0.26</v>
      </c>
      <c r="C325" t="s">
        <v>854</v>
      </c>
      <c r="D325" t="s">
        <v>356</v>
      </c>
      <c r="E325" t="s">
        <v>310</v>
      </c>
      <c r="G325" t="s">
        <v>288</v>
      </c>
      <c r="H325">
        <v>0</v>
      </c>
      <c r="I325" t="s">
        <v>387</v>
      </c>
    </row>
    <row r="326" spans="1:9" hidden="1" x14ac:dyDescent="0.25">
      <c r="A326" t="s">
        <v>388</v>
      </c>
      <c r="B326">
        <v>2.1999999999999999E-2</v>
      </c>
      <c r="C326" t="s">
        <v>854</v>
      </c>
      <c r="D326" t="s">
        <v>384</v>
      </c>
      <c r="E326" t="s">
        <v>279</v>
      </c>
      <c r="G326" t="s">
        <v>288</v>
      </c>
      <c r="H326">
        <v>0</v>
      </c>
      <c r="I326" t="s">
        <v>389</v>
      </c>
    </row>
    <row r="327" spans="1:9" hidden="1" x14ac:dyDescent="0.25">
      <c r="A327" t="s">
        <v>304</v>
      </c>
      <c r="B327">
        <v>1.4E-3</v>
      </c>
      <c r="C327" t="s">
        <v>854</v>
      </c>
      <c r="D327" t="s">
        <v>371</v>
      </c>
      <c r="E327" t="s">
        <v>279</v>
      </c>
      <c r="G327" t="s">
        <v>288</v>
      </c>
      <c r="H327">
        <v>0</v>
      </c>
      <c r="I327" t="s">
        <v>306</v>
      </c>
    </row>
    <row r="328" spans="1:9" hidden="1" x14ac:dyDescent="0.25">
      <c r="A328" t="s">
        <v>424</v>
      </c>
      <c r="B328">
        <v>-3.7500000000000001E-4</v>
      </c>
      <c r="C328" t="s">
        <v>854</v>
      </c>
      <c r="D328" t="s">
        <v>371</v>
      </c>
      <c r="E328" t="s">
        <v>310</v>
      </c>
      <c r="G328" t="s">
        <v>288</v>
      </c>
      <c r="H328">
        <v>0</v>
      </c>
      <c r="I328" t="s">
        <v>425</v>
      </c>
    </row>
    <row r="329" spans="1:9" hidden="1" x14ac:dyDescent="0.25">
      <c r="A329" t="s">
        <v>603</v>
      </c>
      <c r="B329">
        <v>5.0000000000000001E-4</v>
      </c>
      <c r="C329" t="s">
        <v>854</v>
      </c>
      <c r="D329" t="s">
        <v>371</v>
      </c>
      <c r="E329" t="s">
        <v>279</v>
      </c>
      <c r="G329" t="s">
        <v>288</v>
      </c>
      <c r="H329">
        <v>0</v>
      </c>
      <c r="I329" t="s">
        <v>390</v>
      </c>
    </row>
    <row r="330" spans="1:9" hidden="1" x14ac:dyDescent="0.25">
      <c r="A330" t="s">
        <v>580</v>
      </c>
      <c r="B330">
        <v>-5.6250000000000001E-2</v>
      </c>
      <c r="C330" t="s">
        <v>854</v>
      </c>
      <c r="D330" t="s">
        <v>305</v>
      </c>
      <c r="E330" t="s">
        <v>279</v>
      </c>
      <c r="G330" t="s">
        <v>288</v>
      </c>
      <c r="H330">
        <v>0</v>
      </c>
      <c r="I330" t="s">
        <v>385</v>
      </c>
    </row>
    <row r="331" spans="1:9" hidden="1" x14ac:dyDescent="0.25"/>
    <row r="332" spans="1:9" ht="15.75" hidden="1" x14ac:dyDescent="0.25">
      <c r="A332" s="109" t="s">
        <v>265</v>
      </c>
      <c r="B332" s="109" t="s">
        <v>221</v>
      </c>
    </row>
    <row r="333" spans="1:9" hidden="1" x14ac:dyDescent="0.25">
      <c r="A333" t="s">
        <v>267</v>
      </c>
      <c r="B333" t="s">
        <v>268</v>
      </c>
    </row>
    <row r="334" spans="1:9" hidden="1" x14ac:dyDescent="0.25">
      <c r="A334" t="s">
        <v>269</v>
      </c>
      <c r="B334" t="s">
        <v>607</v>
      </c>
    </row>
    <row r="335" spans="1:9" hidden="1" x14ac:dyDescent="0.25">
      <c r="A335" t="s">
        <v>272</v>
      </c>
      <c r="B335" t="s">
        <v>273</v>
      </c>
    </row>
    <row r="336" spans="1:9" hidden="1" x14ac:dyDescent="0.25">
      <c r="A336" t="s">
        <v>274</v>
      </c>
      <c r="B336" t="s">
        <v>221</v>
      </c>
    </row>
    <row r="337" spans="1:8" hidden="1" x14ac:dyDescent="0.25">
      <c r="A337" t="s">
        <v>276</v>
      </c>
      <c r="B337" t="s">
        <v>277</v>
      </c>
    </row>
    <row r="338" spans="1:8" hidden="1" x14ac:dyDescent="0.25">
      <c r="A338" t="s">
        <v>278</v>
      </c>
      <c r="B338" t="s">
        <v>279</v>
      </c>
    </row>
    <row r="339" spans="1:8" hidden="1" x14ac:dyDescent="0.25">
      <c r="A339" t="s">
        <v>853</v>
      </c>
      <c r="B339" t="s">
        <v>850</v>
      </c>
    </row>
    <row r="340" spans="1:8" ht="15.75" hidden="1" x14ac:dyDescent="0.25">
      <c r="A340" s="109" t="s">
        <v>280</v>
      </c>
    </row>
    <row r="341" spans="1:8" hidden="1" x14ac:dyDescent="0.25">
      <c r="A341" t="s">
        <v>281</v>
      </c>
      <c r="B341" t="s">
        <v>282</v>
      </c>
      <c r="C341" t="s">
        <v>283</v>
      </c>
      <c r="D341" t="s">
        <v>272</v>
      </c>
      <c r="E341" t="s">
        <v>278</v>
      </c>
      <c r="F341" t="s">
        <v>276</v>
      </c>
      <c r="G341" t="s">
        <v>284</v>
      </c>
      <c r="H341" t="s">
        <v>274</v>
      </c>
    </row>
    <row r="342" spans="1:8" hidden="1" x14ac:dyDescent="0.25">
      <c r="A342" t="s">
        <v>221</v>
      </c>
      <c r="B342">
        <v>1</v>
      </c>
      <c r="C342" t="s">
        <v>850</v>
      </c>
      <c r="D342" t="s">
        <v>273</v>
      </c>
      <c r="E342" t="s">
        <v>279</v>
      </c>
      <c r="F342" t="s">
        <v>286</v>
      </c>
      <c r="G342">
        <v>0</v>
      </c>
      <c r="H342" t="s">
        <v>221</v>
      </c>
    </row>
    <row r="343" spans="1:8" hidden="1" x14ac:dyDescent="0.25">
      <c r="A343" t="s">
        <v>562</v>
      </c>
      <c r="B343">
        <v>1.04</v>
      </c>
      <c r="C343" t="s">
        <v>854</v>
      </c>
      <c r="D343" t="s">
        <v>305</v>
      </c>
      <c r="E343" t="s">
        <v>279</v>
      </c>
      <c r="F343" t="s">
        <v>288</v>
      </c>
      <c r="G343">
        <v>0</v>
      </c>
      <c r="H343" t="s">
        <v>563</v>
      </c>
    </row>
    <row r="344" spans="1:8" hidden="1" x14ac:dyDescent="0.25">
      <c r="A344" t="s">
        <v>608</v>
      </c>
      <c r="B344">
        <v>1</v>
      </c>
      <c r="C344" t="s">
        <v>850</v>
      </c>
      <c r="D344" t="s">
        <v>273</v>
      </c>
      <c r="E344" t="s">
        <v>279</v>
      </c>
      <c r="F344" t="s">
        <v>288</v>
      </c>
      <c r="G344">
        <v>0</v>
      </c>
      <c r="H344" t="s">
        <v>608</v>
      </c>
    </row>
    <row r="345" spans="1:8" hidden="1" x14ac:dyDescent="0.25"/>
    <row r="346" spans="1:8" ht="15.75" hidden="1" x14ac:dyDescent="0.25">
      <c r="A346" s="109" t="s">
        <v>265</v>
      </c>
      <c r="B346" s="109" t="s">
        <v>616</v>
      </c>
    </row>
    <row r="347" spans="1:8" hidden="1" x14ac:dyDescent="0.25">
      <c r="A347" t="s">
        <v>267</v>
      </c>
      <c r="B347" t="s">
        <v>268</v>
      </c>
    </row>
    <row r="348" spans="1:8" hidden="1" x14ac:dyDescent="0.25">
      <c r="A348" t="s">
        <v>269</v>
      </c>
      <c r="B348" t="s">
        <v>617</v>
      </c>
    </row>
    <row r="349" spans="1:8" hidden="1" x14ac:dyDescent="0.25">
      <c r="A349" t="s">
        <v>272</v>
      </c>
      <c r="B349" t="s">
        <v>356</v>
      </c>
    </row>
    <row r="350" spans="1:8" hidden="1" x14ac:dyDescent="0.25">
      <c r="A350" t="s">
        <v>274</v>
      </c>
      <c r="B350" t="s">
        <v>618</v>
      </c>
    </row>
    <row r="351" spans="1:8" hidden="1" x14ac:dyDescent="0.25">
      <c r="A351" t="s">
        <v>276</v>
      </c>
      <c r="B351" t="s">
        <v>277</v>
      </c>
    </row>
    <row r="352" spans="1:8" hidden="1" x14ac:dyDescent="0.25">
      <c r="A352" t="s">
        <v>278</v>
      </c>
      <c r="B352" t="s">
        <v>279</v>
      </c>
    </row>
    <row r="353" spans="1:8" hidden="1" x14ac:dyDescent="0.25">
      <c r="A353" t="s">
        <v>853</v>
      </c>
      <c r="B353" t="s">
        <v>850</v>
      </c>
    </row>
    <row r="354" spans="1:8" ht="15.75" hidden="1" x14ac:dyDescent="0.25">
      <c r="A354" s="109" t="s">
        <v>280</v>
      </c>
    </row>
    <row r="355" spans="1:8" hidden="1" x14ac:dyDescent="0.25">
      <c r="A355" t="s">
        <v>281</v>
      </c>
      <c r="B355" t="s">
        <v>282</v>
      </c>
      <c r="C355" t="s">
        <v>283</v>
      </c>
      <c r="D355" t="s">
        <v>272</v>
      </c>
      <c r="E355" t="s">
        <v>278</v>
      </c>
      <c r="F355" t="s">
        <v>276</v>
      </c>
      <c r="G355" t="s">
        <v>284</v>
      </c>
      <c r="H355" t="s">
        <v>274</v>
      </c>
    </row>
    <row r="356" spans="1:8" hidden="1" x14ac:dyDescent="0.25">
      <c r="A356" t="s">
        <v>616</v>
      </c>
      <c r="B356">
        <v>1</v>
      </c>
      <c r="C356" t="s">
        <v>850</v>
      </c>
      <c r="D356" t="s">
        <v>356</v>
      </c>
      <c r="E356" t="s">
        <v>279</v>
      </c>
      <c r="F356" t="s">
        <v>286</v>
      </c>
      <c r="G356">
        <v>0</v>
      </c>
      <c r="H356" t="s">
        <v>618</v>
      </c>
    </row>
    <row r="357" spans="1:8" hidden="1" x14ac:dyDescent="0.25">
      <c r="A357" t="s">
        <v>355</v>
      </c>
      <c r="B357">
        <v>0.7</v>
      </c>
      <c r="C357" t="s">
        <v>850</v>
      </c>
      <c r="D357" t="s">
        <v>356</v>
      </c>
      <c r="E357" t="s">
        <v>279</v>
      </c>
      <c r="F357" t="s">
        <v>288</v>
      </c>
      <c r="G357">
        <v>0</v>
      </c>
      <c r="H357" t="s">
        <v>357</v>
      </c>
    </row>
    <row r="358" spans="1:8" hidden="1" x14ac:dyDescent="0.25">
      <c r="A358" t="s">
        <v>227</v>
      </c>
      <c r="B358">
        <v>0.3</v>
      </c>
      <c r="C358" t="s">
        <v>854</v>
      </c>
      <c r="D358" t="s">
        <v>293</v>
      </c>
      <c r="E358" t="s">
        <v>279</v>
      </c>
      <c r="F358" t="s">
        <v>288</v>
      </c>
      <c r="G358">
        <v>0</v>
      </c>
      <c r="H358" t="s">
        <v>359</v>
      </c>
    </row>
    <row r="359" spans="1:8" hidden="1" x14ac:dyDescent="0.25"/>
    <row r="360" spans="1:8" ht="15.75" hidden="1" x14ac:dyDescent="0.25">
      <c r="A360" s="109" t="s">
        <v>265</v>
      </c>
      <c r="B360" s="109" t="s">
        <v>245</v>
      </c>
    </row>
    <row r="361" spans="1:8" hidden="1" x14ac:dyDescent="0.25">
      <c r="A361" t="s">
        <v>267</v>
      </c>
      <c r="B361" t="s">
        <v>268</v>
      </c>
    </row>
    <row r="362" spans="1:8" hidden="1" x14ac:dyDescent="0.25">
      <c r="A362" t="s">
        <v>269</v>
      </c>
      <c r="B362" t="s">
        <v>629</v>
      </c>
    </row>
    <row r="363" spans="1:8" hidden="1" x14ac:dyDescent="0.25">
      <c r="A363" t="s">
        <v>272</v>
      </c>
      <c r="B363" t="s">
        <v>273</v>
      </c>
    </row>
    <row r="364" spans="1:8" hidden="1" x14ac:dyDescent="0.25">
      <c r="A364" t="s">
        <v>274</v>
      </c>
      <c r="B364" t="s">
        <v>630</v>
      </c>
    </row>
    <row r="365" spans="1:8" hidden="1" x14ac:dyDescent="0.25">
      <c r="A365" t="s">
        <v>276</v>
      </c>
      <c r="B365" t="s">
        <v>277</v>
      </c>
    </row>
    <row r="366" spans="1:8" hidden="1" x14ac:dyDescent="0.25">
      <c r="A366" t="s">
        <v>278</v>
      </c>
      <c r="B366" t="s">
        <v>279</v>
      </c>
    </row>
    <row r="367" spans="1:8" hidden="1" x14ac:dyDescent="0.25">
      <c r="A367" t="s">
        <v>853</v>
      </c>
      <c r="B367" t="s">
        <v>850</v>
      </c>
    </row>
    <row r="368" spans="1:8" ht="15.75" hidden="1" x14ac:dyDescent="0.25">
      <c r="A368" s="109" t="s">
        <v>280</v>
      </c>
    </row>
    <row r="369" spans="1:8" hidden="1" x14ac:dyDescent="0.25">
      <c r="A369" t="s">
        <v>281</v>
      </c>
      <c r="B369" t="s">
        <v>282</v>
      </c>
      <c r="C369" t="s">
        <v>283</v>
      </c>
      <c r="D369" t="s">
        <v>272</v>
      </c>
      <c r="E369" t="s">
        <v>278</v>
      </c>
      <c r="F369" t="s">
        <v>276</v>
      </c>
      <c r="G369" t="s">
        <v>284</v>
      </c>
      <c r="H369" t="s">
        <v>274</v>
      </c>
    </row>
    <row r="370" spans="1:8" hidden="1" x14ac:dyDescent="0.25">
      <c r="A370" t="s">
        <v>245</v>
      </c>
      <c r="B370">
        <v>1</v>
      </c>
      <c r="C370" t="s">
        <v>850</v>
      </c>
      <c r="D370" t="s">
        <v>273</v>
      </c>
      <c r="E370" t="s">
        <v>279</v>
      </c>
      <c r="F370" t="s">
        <v>286</v>
      </c>
      <c r="G370">
        <v>0</v>
      </c>
      <c r="H370" t="s">
        <v>630</v>
      </c>
    </row>
    <row r="371" spans="1:8" hidden="1" x14ac:dyDescent="0.25">
      <c r="A371" t="s">
        <v>360</v>
      </c>
      <c r="B371">
        <v>0.8</v>
      </c>
      <c r="C371" t="s">
        <v>850</v>
      </c>
      <c r="D371" t="s">
        <v>273</v>
      </c>
      <c r="E371" t="s">
        <v>279</v>
      </c>
      <c r="F371" t="s">
        <v>288</v>
      </c>
      <c r="G371">
        <v>0</v>
      </c>
      <c r="H371" t="s">
        <v>361</v>
      </c>
    </row>
    <row r="372" spans="1:8" hidden="1" x14ac:dyDescent="0.25">
      <c r="A372" t="s">
        <v>631</v>
      </c>
      <c r="B372">
        <v>6.6699999999999997E-6</v>
      </c>
      <c r="C372" t="s">
        <v>854</v>
      </c>
      <c r="D372" t="s">
        <v>305</v>
      </c>
      <c r="E372" t="s">
        <v>279</v>
      </c>
      <c r="F372" t="s">
        <v>288</v>
      </c>
      <c r="G372">
        <v>0</v>
      </c>
      <c r="H372" t="s">
        <v>301</v>
      </c>
    </row>
    <row r="373" spans="1:8" hidden="1" x14ac:dyDescent="0.25">
      <c r="A373" t="s">
        <v>290</v>
      </c>
      <c r="B373">
        <v>0.2</v>
      </c>
      <c r="C373" t="s">
        <v>850</v>
      </c>
      <c r="D373" t="s">
        <v>273</v>
      </c>
      <c r="E373" t="s">
        <v>279</v>
      </c>
      <c r="F373" t="s">
        <v>288</v>
      </c>
      <c r="G373">
        <v>0</v>
      </c>
      <c r="H373" t="s">
        <v>291</v>
      </c>
    </row>
    <row r="374" spans="1:8" hidden="1" x14ac:dyDescent="0.25">
      <c r="A374" t="s">
        <v>292</v>
      </c>
      <c r="B374">
        <v>3.33E-8</v>
      </c>
      <c r="C374" t="s">
        <v>854</v>
      </c>
      <c r="D374" t="s">
        <v>293</v>
      </c>
      <c r="E374" t="s">
        <v>294</v>
      </c>
      <c r="F374" t="s">
        <v>288</v>
      </c>
      <c r="G374">
        <v>0</v>
      </c>
      <c r="H374" t="s">
        <v>295</v>
      </c>
    </row>
    <row r="375" spans="1:8" hidden="1" x14ac:dyDescent="0.25">
      <c r="A375" t="s">
        <v>296</v>
      </c>
      <c r="B375">
        <v>2.7799999999999998E-2</v>
      </c>
      <c r="C375" t="s">
        <v>854</v>
      </c>
      <c r="D375" t="s">
        <v>273</v>
      </c>
      <c r="E375" t="s">
        <v>297</v>
      </c>
      <c r="F375" t="s">
        <v>288</v>
      </c>
      <c r="G375">
        <v>0</v>
      </c>
      <c r="H375" t="s">
        <v>298</v>
      </c>
    </row>
    <row r="376" spans="1:8" hidden="1" x14ac:dyDescent="0.25">
      <c r="A376" t="s">
        <v>304</v>
      </c>
      <c r="B376">
        <v>0.15</v>
      </c>
      <c r="C376" t="s">
        <v>850</v>
      </c>
      <c r="D376" t="s">
        <v>273</v>
      </c>
      <c r="E376" t="s">
        <v>279</v>
      </c>
      <c r="F376" t="s">
        <v>288</v>
      </c>
      <c r="G376">
        <v>0</v>
      </c>
      <c r="H376" t="s">
        <v>306</v>
      </c>
    </row>
    <row r="377" spans="1:8" hidden="1" x14ac:dyDescent="0.25">
      <c r="A377" t="s">
        <v>307</v>
      </c>
      <c r="B377">
        <v>1</v>
      </c>
      <c r="C377" t="s">
        <v>854</v>
      </c>
      <c r="D377" t="s">
        <v>305</v>
      </c>
      <c r="E377" t="s">
        <v>279</v>
      </c>
      <c r="F377" t="s">
        <v>288</v>
      </c>
      <c r="G377">
        <v>0</v>
      </c>
      <c r="H377" t="s">
        <v>307</v>
      </c>
    </row>
    <row r="378" spans="1:8" hidden="1" x14ac:dyDescent="0.25"/>
    <row r="379" spans="1:8" ht="15.75" hidden="1" x14ac:dyDescent="0.25">
      <c r="A379" s="109" t="s">
        <v>265</v>
      </c>
      <c r="B379" s="109" t="s">
        <v>641</v>
      </c>
    </row>
    <row r="380" spans="1:8" hidden="1" x14ac:dyDescent="0.25">
      <c r="A380" t="s">
        <v>267</v>
      </c>
      <c r="B380" t="s">
        <v>268</v>
      </c>
    </row>
    <row r="381" spans="1:8" hidden="1" x14ac:dyDescent="0.25">
      <c r="A381" t="s">
        <v>269</v>
      </c>
      <c r="B381" t="s">
        <v>642</v>
      </c>
    </row>
    <row r="382" spans="1:8" hidden="1" x14ac:dyDescent="0.25">
      <c r="A382" t="s">
        <v>272</v>
      </c>
      <c r="B382" t="s">
        <v>273</v>
      </c>
    </row>
    <row r="383" spans="1:8" hidden="1" x14ac:dyDescent="0.25">
      <c r="A383" t="s">
        <v>274</v>
      </c>
      <c r="B383" t="s">
        <v>643</v>
      </c>
    </row>
    <row r="384" spans="1:8" hidden="1" x14ac:dyDescent="0.25">
      <c r="A384" t="s">
        <v>276</v>
      </c>
      <c r="B384" t="s">
        <v>277</v>
      </c>
    </row>
    <row r="385" spans="1:9" hidden="1" x14ac:dyDescent="0.25">
      <c r="A385" t="s">
        <v>278</v>
      </c>
      <c r="B385" t="s">
        <v>644</v>
      </c>
    </row>
    <row r="386" spans="1:9" hidden="1" x14ac:dyDescent="0.25">
      <c r="A386" t="s">
        <v>853</v>
      </c>
      <c r="B386" t="s">
        <v>850</v>
      </c>
    </row>
    <row r="387" spans="1:9" ht="15.75" hidden="1" x14ac:dyDescent="0.25">
      <c r="A387" s="109" t="s">
        <v>280</v>
      </c>
    </row>
    <row r="388" spans="1:9" hidden="1" x14ac:dyDescent="0.25">
      <c r="A388" t="s">
        <v>281</v>
      </c>
      <c r="B388" t="s">
        <v>282</v>
      </c>
      <c r="C388" t="s">
        <v>283</v>
      </c>
      <c r="D388" t="s">
        <v>272</v>
      </c>
      <c r="E388" t="s">
        <v>278</v>
      </c>
      <c r="F388" t="s">
        <v>311</v>
      </c>
      <c r="G388" t="s">
        <v>276</v>
      </c>
      <c r="H388" t="s">
        <v>284</v>
      </c>
      <c r="I388" t="s">
        <v>274</v>
      </c>
    </row>
    <row r="389" spans="1:9" hidden="1" x14ac:dyDescent="0.25">
      <c r="A389" t="s">
        <v>375</v>
      </c>
      <c r="B389">
        <v>1847.664</v>
      </c>
      <c r="C389" t="s">
        <v>313</v>
      </c>
      <c r="E389" t="s">
        <v>279</v>
      </c>
      <c r="F389" t="s">
        <v>314</v>
      </c>
      <c r="G389" t="s">
        <v>315</v>
      </c>
      <c r="H389">
        <v>0</v>
      </c>
    </row>
    <row r="390" spans="1:9" hidden="1" x14ac:dyDescent="0.25">
      <c r="A390" t="s">
        <v>324</v>
      </c>
      <c r="B390">
        <v>0.377832</v>
      </c>
      <c r="C390" t="s">
        <v>313</v>
      </c>
      <c r="E390" t="s">
        <v>310</v>
      </c>
      <c r="F390" t="s">
        <v>314</v>
      </c>
      <c r="G390" t="s">
        <v>315</v>
      </c>
      <c r="H390">
        <v>0</v>
      </c>
    </row>
    <row r="391" spans="1:9" hidden="1" x14ac:dyDescent="0.25">
      <c r="A391" t="s">
        <v>641</v>
      </c>
      <c r="B391">
        <v>1</v>
      </c>
      <c r="C391" t="s">
        <v>850</v>
      </c>
      <c r="D391" t="s">
        <v>273</v>
      </c>
      <c r="E391" t="s">
        <v>644</v>
      </c>
      <c r="G391" t="s">
        <v>286</v>
      </c>
      <c r="H391">
        <v>0</v>
      </c>
      <c r="I391" t="s">
        <v>643</v>
      </c>
    </row>
    <row r="392" spans="1:9" hidden="1" x14ac:dyDescent="0.25">
      <c r="A392" t="s">
        <v>865</v>
      </c>
      <c r="B392">
        <v>570.79999999999995</v>
      </c>
      <c r="C392" t="s">
        <v>854</v>
      </c>
      <c r="D392" t="s">
        <v>371</v>
      </c>
      <c r="E392" t="s">
        <v>279</v>
      </c>
      <c r="G392" t="s">
        <v>288</v>
      </c>
      <c r="H392">
        <v>0</v>
      </c>
      <c r="I392" t="s">
        <v>389</v>
      </c>
    </row>
    <row r="393" spans="1:9" hidden="1" x14ac:dyDescent="0.25">
      <c r="A393" t="s">
        <v>645</v>
      </c>
      <c r="B393">
        <v>546</v>
      </c>
      <c r="C393" t="s">
        <v>854</v>
      </c>
      <c r="D393" t="s">
        <v>305</v>
      </c>
      <c r="E393" t="s">
        <v>279</v>
      </c>
      <c r="G393" t="s">
        <v>288</v>
      </c>
      <c r="H393">
        <v>0</v>
      </c>
      <c r="I393" t="s">
        <v>646</v>
      </c>
    </row>
    <row r="394" spans="1:9" hidden="1" x14ac:dyDescent="0.25"/>
    <row r="395" spans="1:9" ht="15.75" hidden="1" x14ac:dyDescent="0.25">
      <c r="A395" s="109" t="s">
        <v>265</v>
      </c>
      <c r="B395" s="109" t="s">
        <v>648</v>
      </c>
    </row>
    <row r="396" spans="1:9" hidden="1" x14ac:dyDescent="0.25">
      <c r="A396" t="s">
        <v>267</v>
      </c>
      <c r="B396" t="s">
        <v>268</v>
      </c>
    </row>
    <row r="397" spans="1:9" hidden="1" x14ac:dyDescent="0.25">
      <c r="A397" t="s">
        <v>269</v>
      </c>
      <c r="B397" t="s">
        <v>649</v>
      </c>
    </row>
    <row r="398" spans="1:9" hidden="1" x14ac:dyDescent="0.25">
      <c r="A398" t="s">
        <v>272</v>
      </c>
      <c r="B398" t="s">
        <v>293</v>
      </c>
    </row>
    <row r="399" spans="1:9" hidden="1" x14ac:dyDescent="0.25">
      <c r="A399" t="s">
        <v>274</v>
      </c>
      <c r="B399" t="s">
        <v>650</v>
      </c>
    </row>
    <row r="400" spans="1:9" hidden="1" x14ac:dyDescent="0.25">
      <c r="A400" t="s">
        <v>276</v>
      </c>
      <c r="B400" t="s">
        <v>277</v>
      </c>
    </row>
    <row r="401" spans="1:8" hidden="1" x14ac:dyDescent="0.25">
      <c r="A401" t="s">
        <v>278</v>
      </c>
      <c r="B401" t="s">
        <v>323</v>
      </c>
    </row>
    <row r="402" spans="1:8" hidden="1" x14ac:dyDescent="0.25">
      <c r="A402" t="s">
        <v>853</v>
      </c>
      <c r="B402" t="s">
        <v>850</v>
      </c>
    </row>
    <row r="403" spans="1:8" ht="15.75" hidden="1" x14ac:dyDescent="0.25">
      <c r="A403" s="109" t="s">
        <v>280</v>
      </c>
    </row>
    <row r="404" spans="1:8" hidden="1" x14ac:dyDescent="0.25">
      <c r="A404" t="s">
        <v>281</v>
      </c>
      <c r="B404" t="s">
        <v>282</v>
      </c>
      <c r="C404" t="s">
        <v>283</v>
      </c>
      <c r="D404" t="s">
        <v>272</v>
      </c>
      <c r="E404" t="s">
        <v>278</v>
      </c>
      <c r="F404" t="s">
        <v>276</v>
      </c>
      <c r="G404" t="s">
        <v>284</v>
      </c>
      <c r="H404" t="s">
        <v>274</v>
      </c>
    </row>
    <row r="405" spans="1:8" hidden="1" x14ac:dyDescent="0.25">
      <c r="A405" t="s">
        <v>648</v>
      </c>
      <c r="B405">
        <v>1</v>
      </c>
      <c r="C405" t="s">
        <v>850</v>
      </c>
      <c r="D405" t="s">
        <v>293</v>
      </c>
      <c r="E405" t="s">
        <v>323</v>
      </c>
      <c r="F405" t="s">
        <v>286</v>
      </c>
      <c r="G405">
        <v>0</v>
      </c>
      <c r="H405" t="s">
        <v>650</v>
      </c>
    </row>
    <row r="406" spans="1:8" hidden="1" x14ac:dyDescent="0.25">
      <c r="A406" t="s">
        <v>651</v>
      </c>
      <c r="B406">
        <v>1</v>
      </c>
      <c r="C406" t="s">
        <v>850</v>
      </c>
      <c r="D406" t="s">
        <v>305</v>
      </c>
      <c r="E406" t="s">
        <v>323</v>
      </c>
      <c r="F406" t="s">
        <v>288</v>
      </c>
      <c r="G406">
        <v>0</v>
      </c>
      <c r="H406" t="s">
        <v>651</v>
      </c>
    </row>
    <row r="407" spans="1:8" hidden="1" x14ac:dyDescent="0.25">
      <c r="A407" t="s">
        <v>855</v>
      </c>
      <c r="B407">
        <v>9.02</v>
      </c>
      <c r="C407" t="s">
        <v>854</v>
      </c>
      <c r="D407" t="s">
        <v>384</v>
      </c>
      <c r="E407" t="s">
        <v>279</v>
      </c>
      <c r="F407" t="s">
        <v>288</v>
      </c>
      <c r="G407">
        <v>0</v>
      </c>
      <c r="H407" t="s">
        <v>856</v>
      </c>
    </row>
    <row r="408" spans="1:8" hidden="1" x14ac:dyDescent="0.25"/>
    <row r="409" spans="1:8" ht="15.75" hidden="1" x14ac:dyDescent="0.25">
      <c r="A409" s="109" t="s">
        <v>265</v>
      </c>
      <c r="B409" s="109" t="s">
        <v>652</v>
      </c>
    </row>
    <row r="410" spans="1:8" hidden="1" x14ac:dyDescent="0.25">
      <c r="A410" t="s">
        <v>267</v>
      </c>
      <c r="B410" t="s">
        <v>268</v>
      </c>
    </row>
    <row r="411" spans="1:8" hidden="1" x14ac:dyDescent="0.25">
      <c r="A411" t="s">
        <v>269</v>
      </c>
      <c r="B411" t="s">
        <v>653</v>
      </c>
    </row>
    <row r="412" spans="1:8" hidden="1" x14ac:dyDescent="0.25">
      <c r="A412" t="s">
        <v>272</v>
      </c>
      <c r="B412" t="s">
        <v>371</v>
      </c>
    </row>
    <row r="413" spans="1:8" hidden="1" x14ac:dyDescent="0.25">
      <c r="A413" t="s">
        <v>274</v>
      </c>
      <c r="B413" t="s">
        <v>654</v>
      </c>
    </row>
    <row r="414" spans="1:8" hidden="1" x14ac:dyDescent="0.25">
      <c r="A414" t="s">
        <v>276</v>
      </c>
      <c r="B414" t="s">
        <v>277</v>
      </c>
    </row>
    <row r="415" spans="1:8" hidden="1" x14ac:dyDescent="0.25">
      <c r="A415" t="s">
        <v>278</v>
      </c>
      <c r="B415" t="s">
        <v>310</v>
      </c>
    </row>
    <row r="416" spans="1:8" hidden="1" x14ac:dyDescent="0.25">
      <c r="A416" t="s">
        <v>853</v>
      </c>
      <c r="B416" t="s">
        <v>850</v>
      </c>
    </row>
    <row r="417" spans="1:9" ht="15.75" hidden="1" x14ac:dyDescent="0.25">
      <c r="A417" s="109" t="s">
        <v>280</v>
      </c>
    </row>
    <row r="418" spans="1:9" hidden="1" x14ac:dyDescent="0.25">
      <c r="A418" t="s">
        <v>281</v>
      </c>
      <c r="B418" t="s">
        <v>282</v>
      </c>
      <c r="C418" t="s">
        <v>283</v>
      </c>
      <c r="D418" t="s">
        <v>272</v>
      </c>
      <c r="E418" t="s">
        <v>278</v>
      </c>
      <c r="F418" t="s">
        <v>311</v>
      </c>
      <c r="G418" t="s">
        <v>276</v>
      </c>
      <c r="H418" t="s">
        <v>284</v>
      </c>
      <c r="I418" t="s">
        <v>274</v>
      </c>
    </row>
    <row r="419" spans="1:9" hidden="1" x14ac:dyDescent="0.25">
      <c r="A419" t="s">
        <v>498</v>
      </c>
      <c r="B419">
        <v>0</v>
      </c>
      <c r="C419" t="s">
        <v>313</v>
      </c>
      <c r="E419" t="s">
        <v>279</v>
      </c>
      <c r="F419" t="s">
        <v>314</v>
      </c>
      <c r="G419" t="s">
        <v>315</v>
      </c>
      <c r="H419">
        <v>0</v>
      </c>
    </row>
    <row r="420" spans="1:9" hidden="1" x14ac:dyDescent="0.25">
      <c r="A420" t="s">
        <v>499</v>
      </c>
      <c r="B420">
        <v>0.52</v>
      </c>
      <c r="C420" t="s">
        <v>313</v>
      </c>
      <c r="E420" t="s">
        <v>279</v>
      </c>
      <c r="F420" t="s">
        <v>314</v>
      </c>
      <c r="G420" t="s">
        <v>315</v>
      </c>
      <c r="H420">
        <v>0</v>
      </c>
    </row>
    <row r="421" spans="1:9" hidden="1" x14ac:dyDescent="0.25">
      <c r="A421" t="s">
        <v>500</v>
      </c>
      <c r="B421">
        <v>0.17</v>
      </c>
      <c r="C421" t="s">
        <v>313</v>
      </c>
      <c r="E421" t="s">
        <v>279</v>
      </c>
      <c r="F421" t="s">
        <v>314</v>
      </c>
      <c r="G421" t="s">
        <v>315</v>
      </c>
      <c r="H421">
        <v>0</v>
      </c>
    </row>
    <row r="422" spans="1:9" hidden="1" x14ac:dyDescent="0.25">
      <c r="A422" t="s">
        <v>655</v>
      </c>
      <c r="B422">
        <v>0</v>
      </c>
      <c r="C422" t="s">
        <v>313</v>
      </c>
      <c r="E422" t="s">
        <v>279</v>
      </c>
      <c r="F422" t="s">
        <v>314</v>
      </c>
      <c r="G422" t="s">
        <v>315</v>
      </c>
      <c r="H422">
        <v>0</v>
      </c>
    </row>
    <row r="423" spans="1:9" hidden="1" x14ac:dyDescent="0.25">
      <c r="A423" t="s">
        <v>377</v>
      </c>
      <c r="B423">
        <v>0</v>
      </c>
      <c r="C423" t="s">
        <v>313</v>
      </c>
      <c r="E423" t="s">
        <v>279</v>
      </c>
      <c r="F423" t="s">
        <v>314</v>
      </c>
      <c r="G423" t="s">
        <v>315</v>
      </c>
      <c r="H423">
        <v>0</v>
      </c>
    </row>
    <row r="424" spans="1:9" hidden="1" x14ac:dyDescent="0.25">
      <c r="A424" t="s">
        <v>594</v>
      </c>
      <c r="B424">
        <v>0.21</v>
      </c>
      <c r="C424" t="s">
        <v>313</v>
      </c>
      <c r="E424" t="s">
        <v>279</v>
      </c>
      <c r="F424" t="s">
        <v>314</v>
      </c>
      <c r="G424" t="s">
        <v>315</v>
      </c>
      <c r="H424">
        <v>0</v>
      </c>
    </row>
    <row r="425" spans="1:9" hidden="1" x14ac:dyDescent="0.25">
      <c r="A425" t="s">
        <v>378</v>
      </c>
      <c r="B425">
        <v>0.21</v>
      </c>
      <c r="C425" t="s">
        <v>313</v>
      </c>
      <c r="E425" t="s">
        <v>279</v>
      </c>
      <c r="F425" t="s">
        <v>314</v>
      </c>
      <c r="G425" t="s">
        <v>315</v>
      </c>
      <c r="H425">
        <v>0</v>
      </c>
    </row>
    <row r="426" spans="1:9" hidden="1" x14ac:dyDescent="0.25">
      <c r="A426" t="s">
        <v>312</v>
      </c>
      <c r="B426">
        <v>0.11</v>
      </c>
      <c r="C426" t="s">
        <v>313</v>
      </c>
      <c r="E426" t="s">
        <v>279</v>
      </c>
      <c r="F426" t="s">
        <v>314</v>
      </c>
      <c r="G426" t="s">
        <v>315</v>
      </c>
      <c r="H426">
        <v>0</v>
      </c>
    </row>
    <row r="427" spans="1:9" hidden="1" x14ac:dyDescent="0.25">
      <c r="A427" t="s">
        <v>316</v>
      </c>
      <c r="B427">
        <v>0.35</v>
      </c>
      <c r="C427" t="s">
        <v>313</v>
      </c>
      <c r="E427" t="s">
        <v>279</v>
      </c>
      <c r="F427" t="s">
        <v>314</v>
      </c>
      <c r="G427" t="s">
        <v>315</v>
      </c>
      <c r="H427">
        <v>0</v>
      </c>
    </row>
    <row r="428" spans="1:9" hidden="1" x14ac:dyDescent="0.25">
      <c r="A428" t="s">
        <v>317</v>
      </c>
      <c r="B428">
        <v>0.23</v>
      </c>
      <c r="C428" t="s">
        <v>313</v>
      </c>
      <c r="E428" t="s">
        <v>279</v>
      </c>
      <c r="F428" t="s">
        <v>314</v>
      </c>
      <c r="G428" t="s">
        <v>315</v>
      </c>
      <c r="H428">
        <v>0</v>
      </c>
    </row>
    <row r="429" spans="1:9" hidden="1" x14ac:dyDescent="0.25">
      <c r="A429" t="s">
        <v>492</v>
      </c>
      <c r="B429">
        <v>0</v>
      </c>
      <c r="C429" t="s">
        <v>313</v>
      </c>
      <c r="E429" t="s">
        <v>279</v>
      </c>
      <c r="F429" t="s">
        <v>314</v>
      </c>
      <c r="G429" t="s">
        <v>315</v>
      </c>
      <c r="H429">
        <v>0</v>
      </c>
    </row>
    <row r="430" spans="1:9" hidden="1" x14ac:dyDescent="0.25">
      <c r="A430" t="s">
        <v>379</v>
      </c>
      <c r="B430">
        <v>0</v>
      </c>
      <c r="C430" t="s">
        <v>313</v>
      </c>
      <c r="E430" t="s">
        <v>279</v>
      </c>
      <c r="F430" t="s">
        <v>314</v>
      </c>
      <c r="G430" t="s">
        <v>315</v>
      </c>
      <c r="H430">
        <v>0</v>
      </c>
    </row>
    <row r="431" spans="1:9" hidden="1" x14ac:dyDescent="0.25">
      <c r="A431" t="s">
        <v>493</v>
      </c>
      <c r="B431">
        <v>0</v>
      </c>
      <c r="C431" t="s">
        <v>313</v>
      </c>
      <c r="E431" t="s">
        <v>279</v>
      </c>
      <c r="F431" t="s">
        <v>314</v>
      </c>
      <c r="G431" t="s">
        <v>315</v>
      </c>
      <c r="H431">
        <v>0</v>
      </c>
    </row>
    <row r="432" spans="1:9" hidden="1" x14ac:dyDescent="0.25">
      <c r="A432" t="s">
        <v>652</v>
      </c>
      <c r="B432">
        <v>1</v>
      </c>
      <c r="C432" t="s">
        <v>850</v>
      </c>
      <c r="D432" t="s">
        <v>371</v>
      </c>
      <c r="E432" t="s">
        <v>310</v>
      </c>
      <c r="G432" t="s">
        <v>286</v>
      </c>
      <c r="H432">
        <v>0</v>
      </c>
      <c r="I432" t="s">
        <v>654</v>
      </c>
    </row>
    <row r="433" spans="1:9" hidden="1" x14ac:dyDescent="0.25">
      <c r="A433" t="s">
        <v>225</v>
      </c>
      <c r="B433">
        <v>0</v>
      </c>
      <c r="C433" t="s">
        <v>850</v>
      </c>
      <c r="D433" t="s">
        <v>305</v>
      </c>
      <c r="E433" t="s">
        <v>279</v>
      </c>
      <c r="G433" t="s">
        <v>288</v>
      </c>
      <c r="H433">
        <v>0</v>
      </c>
      <c r="I433" t="s">
        <v>451</v>
      </c>
    </row>
    <row r="434" spans="1:9" hidden="1" x14ac:dyDescent="0.25">
      <c r="A434" t="s">
        <v>318</v>
      </c>
      <c r="B434">
        <v>77.040000000000006</v>
      </c>
      <c r="C434" t="s">
        <v>854</v>
      </c>
      <c r="D434" t="s">
        <v>293</v>
      </c>
      <c r="E434" t="s">
        <v>319</v>
      </c>
      <c r="G434" t="s">
        <v>288</v>
      </c>
      <c r="H434">
        <v>0</v>
      </c>
      <c r="I434" t="s">
        <v>318</v>
      </c>
    </row>
    <row r="435" spans="1:9" hidden="1" x14ac:dyDescent="0.25">
      <c r="A435" t="s">
        <v>656</v>
      </c>
      <c r="B435">
        <v>0.28000000000000003</v>
      </c>
      <c r="C435" t="s">
        <v>854</v>
      </c>
      <c r="D435" t="s">
        <v>305</v>
      </c>
      <c r="E435" t="s">
        <v>279</v>
      </c>
      <c r="G435" t="s">
        <v>288</v>
      </c>
      <c r="H435">
        <v>0</v>
      </c>
      <c r="I435" t="s">
        <v>560</v>
      </c>
    </row>
    <row r="436" spans="1:9" hidden="1" x14ac:dyDescent="0.25">
      <c r="A436" t="s">
        <v>296</v>
      </c>
      <c r="B436">
        <v>389.74</v>
      </c>
      <c r="C436" t="s">
        <v>854</v>
      </c>
      <c r="D436" t="s">
        <v>371</v>
      </c>
      <c r="E436" t="s">
        <v>297</v>
      </c>
      <c r="G436" t="s">
        <v>288</v>
      </c>
      <c r="H436">
        <v>0</v>
      </c>
      <c r="I436" t="s">
        <v>298</v>
      </c>
    </row>
    <row r="437" spans="1:9" hidden="1" x14ac:dyDescent="0.25">
      <c r="A437" t="s">
        <v>422</v>
      </c>
      <c r="B437">
        <v>19.8</v>
      </c>
      <c r="C437" t="s">
        <v>854</v>
      </c>
      <c r="D437" t="s">
        <v>371</v>
      </c>
      <c r="E437" t="s">
        <v>319</v>
      </c>
      <c r="G437" t="s">
        <v>288</v>
      </c>
      <c r="H437">
        <v>0</v>
      </c>
      <c r="I437" t="s">
        <v>423</v>
      </c>
    </row>
    <row r="438" spans="1:9" hidden="1" x14ac:dyDescent="0.25">
      <c r="A438" t="s">
        <v>657</v>
      </c>
      <c r="B438">
        <v>37.81</v>
      </c>
      <c r="C438" t="s">
        <v>854</v>
      </c>
      <c r="D438" t="s">
        <v>305</v>
      </c>
      <c r="E438" t="s">
        <v>279</v>
      </c>
      <c r="G438" t="s">
        <v>288</v>
      </c>
      <c r="H438">
        <v>0</v>
      </c>
      <c r="I438" t="s">
        <v>658</v>
      </c>
    </row>
    <row r="439" spans="1:9" hidden="1" x14ac:dyDescent="0.25">
      <c r="A439" t="s">
        <v>866</v>
      </c>
      <c r="B439">
        <v>2.36</v>
      </c>
      <c r="C439" t="s">
        <v>854</v>
      </c>
      <c r="D439" t="s">
        <v>371</v>
      </c>
      <c r="E439" t="s">
        <v>310</v>
      </c>
      <c r="G439" t="s">
        <v>288</v>
      </c>
      <c r="H439">
        <v>0</v>
      </c>
      <c r="I439" t="s">
        <v>867</v>
      </c>
    </row>
    <row r="440" spans="1:9" hidden="1" x14ac:dyDescent="0.25">
      <c r="A440" t="s">
        <v>661</v>
      </c>
      <c r="B440">
        <v>10.25</v>
      </c>
      <c r="C440" t="s">
        <v>854</v>
      </c>
      <c r="D440" t="s">
        <v>293</v>
      </c>
      <c r="E440" t="s">
        <v>279</v>
      </c>
      <c r="G440" t="s">
        <v>288</v>
      </c>
      <c r="H440">
        <v>0</v>
      </c>
      <c r="I440" t="s">
        <v>662</v>
      </c>
    </row>
    <row r="441" spans="1:9" hidden="1" x14ac:dyDescent="0.25">
      <c r="A441" t="s">
        <v>304</v>
      </c>
      <c r="B441">
        <v>262.97000000000003</v>
      </c>
      <c r="C441" t="s">
        <v>854</v>
      </c>
      <c r="D441" t="s">
        <v>371</v>
      </c>
      <c r="E441" t="s">
        <v>279</v>
      </c>
      <c r="G441" t="s">
        <v>288</v>
      </c>
      <c r="H441">
        <v>0</v>
      </c>
      <c r="I441" t="s">
        <v>306</v>
      </c>
    </row>
    <row r="442" spans="1:9" hidden="1" x14ac:dyDescent="0.25">
      <c r="A442" t="s">
        <v>663</v>
      </c>
      <c r="B442">
        <v>5.34</v>
      </c>
      <c r="C442" t="s">
        <v>854</v>
      </c>
      <c r="D442" t="s">
        <v>305</v>
      </c>
      <c r="E442" t="s">
        <v>279</v>
      </c>
      <c r="G442" t="s">
        <v>288</v>
      </c>
      <c r="H442">
        <v>0</v>
      </c>
      <c r="I442" t="s">
        <v>664</v>
      </c>
    </row>
    <row r="443" spans="1:9" hidden="1" x14ac:dyDescent="0.25">
      <c r="A443" t="s">
        <v>665</v>
      </c>
      <c r="B443">
        <v>26.564039999999999</v>
      </c>
      <c r="C443" t="s">
        <v>854</v>
      </c>
      <c r="D443" t="s">
        <v>293</v>
      </c>
      <c r="E443" t="s">
        <v>319</v>
      </c>
      <c r="G443" t="s">
        <v>288</v>
      </c>
      <c r="H443">
        <v>0</v>
      </c>
      <c r="I443" t="s">
        <v>665</v>
      </c>
    </row>
    <row r="444" spans="1:9" hidden="1" x14ac:dyDescent="0.25">
      <c r="A444" t="s">
        <v>858</v>
      </c>
      <c r="B444">
        <v>198.89</v>
      </c>
      <c r="C444" t="s">
        <v>854</v>
      </c>
      <c r="D444" t="s">
        <v>305</v>
      </c>
      <c r="E444" t="s">
        <v>487</v>
      </c>
      <c r="G444" t="s">
        <v>288</v>
      </c>
      <c r="H444">
        <v>0</v>
      </c>
      <c r="I444" t="s">
        <v>858</v>
      </c>
    </row>
    <row r="445" spans="1:9" hidden="1" x14ac:dyDescent="0.25">
      <c r="A445" t="s">
        <v>580</v>
      </c>
      <c r="B445">
        <v>-10.91</v>
      </c>
      <c r="C445" t="s">
        <v>854</v>
      </c>
      <c r="D445" t="s">
        <v>305</v>
      </c>
      <c r="E445" t="s">
        <v>279</v>
      </c>
      <c r="G445" t="s">
        <v>288</v>
      </c>
      <c r="H445">
        <v>0</v>
      </c>
      <c r="I445" t="s">
        <v>385</v>
      </c>
    </row>
    <row r="446" spans="1:9" hidden="1" x14ac:dyDescent="0.25">
      <c r="A446" t="s">
        <v>666</v>
      </c>
      <c r="B446">
        <v>32.79</v>
      </c>
      <c r="C446" t="s">
        <v>850</v>
      </c>
      <c r="D446" t="s">
        <v>371</v>
      </c>
      <c r="E446" t="s">
        <v>279</v>
      </c>
      <c r="G446" t="s">
        <v>288</v>
      </c>
      <c r="H446">
        <v>0</v>
      </c>
      <c r="I446" t="s">
        <v>667</v>
      </c>
    </row>
    <row r="447" spans="1:9" hidden="1" x14ac:dyDescent="0.25">
      <c r="A447" t="s">
        <v>668</v>
      </c>
      <c r="B447">
        <v>41.22</v>
      </c>
      <c r="C447" t="s">
        <v>850</v>
      </c>
      <c r="D447" t="s">
        <v>371</v>
      </c>
      <c r="E447" t="s">
        <v>279</v>
      </c>
      <c r="G447" t="s">
        <v>288</v>
      </c>
      <c r="H447">
        <v>0</v>
      </c>
      <c r="I447" t="s">
        <v>668</v>
      </c>
    </row>
    <row r="448" spans="1:9" hidden="1" x14ac:dyDescent="0.25">
      <c r="A448" t="s">
        <v>535</v>
      </c>
      <c r="B448">
        <v>3.3239999999999999E-8</v>
      </c>
      <c r="C448" t="s">
        <v>854</v>
      </c>
      <c r="D448" t="s">
        <v>305</v>
      </c>
      <c r="E448" t="s">
        <v>278</v>
      </c>
      <c r="G448" t="s">
        <v>288</v>
      </c>
      <c r="H448">
        <v>0</v>
      </c>
      <c r="I448" t="s">
        <v>536</v>
      </c>
    </row>
    <row r="449" spans="1:8" hidden="1" x14ac:dyDescent="0.25"/>
    <row r="450" spans="1:8" ht="15.75" hidden="1" x14ac:dyDescent="0.25">
      <c r="A450" s="109" t="s">
        <v>265</v>
      </c>
      <c r="B450" s="109" t="s">
        <v>250</v>
      </c>
    </row>
    <row r="451" spans="1:8" hidden="1" x14ac:dyDescent="0.25">
      <c r="A451" t="s">
        <v>267</v>
      </c>
      <c r="B451" t="s">
        <v>680</v>
      </c>
    </row>
    <row r="452" spans="1:8" hidden="1" x14ac:dyDescent="0.25">
      <c r="A452" t="s">
        <v>269</v>
      </c>
      <c r="B452" t="s">
        <v>675</v>
      </c>
    </row>
    <row r="453" spans="1:8" hidden="1" x14ac:dyDescent="0.25">
      <c r="A453" t="s">
        <v>272</v>
      </c>
      <c r="B453" t="s">
        <v>273</v>
      </c>
    </row>
    <row r="454" spans="1:8" hidden="1" x14ac:dyDescent="0.25">
      <c r="A454" t="s">
        <v>274</v>
      </c>
      <c r="B454" t="s">
        <v>354</v>
      </c>
    </row>
    <row r="455" spans="1:8" hidden="1" x14ac:dyDescent="0.25">
      <c r="A455" t="s">
        <v>276</v>
      </c>
      <c r="B455" t="s">
        <v>277</v>
      </c>
    </row>
    <row r="456" spans="1:8" hidden="1" x14ac:dyDescent="0.25">
      <c r="A456" t="s">
        <v>278</v>
      </c>
      <c r="B456" t="s">
        <v>279</v>
      </c>
    </row>
    <row r="457" spans="1:8" hidden="1" x14ac:dyDescent="0.25">
      <c r="A457" t="s">
        <v>853</v>
      </c>
      <c r="B457" t="s">
        <v>850</v>
      </c>
    </row>
    <row r="458" spans="1:8" ht="15.75" hidden="1" x14ac:dyDescent="0.25">
      <c r="A458" s="109" t="s">
        <v>280</v>
      </c>
    </row>
    <row r="459" spans="1:8" hidden="1" x14ac:dyDescent="0.25">
      <c r="A459" t="s">
        <v>281</v>
      </c>
      <c r="B459" t="s">
        <v>282</v>
      </c>
      <c r="C459" t="s">
        <v>283</v>
      </c>
      <c r="D459" t="s">
        <v>272</v>
      </c>
      <c r="E459" t="s">
        <v>278</v>
      </c>
      <c r="F459" t="s">
        <v>276</v>
      </c>
      <c r="G459" t="s">
        <v>284</v>
      </c>
      <c r="H459" t="s">
        <v>274</v>
      </c>
    </row>
    <row r="460" spans="1:8" hidden="1" x14ac:dyDescent="0.25">
      <c r="A460" t="s">
        <v>250</v>
      </c>
      <c r="B460">
        <v>1</v>
      </c>
      <c r="C460" t="s">
        <v>850</v>
      </c>
      <c r="D460" t="s">
        <v>273</v>
      </c>
      <c r="E460" t="s">
        <v>279</v>
      </c>
      <c r="F460" t="s">
        <v>286</v>
      </c>
      <c r="G460">
        <v>0</v>
      </c>
      <c r="H460" t="s">
        <v>354</v>
      </c>
    </row>
    <row r="461" spans="1:8" hidden="1" x14ac:dyDescent="0.25">
      <c r="A461" t="s">
        <v>351</v>
      </c>
      <c r="B461">
        <v>0.5</v>
      </c>
      <c r="C461" t="s">
        <v>850</v>
      </c>
      <c r="D461" t="s">
        <v>353</v>
      </c>
      <c r="E461" t="s">
        <v>279</v>
      </c>
      <c r="F461" t="s">
        <v>288</v>
      </c>
      <c r="G461">
        <v>0</v>
      </c>
      <c r="H461" t="s">
        <v>354</v>
      </c>
    </row>
    <row r="462" spans="1:8" hidden="1" x14ac:dyDescent="0.25">
      <c r="A462" t="s">
        <v>351</v>
      </c>
      <c r="B462">
        <v>0.5</v>
      </c>
      <c r="C462" t="s">
        <v>850</v>
      </c>
      <c r="D462" t="s">
        <v>371</v>
      </c>
      <c r="E462" t="s">
        <v>279</v>
      </c>
      <c r="F462" t="s">
        <v>288</v>
      </c>
      <c r="G462">
        <v>0</v>
      </c>
      <c r="H462" t="s">
        <v>354</v>
      </c>
    </row>
    <row r="463" spans="1:8" hidden="1" x14ac:dyDescent="0.25">
      <c r="A463" t="s">
        <v>858</v>
      </c>
      <c r="B463">
        <v>0.9</v>
      </c>
      <c r="C463" t="s">
        <v>854</v>
      </c>
      <c r="D463" t="s">
        <v>305</v>
      </c>
      <c r="E463" t="s">
        <v>487</v>
      </c>
      <c r="F463" t="s">
        <v>288</v>
      </c>
      <c r="G463">
        <v>0</v>
      </c>
      <c r="H463" t="s">
        <v>858</v>
      </c>
    </row>
    <row r="464" spans="1:8" hidden="1" x14ac:dyDescent="0.25">
      <c r="A464" t="s">
        <v>858</v>
      </c>
      <c r="B464">
        <v>0.65</v>
      </c>
      <c r="C464" t="s">
        <v>854</v>
      </c>
      <c r="D464" t="s">
        <v>305</v>
      </c>
      <c r="E464" t="s">
        <v>487</v>
      </c>
      <c r="F464" t="s">
        <v>288</v>
      </c>
      <c r="G464">
        <v>0</v>
      </c>
      <c r="H464" t="s">
        <v>858</v>
      </c>
    </row>
    <row r="465" spans="1:8" hidden="1" x14ac:dyDescent="0.25"/>
    <row r="466" spans="1:8" ht="15.75" hidden="1" x14ac:dyDescent="0.25">
      <c r="A466" s="109" t="s">
        <v>265</v>
      </c>
      <c r="B466" s="109" t="s">
        <v>181</v>
      </c>
    </row>
    <row r="467" spans="1:8" hidden="1" x14ac:dyDescent="0.25">
      <c r="A467" t="s">
        <v>267</v>
      </c>
      <c r="B467" t="s">
        <v>680</v>
      </c>
    </row>
    <row r="468" spans="1:8" hidden="1" x14ac:dyDescent="0.25">
      <c r="A468" t="s">
        <v>269</v>
      </c>
      <c r="B468" t="s">
        <v>676</v>
      </c>
    </row>
    <row r="469" spans="1:8" hidden="1" x14ac:dyDescent="0.25">
      <c r="A469" t="s">
        <v>272</v>
      </c>
      <c r="B469" t="s">
        <v>273</v>
      </c>
    </row>
    <row r="470" spans="1:8" hidden="1" x14ac:dyDescent="0.25">
      <c r="A470" t="s">
        <v>274</v>
      </c>
      <c r="B470" t="s">
        <v>491</v>
      </c>
    </row>
    <row r="471" spans="1:8" hidden="1" x14ac:dyDescent="0.25">
      <c r="A471" t="s">
        <v>276</v>
      </c>
      <c r="B471" t="s">
        <v>277</v>
      </c>
    </row>
    <row r="472" spans="1:8" hidden="1" x14ac:dyDescent="0.25">
      <c r="A472" t="s">
        <v>278</v>
      </c>
      <c r="B472" t="s">
        <v>279</v>
      </c>
    </row>
    <row r="473" spans="1:8" hidden="1" x14ac:dyDescent="0.25">
      <c r="A473" t="s">
        <v>853</v>
      </c>
      <c r="B473" t="s">
        <v>850</v>
      </c>
    </row>
    <row r="474" spans="1:8" ht="15.75" hidden="1" x14ac:dyDescent="0.25">
      <c r="A474" s="109" t="s">
        <v>280</v>
      </c>
    </row>
    <row r="475" spans="1:8" hidden="1" x14ac:dyDescent="0.25">
      <c r="A475" t="s">
        <v>281</v>
      </c>
      <c r="B475" t="s">
        <v>282</v>
      </c>
      <c r="C475" t="s">
        <v>283</v>
      </c>
      <c r="D475" t="s">
        <v>272</v>
      </c>
      <c r="E475" t="s">
        <v>278</v>
      </c>
      <c r="F475" t="s">
        <v>276</v>
      </c>
      <c r="G475" t="s">
        <v>284</v>
      </c>
      <c r="H475" t="s">
        <v>274</v>
      </c>
    </row>
    <row r="476" spans="1:8" hidden="1" x14ac:dyDescent="0.25">
      <c r="A476" t="s">
        <v>181</v>
      </c>
      <c r="B476">
        <v>1</v>
      </c>
      <c r="C476" t="s">
        <v>850</v>
      </c>
      <c r="D476" t="s">
        <v>273</v>
      </c>
      <c r="E476" t="s">
        <v>279</v>
      </c>
      <c r="F476" t="s">
        <v>286</v>
      </c>
      <c r="G476">
        <v>0</v>
      </c>
      <c r="H476" t="s">
        <v>491</v>
      </c>
    </row>
    <row r="477" spans="1:8" hidden="1" x14ac:dyDescent="0.25">
      <c r="A477" t="s">
        <v>489</v>
      </c>
      <c r="B477">
        <v>0.33300000000000002</v>
      </c>
      <c r="C477" t="s">
        <v>850</v>
      </c>
      <c r="D477" t="s">
        <v>495</v>
      </c>
      <c r="E477" t="s">
        <v>279</v>
      </c>
      <c r="F477" t="s">
        <v>288</v>
      </c>
      <c r="G477">
        <v>0</v>
      </c>
      <c r="H477" t="s">
        <v>491</v>
      </c>
    </row>
    <row r="478" spans="1:8" hidden="1" x14ac:dyDescent="0.25">
      <c r="A478" t="s">
        <v>489</v>
      </c>
      <c r="B478">
        <v>0.66600000000000004</v>
      </c>
      <c r="C478" t="s">
        <v>850</v>
      </c>
      <c r="D478" t="s">
        <v>353</v>
      </c>
      <c r="E478" t="s">
        <v>279</v>
      </c>
      <c r="F478" t="s">
        <v>288</v>
      </c>
      <c r="G478">
        <v>0</v>
      </c>
      <c r="H478" t="s">
        <v>491</v>
      </c>
    </row>
    <row r="479" spans="1:8" hidden="1" x14ac:dyDescent="0.25">
      <c r="A479" t="s">
        <v>858</v>
      </c>
      <c r="B479">
        <v>0.44550000000000001</v>
      </c>
      <c r="C479" t="s">
        <v>854</v>
      </c>
      <c r="D479" t="s">
        <v>305</v>
      </c>
      <c r="E479" t="s">
        <v>487</v>
      </c>
      <c r="F479" t="s">
        <v>288</v>
      </c>
      <c r="G479">
        <v>0</v>
      </c>
      <c r="H479" t="s">
        <v>858</v>
      </c>
    </row>
    <row r="480" spans="1:8" hidden="1" x14ac:dyDescent="0.25">
      <c r="A480" t="s">
        <v>858</v>
      </c>
      <c r="B480">
        <v>1.3320000000000001</v>
      </c>
      <c r="C480" t="s">
        <v>854</v>
      </c>
      <c r="D480" t="s">
        <v>305</v>
      </c>
      <c r="E480" t="s">
        <v>487</v>
      </c>
      <c r="F480" t="s">
        <v>288</v>
      </c>
      <c r="G480">
        <v>0</v>
      </c>
      <c r="H480" t="s">
        <v>858</v>
      </c>
    </row>
    <row r="481" spans="1:9" hidden="1" x14ac:dyDescent="0.25"/>
    <row r="482" spans="1:9" ht="15.75" hidden="1" x14ac:dyDescent="0.25">
      <c r="A482" s="109" t="s">
        <v>265</v>
      </c>
      <c r="B482" s="109" t="s">
        <v>185</v>
      </c>
    </row>
    <row r="483" spans="1:9" hidden="1" x14ac:dyDescent="0.25">
      <c r="A483" t="s">
        <v>267</v>
      </c>
      <c r="B483" t="s">
        <v>680</v>
      </c>
    </row>
    <row r="484" spans="1:9" hidden="1" x14ac:dyDescent="0.25">
      <c r="A484" t="s">
        <v>269</v>
      </c>
      <c r="B484" t="s">
        <v>677</v>
      </c>
    </row>
    <row r="485" spans="1:9" hidden="1" x14ac:dyDescent="0.25">
      <c r="A485" t="s">
        <v>272</v>
      </c>
      <c r="B485" t="s">
        <v>273</v>
      </c>
    </row>
    <row r="486" spans="1:9" hidden="1" x14ac:dyDescent="0.25">
      <c r="A486" t="s">
        <v>274</v>
      </c>
      <c r="B486" t="s">
        <v>357</v>
      </c>
    </row>
    <row r="487" spans="1:9" hidden="1" x14ac:dyDescent="0.25">
      <c r="A487" t="s">
        <v>276</v>
      </c>
      <c r="B487" t="s">
        <v>277</v>
      </c>
    </row>
    <row r="488" spans="1:9" hidden="1" x14ac:dyDescent="0.25">
      <c r="A488" t="s">
        <v>278</v>
      </c>
      <c r="B488" t="s">
        <v>279</v>
      </c>
    </row>
    <row r="489" spans="1:9" hidden="1" x14ac:dyDescent="0.25">
      <c r="A489" t="s">
        <v>853</v>
      </c>
      <c r="B489" t="s">
        <v>850</v>
      </c>
    </row>
    <row r="490" spans="1:9" ht="15.75" hidden="1" x14ac:dyDescent="0.25">
      <c r="A490" s="109" t="s">
        <v>280</v>
      </c>
    </row>
    <row r="491" spans="1:9" hidden="1" x14ac:dyDescent="0.25">
      <c r="A491" t="s">
        <v>281</v>
      </c>
      <c r="B491" t="s">
        <v>282</v>
      </c>
      <c r="C491" t="s">
        <v>283</v>
      </c>
      <c r="D491" t="s">
        <v>272</v>
      </c>
      <c r="E491" t="s">
        <v>278</v>
      </c>
      <c r="F491" t="s">
        <v>276</v>
      </c>
      <c r="G491" t="s">
        <v>284</v>
      </c>
      <c r="H491" t="s">
        <v>271</v>
      </c>
      <c r="I491" t="s">
        <v>274</v>
      </c>
    </row>
    <row r="492" spans="1:9" hidden="1" x14ac:dyDescent="0.25">
      <c r="A492" t="s">
        <v>185</v>
      </c>
      <c r="B492">
        <v>1</v>
      </c>
      <c r="C492" t="s">
        <v>850</v>
      </c>
      <c r="D492" t="s">
        <v>273</v>
      </c>
      <c r="E492" t="s">
        <v>279</v>
      </c>
      <c r="F492" t="s">
        <v>286</v>
      </c>
      <c r="G492">
        <v>0</v>
      </c>
      <c r="I492" t="s">
        <v>357</v>
      </c>
    </row>
    <row r="493" spans="1:9" hidden="1" x14ac:dyDescent="0.25">
      <c r="A493" t="s">
        <v>355</v>
      </c>
      <c r="B493">
        <v>1</v>
      </c>
      <c r="C493" t="s">
        <v>850</v>
      </c>
      <c r="D493" t="s">
        <v>356</v>
      </c>
      <c r="E493" t="s">
        <v>279</v>
      </c>
      <c r="F493" t="s">
        <v>288</v>
      </c>
      <c r="G493">
        <v>0</v>
      </c>
      <c r="I493" t="s">
        <v>357</v>
      </c>
    </row>
    <row r="494" spans="1:9" hidden="1" x14ac:dyDescent="0.25">
      <c r="A494" t="s">
        <v>868</v>
      </c>
      <c r="B494">
        <v>1.6</v>
      </c>
      <c r="C494" t="s">
        <v>854</v>
      </c>
      <c r="D494" t="s">
        <v>327</v>
      </c>
      <c r="E494" t="s">
        <v>487</v>
      </c>
      <c r="F494" t="s">
        <v>288</v>
      </c>
      <c r="G494">
        <v>0</v>
      </c>
      <c r="H494" t="s">
        <v>678</v>
      </c>
      <c r="I494" t="s">
        <v>863</v>
      </c>
    </row>
    <row r="495" spans="1:9" hidden="1" x14ac:dyDescent="0.25"/>
    <row r="496" spans="1:9" ht="15.75" hidden="1" x14ac:dyDescent="0.25">
      <c r="A496" s="109" t="s">
        <v>265</v>
      </c>
      <c r="B496" s="109" t="s">
        <v>528</v>
      </c>
    </row>
    <row r="497" spans="1:8" hidden="1" x14ac:dyDescent="0.25">
      <c r="A497" t="s">
        <v>267</v>
      </c>
      <c r="B497" t="s">
        <v>680</v>
      </c>
    </row>
    <row r="498" spans="1:8" hidden="1" x14ac:dyDescent="0.25">
      <c r="A498" t="s">
        <v>269</v>
      </c>
      <c r="B498" t="s">
        <v>679</v>
      </c>
    </row>
    <row r="499" spans="1:8" hidden="1" x14ac:dyDescent="0.25">
      <c r="A499" t="s">
        <v>272</v>
      </c>
      <c r="B499" t="s">
        <v>273</v>
      </c>
    </row>
    <row r="500" spans="1:8" hidden="1" x14ac:dyDescent="0.25">
      <c r="A500" t="s">
        <v>274</v>
      </c>
      <c r="B500" t="s">
        <v>529</v>
      </c>
    </row>
    <row r="501" spans="1:8" hidden="1" x14ac:dyDescent="0.25">
      <c r="A501" t="s">
        <v>276</v>
      </c>
      <c r="B501" t="s">
        <v>277</v>
      </c>
    </row>
    <row r="502" spans="1:8" hidden="1" x14ac:dyDescent="0.25">
      <c r="A502" t="s">
        <v>278</v>
      </c>
      <c r="B502" t="s">
        <v>279</v>
      </c>
    </row>
    <row r="503" spans="1:8" hidden="1" x14ac:dyDescent="0.25">
      <c r="A503" t="s">
        <v>853</v>
      </c>
      <c r="B503" t="s">
        <v>850</v>
      </c>
    </row>
    <row r="504" spans="1:8" ht="15.75" hidden="1" x14ac:dyDescent="0.25">
      <c r="A504" s="109" t="s">
        <v>280</v>
      </c>
    </row>
    <row r="505" spans="1:8" hidden="1" x14ac:dyDescent="0.25">
      <c r="A505" t="s">
        <v>281</v>
      </c>
      <c r="B505" t="s">
        <v>282</v>
      </c>
      <c r="C505" t="s">
        <v>283</v>
      </c>
      <c r="D505" t="s">
        <v>272</v>
      </c>
      <c r="E505" t="s">
        <v>278</v>
      </c>
      <c r="F505" t="s">
        <v>276</v>
      </c>
      <c r="G505" t="s">
        <v>284</v>
      </c>
      <c r="H505" t="s">
        <v>274</v>
      </c>
    </row>
    <row r="506" spans="1:8" hidden="1" x14ac:dyDescent="0.25">
      <c r="A506" t="s">
        <v>528</v>
      </c>
      <c r="B506">
        <v>1</v>
      </c>
      <c r="C506" t="s">
        <v>850</v>
      </c>
      <c r="D506" t="s">
        <v>273</v>
      </c>
      <c r="E506" t="s">
        <v>279</v>
      </c>
      <c r="F506" t="s">
        <v>286</v>
      </c>
      <c r="G506">
        <v>0</v>
      </c>
      <c r="H506" t="s">
        <v>529</v>
      </c>
    </row>
    <row r="507" spans="1:8" hidden="1" x14ac:dyDescent="0.25">
      <c r="A507" t="s">
        <v>532</v>
      </c>
      <c r="B507">
        <v>1</v>
      </c>
      <c r="C507" t="s">
        <v>850</v>
      </c>
      <c r="D507" t="s">
        <v>273</v>
      </c>
      <c r="E507" t="s">
        <v>279</v>
      </c>
      <c r="F507" t="s">
        <v>288</v>
      </c>
      <c r="G507">
        <v>0</v>
      </c>
      <c r="H507" t="s">
        <v>529</v>
      </c>
    </row>
    <row r="508" spans="1:8" hidden="1" x14ac:dyDescent="0.25"/>
    <row r="509" spans="1:8" ht="15.75" hidden="1" x14ac:dyDescent="0.25">
      <c r="A509" s="109" t="s">
        <v>265</v>
      </c>
      <c r="B509" s="109" t="s">
        <v>682</v>
      </c>
    </row>
    <row r="510" spans="1:8" hidden="1" x14ac:dyDescent="0.25">
      <c r="A510" t="s">
        <v>267</v>
      </c>
      <c r="B510" t="s">
        <v>680</v>
      </c>
    </row>
    <row r="511" spans="1:8" hidden="1" x14ac:dyDescent="0.25">
      <c r="A511" t="s">
        <v>269</v>
      </c>
      <c r="B511" t="s">
        <v>683</v>
      </c>
    </row>
    <row r="512" spans="1:8" hidden="1" x14ac:dyDescent="0.25">
      <c r="A512" t="s">
        <v>272</v>
      </c>
      <c r="B512" t="s">
        <v>273</v>
      </c>
    </row>
    <row r="513" spans="1:9" hidden="1" x14ac:dyDescent="0.25">
      <c r="A513" t="s">
        <v>274</v>
      </c>
      <c r="B513" t="s">
        <v>684</v>
      </c>
    </row>
    <row r="514" spans="1:9" hidden="1" x14ac:dyDescent="0.25">
      <c r="A514" t="s">
        <v>276</v>
      </c>
      <c r="B514" t="s">
        <v>277</v>
      </c>
    </row>
    <row r="515" spans="1:9" hidden="1" x14ac:dyDescent="0.25">
      <c r="A515" t="s">
        <v>278</v>
      </c>
      <c r="B515" t="s">
        <v>323</v>
      </c>
    </row>
    <row r="516" spans="1:9" hidden="1" x14ac:dyDescent="0.25">
      <c r="A516" t="s">
        <v>853</v>
      </c>
      <c r="B516" t="s">
        <v>850</v>
      </c>
    </row>
    <row r="517" spans="1:9" ht="15.75" hidden="1" x14ac:dyDescent="0.25">
      <c r="A517" s="109" t="s">
        <v>280</v>
      </c>
    </row>
    <row r="518" spans="1:9" hidden="1" x14ac:dyDescent="0.25">
      <c r="A518" t="s">
        <v>281</v>
      </c>
      <c r="B518" t="s">
        <v>282</v>
      </c>
      <c r="C518" t="s">
        <v>283</v>
      </c>
      <c r="D518" t="s">
        <v>272</v>
      </c>
      <c r="E518" t="s">
        <v>278</v>
      </c>
      <c r="F518" t="s">
        <v>276</v>
      </c>
      <c r="G518" t="s">
        <v>284</v>
      </c>
      <c r="H518" t="s">
        <v>271</v>
      </c>
      <c r="I518" t="s">
        <v>274</v>
      </c>
    </row>
    <row r="519" spans="1:9" hidden="1" x14ac:dyDescent="0.25">
      <c r="A519" t="s">
        <v>682</v>
      </c>
      <c r="B519">
        <v>1</v>
      </c>
      <c r="C519" t="s">
        <v>850</v>
      </c>
      <c r="D519" t="s">
        <v>273</v>
      </c>
      <c r="E519" t="s">
        <v>323</v>
      </c>
      <c r="F519" t="s">
        <v>286</v>
      </c>
      <c r="G519">
        <v>0</v>
      </c>
      <c r="I519" t="s">
        <v>684</v>
      </c>
    </row>
    <row r="520" spans="1:9" hidden="1" x14ac:dyDescent="0.25">
      <c r="A520" t="s">
        <v>461</v>
      </c>
      <c r="B520">
        <v>8.75</v>
      </c>
      <c r="C520" t="s">
        <v>850</v>
      </c>
      <c r="D520" t="s">
        <v>356</v>
      </c>
      <c r="E520" t="s">
        <v>279</v>
      </c>
      <c r="F520" t="s">
        <v>288</v>
      </c>
      <c r="G520">
        <v>0</v>
      </c>
      <c r="I520" t="s">
        <v>463</v>
      </c>
    </row>
    <row r="521" spans="1:9" hidden="1" x14ac:dyDescent="0.25">
      <c r="A521" t="s">
        <v>471</v>
      </c>
      <c r="B521">
        <v>2.1599400000000002</v>
      </c>
      <c r="C521" t="s">
        <v>854</v>
      </c>
      <c r="D521" t="s">
        <v>371</v>
      </c>
      <c r="E521" t="s">
        <v>323</v>
      </c>
      <c r="F521" t="s">
        <v>288</v>
      </c>
      <c r="G521">
        <v>0</v>
      </c>
      <c r="I521" t="s">
        <v>471</v>
      </c>
    </row>
    <row r="522" spans="1:9" hidden="1" x14ac:dyDescent="0.25">
      <c r="A522" t="s">
        <v>472</v>
      </c>
      <c r="B522">
        <v>1.0896112920000001</v>
      </c>
      <c r="C522" t="s">
        <v>850</v>
      </c>
      <c r="D522" t="s">
        <v>384</v>
      </c>
      <c r="E522" t="s">
        <v>323</v>
      </c>
      <c r="F522" t="s">
        <v>288</v>
      </c>
      <c r="G522">
        <v>0</v>
      </c>
      <c r="I522" t="s">
        <v>322</v>
      </c>
    </row>
    <row r="523" spans="1:9" hidden="1" x14ac:dyDescent="0.25">
      <c r="A523" t="s">
        <v>410</v>
      </c>
      <c r="B523">
        <v>0.43528181799999999</v>
      </c>
      <c r="C523" t="s">
        <v>854</v>
      </c>
      <c r="D523" t="s">
        <v>305</v>
      </c>
      <c r="E523" t="s">
        <v>279</v>
      </c>
      <c r="F523" t="s">
        <v>288</v>
      </c>
      <c r="G523">
        <v>0</v>
      </c>
      <c r="I523" t="s">
        <v>410</v>
      </c>
    </row>
    <row r="524" spans="1:9" hidden="1" x14ac:dyDescent="0.25">
      <c r="A524" t="s">
        <v>411</v>
      </c>
      <c r="B524">
        <v>2.3199999999999999E-8</v>
      </c>
      <c r="C524" t="s">
        <v>854</v>
      </c>
      <c r="D524" t="s">
        <v>293</v>
      </c>
      <c r="E524" t="s">
        <v>278</v>
      </c>
      <c r="F524" t="s">
        <v>288</v>
      </c>
      <c r="G524">
        <v>0</v>
      </c>
      <c r="I524" t="s">
        <v>412</v>
      </c>
    </row>
    <row r="525" spans="1:9" hidden="1" x14ac:dyDescent="0.25">
      <c r="A525" t="s">
        <v>475</v>
      </c>
      <c r="B525">
        <v>6.5000000000000002E-2</v>
      </c>
      <c r="C525" t="s">
        <v>854</v>
      </c>
      <c r="D525" t="s">
        <v>305</v>
      </c>
      <c r="E525" t="s">
        <v>279</v>
      </c>
      <c r="F525" t="s">
        <v>288</v>
      </c>
      <c r="G525">
        <v>0</v>
      </c>
      <c r="I525" t="s">
        <v>476</v>
      </c>
    </row>
    <row r="526" spans="1:9" hidden="1" x14ac:dyDescent="0.25">
      <c r="A526" t="s">
        <v>855</v>
      </c>
      <c r="B526">
        <v>0.43528181799999999</v>
      </c>
      <c r="C526" t="s">
        <v>854</v>
      </c>
      <c r="D526" t="s">
        <v>384</v>
      </c>
      <c r="E526" t="s">
        <v>279</v>
      </c>
      <c r="F526" t="s">
        <v>288</v>
      </c>
      <c r="G526">
        <v>0</v>
      </c>
      <c r="I526" t="s">
        <v>856</v>
      </c>
    </row>
    <row r="527" spans="1:9" hidden="1" x14ac:dyDescent="0.25">
      <c r="A527" t="s">
        <v>479</v>
      </c>
      <c r="B527">
        <v>1.49542</v>
      </c>
      <c r="C527" t="s">
        <v>854</v>
      </c>
      <c r="D527" t="s">
        <v>305</v>
      </c>
      <c r="E527" t="s">
        <v>279</v>
      </c>
      <c r="F527" t="s">
        <v>288</v>
      </c>
      <c r="G527">
        <v>0</v>
      </c>
      <c r="I527" t="s">
        <v>480</v>
      </c>
    </row>
    <row r="528" spans="1:9" hidden="1" x14ac:dyDescent="0.25">
      <c r="A528" t="s">
        <v>426</v>
      </c>
      <c r="B528">
        <v>1.27</v>
      </c>
      <c r="C528" t="s">
        <v>854</v>
      </c>
      <c r="D528" t="s">
        <v>384</v>
      </c>
      <c r="E528" t="s">
        <v>297</v>
      </c>
      <c r="F528" t="s">
        <v>288</v>
      </c>
      <c r="G528">
        <v>0</v>
      </c>
      <c r="I528" t="s">
        <v>298</v>
      </c>
    </row>
    <row r="529" spans="1:9" hidden="1" x14ac:dyDescent="0.25">
      <c r="A529" t="s">
        <v>414</v>
      </c>
      <c r="B529">
        <v>8.75</v>
      </c>
      <c r="C529" t="s">
        <v>854</v>
      </c>
      <c r="D529" t="s">
        <v>305</v>
      </c>
      <c r="E529" t="s">
        <v>279</v>
      </c>
      <c r="F529" t="s">
        <v>288</v>
      </c>
      <c r="G529">
        <v>0</v>
      </c>
      <c r="I529" t="s">
        <v>414</v>
      </c>
    </row>
    <row r="530" spans="1:9" hidden="1" x14ac:dyDescent="0.25">
      <c r="A530" t="s">
        <v>485</v>
      </c>
      <c r="B530">
        <v>0.39986500000000003</v>
      </c>
      <c r="C530" t="s">
        <v>850</v>
      </c>
      <c r="D530" t="s">
        <v>273</v>
      </c>
      <c r="E530" t="s">
        <v>279</v>
      </c>
      <c r="F530" t="s">
        <v>288</v>
      </c>
      <c r="G530">
        <v>0</v>
      </c>
      <c r="I530" t="s">
        <v>485</v>
      </c>
    </row>
    <row r="531" spans="1:9" hidden="1" x14ac:dyDescent="0.25">
      <c r="A531" t="s">
        <v>486</v>
      </c>
      <c r="B531">
        <v>0.43380400000000002</v>
      </c>
      <c r="C531" t="s">
        <v>854</v>
      </c>
      <c r="D531" t="s">
        <v>305</v>
      </c>
      <c r="E531" t="s">
        <v>279</v>
      </c>
      <c r="F531" t="s">
        <v>288</v>
      </c>
      <c r="G531">
        <v>0</v>
      </c>
      <c r="I531" t="s">
        <v>415</v>
      </c>
    </row>
    <row r="532" spans="1:9" hidden="1" x14ac:dyDescent="0.25">
      <c r="A532" t="s">
        <v>858</v>
      </c>
      <c r="B532">
        <v>69</v>
      </c>
      <c r="C532" t="s">
        <v>854</v>
      </c>
      <c r="D532" t="s">
        <v>305</v>
      </c>
      <c r="E532" t="s">
        <v>487</v>
      </c>
      <c r="F532" t="s">
        <v>288</v>
      </c>
      <c r="G532">
        <v>0</v>
      </c>
      <c r="H532" t="s">
        <v>685</v>
      </c>
      <c r="I532" t="s">
        <v>858</v>
      </c>
    </row>
    <row r="533" spans="1:9" hidden="1" x14ac:dyDescent="0.25"/>
    <row r="534" spans="1:9" ht="15.75" hidden="1" x14ac:dyDescent="0.25">
      <c r="A534" s="109" t="s">
        <v>265</v>
      </c>
      <c r="B534" s="109" t="s">
        <v>869</v>
      </c>
    </row>
    <row r="535" spans="1:9" hidden="1" x14ac:dyDescent="0.25">
      <c r="A535" t="s">
        <v>267</v>
      </c>
      <c r="B535" t="s">
        <v>680</v>
      </c>
    </row>
    <row r="536" spans="1:9" hidden="1" x14ac:dyDescent="0.25">
      <c r="A536" t="s">
        <v>269</v>
      </c>
      <c r="B536" t="s">
        <v>687</v>
      </c>
    </row>
    <row r="537" spans="1:9" hidden="1" x14ac:dyDescent="0.25">
      <c r="A537" t="s">
        <v>272</v>
      </c>
      <c r="B537" t="s">
        <v>273</v>
      </c>
    </row>
    <row r="538" spans="1:9" hidden="1" x14ac:dyDescent="0.25">
      <c r="A538" t="s">
        <v>274</v>
      </c>
      <c r="B538" t="s">
        <v>870</v>
      </c>
    </row>
    <row r="539" spans="1:9" hidden="1" x14ac:dyDescent="0.25">
      <c r="A539" t="s">
        <v>276</v>
      </c>
      <c r="B539" t="s">
        <v>277</v>
      </c>
    </row>
    <row r="540" spans="1:9" hidden="1" x14ac:dyDescent="0.25">
      <c r="A540" t="s">
        <v>278</v>
      </c>
      <c r="B540" t="s">
        <v>279</v>
      </c>
    </row>
    <row r="541" spans="1:9" hidden="1" x14ac:dyDescent="0.25">
      <c r="A541" t="s">
        <v>853</v>
      </c>
      <c r="B541" t="s">
        <v>850</v>
      </c>
    </row>
    <row r="542" spans="1:9" ht="15.75" hidden="1" x14ac:dyDescent="0.25">
      <c r="A542" s="109" t="s">
        <v>280</v>
      </c>
    </row>
    <row r="543" spans="1:9" hidden="1" x14ac:dyDescent="0.25">
      <c r="A543" t="s">
        <v>281</v>
      </c>
      <c r="B543" t="s">
        <v>282</v>
      </c>
      <c r="C543" t="s">
        <v>283</v>
      </c>
      <c r="D543" t="s">
        <v>272</v>
      </c>
      <c r="E543" t="s">
        <v>278</v>
      </c>
      <c r="F543" t="s">
        <v>276</v>
      </c>
      <c r="G543" t="s">
        <v>284</v>
      </c>
      <c r="H543" t="s">
        <v>271</v>
      </c>
      <c r="I543" t="s">
        <v>274</v>
      </c>
    </row>
    <row r="544" spans="1:9" hidden="1" x14ac:dyDescent="0.25">
      <c r="A544" t="s">
        <v>869</v>
      </c>
      <c r="B544">
        <v>1</v>
      </c>
      <c r="C544" t="s">
        <v>850</v>
      </c>
      <c r="D544" t="s">
        <v>273</v>
      </c>
      <c r="E544" t="s">
        <v>279</v>
      </c>
      <c r="F544" t="s">
        <v>286</v>
      </c>
      <c r="G544">
        <v>0</v>
      </c>
      <c r="I544" t="s">
        <v>870</v>
      </c>
    </row>
    <row r="545" spans="1:9" hidden="1" x14ac:dyDescent="0.25">
      <c r="A545" t="s">
        <v>688</v>
      </c>
      <c r="B545">
        <v>0.98</v>
      </c>
      <c r="C545" t="s">
        <v>850</v>
      </c>
      <c r="D545" t="s">
        <v>353</v>
      </c>
      <c r="E545" t="s">
        <v>279</v>
      </c>
      <c r="F545" t="s">
        <v>288</v>
      </c>
      <c r="G545">
        <v>0</v>
      </c>
      <c r="I545" t="s">
        <v>689</v>
      </c>
    </row>
    <row r="546" spans="1:9" hidden="1" x14ac:dyDescent="0.25">
      <c r="A546" t="s">
        <v>344</v>
      </c>
      <c r="B546">
        <v>1</v>
      </c>
      <c r="C546" t="s">
        <v>854</v>
      </c>
      <c r="D546" t="s">
        <v>305</v>
      </c>
      <c r="E546" t="s">
        <v>279</v>
      </c>
      <c r="F546" t="s">
        <v>288</v>
      </c>
      <c r="G546">
        <v>0</v>
      </c>
      <c r="I546" t="s">
        <v>344</v>
      </c>
    </row>
    <row r="547" spans="1:9" hidden="1" x14ac:dyDescent="0.25">
      <c r="A547" t="s">
        <v>858</v>
      </c>
      <c r="B547">
        <v>0.85</v>
      </c>
      <c r="C547" t="s">
        <v>854</v>
      </c>
      <c r="D547" t="s">
        <v>305</v>
      </c>
      <c r="E547" t="s">
        <v>487</v>
      </c>
      <c r="F547" t="s">
        <v>288</v>
      </c>
      <c r="G547">
        <v>0</v>
      </c>
      <c r="H547" t="s">
        <v>871</v>
      </c>
      <c r="I547" t="s">
        <v>858</v>
      </c>
    </row>
    <row r="548" spans="1:9" hidden="1" x14ac:dyDescent="0.25">
      <c r="A548" t="s">
        <v>858</v>
      </c>
      <c r="B548">
        <v>0.95</v>
      </c>
      <c r="C548" t="s">
        <v>854</v>
      </c>
      <c r="D548" t="s">
        <v>305</v>
      </c>
      <c r="E548" t="s">
        <v>487</v>
      </c>
      <c r="F548" t="s">
        <v>288</v>
      </c>
      <c r="G548">
        <v>0</v>
      </c>
      <c r="H548" t="s">
        <v>690</v>
      </c>
      <c r="I548" t="s">
        <v>858</v>
      </c>
    </row>
    <row r="549" spans="1:9" hidden="1" x14ac:dyDescent="0.25">
      <c r="A549" t="s">
        <v>691</v>
      </c>
      <c r="B549">
        <v>1.66E-2</v>
      </c>
      <c r="C549" t="s">
        <v>854</v>
      </c>
      <c r="D549" t="s">
        <v>305</v>
      </c>
      <c r="E549" t="s">
        <v>323</v>
      </c>
      <c r="F549" t="s">
        <v>288</v>
      </c>
      <c r="G549">
        <v>0</v>
      </c>
      <c r="I549" t="s">
        <v>417</v>
      </c>
    </row>
    <row r="550" spans="1:9" hidden="1" x14ac:dyDescent="0.25"/>
    <row r="551" spans="1:9" ht="15.75" hidden="1" x14ac:dyDescent="0.25">
      <c r="A551" s="109" t="s">
        <v>265</v>
      </c>
      <c r="B551" s="109" t="s">
        <v>256</v>
      </c>
    </row>
    <row r="552" spans="1:9" hidden="1" x14ac:dyDescent="0.25">
      <c r="A552" t="s">
        <v>267</v>
      </c>
      <c r="B552" t="s">
        <v>680</v>
      </c>
    </row>
    <row r="553" spans="1:9" hidden="1" x14ac:dyDescent="0.25">
      <c r="A553" t="s">
        <v>269</v>
      </c>
      <c r="B553" t="s">
        <v>692</v>
      </c>
    </row>
    <row r="554" spans="1:9" hidden="1" x14ac:dyDescent="0.25">
      <c r="A554" t="s">
        <v>272</v>
      </c>
      <c r="B554" t="s">
        <v>273</v>
      </c>
    </row>
    <row r="555" spans="1:9" hidden="1" x14ac:dyDescent="0.25">
      <c r="A555" t="s">
        <v>274</v>
      </c>
      <c r="B555" t="s">
        <v>618</v>
      </c>
    </row>
    <row r="556" spans="1:9" hidden="1" x14ac:dyDescent="0.25">
      <c r="A556" t="s">
        <v>276</v>
      </c>
      <c r="B556" t="s">
        <v>277</v>
      </c>
    </row>
    <row r="557" spans="1:9" hidden="1" x14ac:dyDescent="0.25">
      <c r="A557" t="s">
        <v>278</v>
      </c>
      <c r="B557" t="s">
        <v>279</v>
      </c>
    </row>
    <row r="558" spans="1:9" hidden="1" x14ac:dyDescent="0.25">
      <c r="A558" t="s">
        <v>853</v>
      </c>
      <c r="B558" t="s">
        <v>850</v>
      </c>
    </row>
    <row r="559" spans="1:9" ht="15.75" hidden="1" x14ac:dyDescent="0.25">
      <c r="A559" s="109" t="s">
        <v>280</v>
      </c>
    </row>
    <row r="560" spans="1:9" hidden="1" x14ac:dyDescent="0.25">
      <c r="A560" t="s">
        <v>281</v>
      </c>
      <c r="B560" t="s">
        <v>282</v>
      </c>
      <c r="C560" t="s">
        <v>283</v>
      </c>
      <c r="D560" t="s">
        <v>272</v>
      </c>
      <c r="E560" t="s">
        <v>278</v>
      </c>
      <c r="F560" t="s">
        <v>276</v>
      </c>
      <c r="G560" t="s">
        <v>284</v>
      </c>
      <c r="H560" t="s">
        <v>274</v>
      </c>
    </row>
    <row r="561" spans="1:8" hidden="1" x14ac:dyDescent="0.25">
      <c r="A561" t="s">
        <v>256</v>
      </c>
      <c r="B561">
        <v>1</v>
      </c>
      <c r="C561" t="s">
        <v>850</v>
      </c>
      <c r="D561" t="s">
        <v>273</v>
      </c>
      <c r="E561" t="s">
        <v>279</v>
      </c>
      <c r="F561" t="s">
        <v>286</v>
      </c>
      <c r="G561">
        <v>0</v>
      </c>
      <c r="H561" t="s">
        <v>618</v>
      </c>
    </row>
    <row r="562" spans="1:8" hidden="1" x14ac:dyDescent="0.25">
      <c r="A562" t="s">
        <v>616</v>
      </c>
      <c r="B562">
        <v>0.5</v>
      </c>
      <c r="C562" t="s">
        <v>850</v>
      </c>
      <c r="D562" t="s">
        <v>356</v>
      </c>
      <c r="E562" t="s">
        <v>279</v>
      </c>
      <c r="F562" t="s">
        <v>288</v>
      </c>
      <c r="G562">
        <v>0</v>
      </c>
      <c r="H562" t="s">
        <v>618</v>
      </c>
    </row>
    <row r="563" spans="1:8" hidden="1" x14ac:dyDescent="0.25">
      <c r="A563" t="s">
        <v>616</v>
      </c>
      <c r="B563">
        <v>0.5</v>
      </c>
      <c r="C563" t="s">
        <v>850</v>
      </c>
      <c r="D563" t="s">
        <v>356</v>
      </c>
      <c r="E563" t="s">
        <v>279</v>
      </c>
      <c r="F563" t="s">
        <v>288</v>
      </c>
      <c r="G563">
        <v>0</v>
      </c>
      <c r="H563" t="s">
        <v>618</v>
      </c>
    </row>
    <row r="564" spans="1:8" hidden="1" x14ac:dyDescent="0.25">
      <c r="A564" t="s">
        <v>858</v>
      </c>
      <c r="B564">
        <v>0.9</v>
      </c>
      <c r="C564" t="s">
        <v>854</v>
      </c>
      <c r="D564" t="s">
        <v>305</v>
      </c>
      <c r="E564" t="s">
        <v>487</v>
      </c>
      <c r="F564" t="s">
        <v>288</v>
      </c>
      <c r="G564">
        <v>0</v>
      </c>
      <c r="H564" t="s">
        <v>858</v>
      </c>
    </row>
    <row r="565" spans="1:8" hidden="1" x14ac:dyDescent="0.25">
      <c r="A565" t="s">
        <v>858</v>
      </c>
      <c r="B565">
        <v>0.65</v>
      </c>
      <c r="C565" t="s">
        <v>854</v>
      </c>
      <c r="D565" t="s">
        <v>305</v>
      </c>
      <c r="E565" t="s">
        <v>487</v>
      </c>
      <c r="F565" t="s">
        <v>288</v>
      </c>
      <c r="G565">
        <v>0</v>
      </c>
      <c r="H565" t="s">
        <v>858</v>
      </c>
    </row>
    <row r="566" spans="1:8" hidden="1" x14ac:dyDescent="0.25"/>
    <row r="567" spans="1:8" ht="15.75" hidden="1" x14ac:dyDescent="0.25">
      <c r="A567" s="109" t="s">
        <v>265</v>
      </c>
      <c r="B567" s="109" t="s">
        <v>227</v>
      </c>
    </row>
    <row r="568" spans="1:8" hidden="1" x14ac:dyDescent="0.25">
      <c r="A568" t="s">
        <v>267</v>
      </c>
      <c r="B568" t="s">
        <v>680</v>
      </c>
    </row>
    <row r="569" spans="1:8" hidden="1" x14ac:dyDescent="0.25">
      <c r="A569" t="s">
        <v>269</v>
      </c>
      <c r="B569" t="s">
        <v>693</v>
      </c>
    </row>
    <row r="570" spans="1:8" hidden="1" x14ac:dyDescent="0.25">
      <c r="A570" t="s">
        <v>272</v>
      </c>
      <c r="B570" t="s">
        <v>273</v>
      </c>
    </row>
    <row r="571" spans="1:8" hidden="1" x14ac:dyDescent="0.25">
      <c r="A571" t="s">
        <v>274</v>
      </c>
      <c r="B571" t="s">
        <v>359</v>
      </c>
    </row>
    <row r="572" spans="1:8" hidden="1" x14ac:dyDescent="0.25">
      <c r="A572" t="s">
        <v>276</v>
      </c>
      <c r="B572" t="s">
        <v>277</v>
      </c>
    </row>
    <row r="573" spans="1:8" hidden="1" x14ac:dyDescent="0.25">
      <c r="A573" t="s">
        <v>278</v>
      </c>
      <c r="B573" t="s">
        <v>279</v>
      </c>
    </row>
    <row r="574" spans="1:8" hidden="1" x14ac:dyDescent="0.25">
      <c r="A574" t="s">
        <v>853</v>
      </c>
      <c r="B574" t="s">
        <v>850</v>
      </c>
    </row>
    <row r="575" spans="1:8" ht="15.75" hidden="1" x14ac:dyDescent="0.25">
      <c r="A575" s="109" t="s">
        <v>280</v>
      </c>
    </row>
    <row r="576" spans="1:8" hidden="1" x14ac:dyDescent="0.25">
      <c r="A576" t="s">
        <v>281</v>
      </c>
      <c r="B576" t="s">
        <v>282</v>
      </c>
      <c r="C576" t="s">
        <v>283</v>
      </c>
      <c r="D576" t="s">
        <v>272</v>
      </c>
      <c r="E576" t="s">
        <v>278</v>
      </c>
      <c r="F576" t="s">
        <v>276</v>
      </c>
      <c r="G576" t="s">
        <v>284</v>
      </c>
      <c r="H576" t="s">
        <v>274</v>
      </c>
    </row>
    <row r="577" spans="1:8" hidden="1" x14ac:dyDescent="0.25">
      <c r="A577" t="s">
        <v>227</v>
      </c>
      <c r="B577">
        <v>1</v>
      </c>
      <c r="C577" t="s">
        <v>850</v>
      </c>
      <c r="D577" t="s">
        <v>273</v>
      </c>
      <c r="E577" t="s">
        <v>279</v>
      </c>
      <c r="F577" t="s">
        <v>286</v>
      </c>
      <c r="G577">
        <v>0</v>
      </c>
      <c r="H577" t="s">
        <v>359</v>
      </c>
    </row>
    <row r="578" spans="1:8" hidden="1" x14ac:dyDescent="0.25">
      <c r="A578" t="s">
        <v>358</v>
      </c>
      <c r="B578">
        <v>1</v>
      </c>
      <c r="C578" t="s">
        <v>850</v>
      </c>
      <c r="D578" t="s">
        <v>384</v>
      </c>
      <c r="E578" t="s">
        <v>279</v>
      </c>
      <c r="F578" t="s">
        <v>288</v>
      </c>
      <c r="G578">
        <v>0</v>
      </c>
      <c r="H578" t="s">
        <v>359</v>
      </c>
    </row>
    <row r="579" spans="1:8" hidden="1" x14ac:dyDescent="0.25">
      <c r="A579" t="s">
        <v>858</v>
      </c>
      <c r="B579">
        <v>1.8</v>
      </c>
      <c r="C579" t="s">
        <v>854</v>
      </c>
      <c r="D579" t="s">
        <v>305</v>
      </c>
      <c r="E579" t="s">
        <v>487</v>
      </c>
      <c r="F579" t="s">
        <v>288</v>
      </c>
      <c r="G579">
        <v>0</v>
      </c>
      <c r="H579" t="s">
        <v>858</v>
      </c>
    </row>
    <row r="580" spans="1:8" hidden="1" x14ac:dyDescent="0.25"/>
    <row r="581" spans="1:8" ht="15.75" hidden="1" x14ac:dyDescent="0.25">
      <c r="A581" s="109" t="s">
        <v>265</v>
      </c>
      <c r="B581" s="109" t="s">
        <v>233</v>
      </c>
    </row>
    <row r="582" spans="1:8" hidden="1" x14ac:dyDescent="0.25">
      <c r="A582" t="s">
        <v>267</v>
      </c>
      <c r="B582" t="s">
        <v>680</v>
      </c>
    </row>
    <row r="583" spans="1:8" hidden="1" x14ac:dyDescent="0.25">
      <c r="A583" t="s">
        <v>269</v>
      </c>
      <c r="B583" t="s">
        <v>694</v>
      </c>
    </row>
    <row r="584" spans="1:8" hidden="1" x14ac:dyDescent="0.25">
      <c r="A584" t="s">
        <v>272</v>
      </c>
      <c r="B584" t="s">
        <v>273</v>
      </c>
    </row>
    <row r="585" spans="1:8" hidden="1" x14ac:dyDescent="0.25">
      <c r="A585" t="s">
        <v>274</v>
      </c>
      <c r="B585" t="s">
        <v>654</v>
      </c>
    </row>
    <row r="586" spans="1:8" hidden="1" x14ac:dyDescent="0.25">
      <c r="A586" t="s">
        <v>276</v>
      </c>
      <c r="B586" t="s">
        <v>277</v>
      </c>
    </row>
    <row r="587" spans="1:8" hidden="1" x14ac:dyDescent="0.25">
      <c r="A587" t="s">
        <v>278</v>
      </c>
      <c r="B587" t="s">
        <v>310</v>
      </c>
    </row>
    <row r="588" spans="1:8" hidden="1" x14ac:dyDescent="0.25">
      <c r="A588" t="s">
        <v>853</v>
      </c>
      <c r="B588" t="s">
        <v>850</v>
      </c>
    </row>
    <row r="589" spans="1:8" ht="15.75" hidden="1" x14ac:dyDescent="0.25">
      <c r="A589" s="109" t="s">
        <v>280</v>
      </c>
    </row>
    <row r="590" spans="1:8" hidden="1" x14ac:dyDescent="0.25">
      <c r="A590" t="s">
        <v>281</v>
      </c>
      <c r="B590" t="s">
        <v>282</v>
      </c>
      <c r="C590" t="s">
        <v>283</v>
      </c>
      <c r="D590" t="s">
        <v>272</v>
      </c>
      <c r="E590" t="s">
        <v>278</v>
      </c>
      <c r="F590" t="s">
        <v>276</v>
      </c>
      <c r="G590" t="s">
        <v>284</v>
      </c>
      <c r="H590" t="s">
        <v>274</v>
      </c>
    </row>
    <row r="591" spans="1:8" hidden="1" x14ac:dyDescent="0.25">
      <c r="A591" t="s">
        <v>233</v>
      </c>
      <c r="B591">
        <v>1</v>
      </c>
      <c r="C591" t="s">
        <v>850</v>
      </c>
      <c r="D591" t="s">
        <v>273</v>
      </c>
      <c r="E591" t="s">
        <v>310</v>
      </c>
      <c r="F591" t="s">
        <v>286</v>
      </c>
      <c r="G591">
        <v>0</v>
      </c>
      <c r="H591" t="s">
        <v>654</v>
      </c>
    </row>
    <row r="592" spans="1:8" hidden="1" x14ac:dyDescent="0.25">
      <c r="A592" t="s">
        <v>652</v>
      </c>
      <c r="B592">
        <v>1</v>
      </c>
      <c r="C592" t="s">
        <v>850</v>
      </c>
      <c r="D592" t="s">
        <v>371</v>
      </c>
      <c r="E592" t="s">
        <v>310</v>
      </c>
      <c r="F592" t="s">
        <v>288</v>
      </c>
      <c r="G592">
        <v>0</v>
      </c>
      <c r="H592" t="s">
        <v>654</v>
      </c>
    </row>
    <row r="593" spans="1:8" hidden="1" x14ac:dyDescent="0.25">
      <c r="A593" t="s">
        <v>858</v>
      </c>
      <c r="B593">
        <v>920</v>
      </c>
      <c r="C593" t="s">
        <v>854</v>
      </c>
      <c r="D593" t="s">
        <v>305</v>
      </c>
      <c r="E593" t="s">
        <v>487</v>
      </c>
      <c r="F593" t="s">
        <v>288</v>
      </c>
      <c r="G593">
        <v>0</v>
      </c>
      <c r="H593" t="s">
        <v>858</v>
      </c>
    </row>
    <row r="594" spans="1:8" hidden="1" x14ac:dyDescent="0.25"/>
    <row r="595" spans="1:8" ht="15.75" hidden="1" x14ac:dyDescent="0.25">
      <c r="A595" s="109" t="s">
        <v>265</v>
      </c>
      <c r="B595" s="109" t="s">
        <v>218</v>
      </c>
    </row>
    <row r="596" spans="1:8" hidden="1" x14ac:dyDescent="0.25">
      <c r="A596" t="s">
        <v>267</v>
      </c>
      <c r="B596" t="s">
        <v>680</v>
      </c>
    </row>
    <row r="597" spans="1:8" hidden="1" x14ac:dyDescent="0.25">
      <c r="A597" t="s">
        <v>269</v>
      </c>
      <c r="B597" t="s">
        <v>697</v>
      </c>
    </row>
    <row r="598" spans="1:8" hidden="1" x14ac:dyDescent="0.25">
      <c r="A598" t="s">
        <v>272</v>
      </c>
      <c r="B598" t="s">
        <v>273</v>
      </c>
    </row>
    <row r="599" spans="1:8" hidden="1" x14ac:dyDescent="0.25">
      <c r="A599" t="s">
        <v>274</v>
      </c>
      <c r="B599" t="s">
        <v>698</v>
      </c>
    </row>
    <row r="600" spans="1:8" hidden="1" x14ac:dyDescent="0.25">
      <c r="A600" t="s">
        <v>276</v>
      </c>
      <c r="B600" t="s">
        <v>277</v>
      </c>
    </row>
    <row r="601" spans="1:8" hidden="1" x14ac:dyDescent="0.25">
      <c r="A601" t="s">
        <v>278</v>
      </c>
      <c r="B601" t="s">
        <v>279</v>
      </c>
    </row>
    <row r="602" spans="1:8" hidden="1" x14ac:dyDescent="0.25">
      <c r="A602" t="s">
        <v>853</v>
      </c>
      <c r="B602" t="s">
        <v>850</v>
      </c>
    </row>
    <row r="603" spans="1:8" ht="15.75" hidden="1" x14ac:dyDescent="0.25">
      <c r="A603" s="109" t="s">
        <v>280</v>
      </c>
    </row>
    <row r="604" spans="1:8" hidden="1" x14ac:dyDescent="0.25">
      <c r="A604" t="s">
        <v>281</v>
      </c>
      <c r="B604" t="s">
        <v>282</v>
      </c>
      <c r="C604" t="s">
        <v>283</v>
      </c>
      <c r="D604" t="s">
        <v>272</v>
      </c>
      <c r="E604" t="s">
        <v>278</v>
      </c>
      <c r="F604" t="s">
        <v>276</v>
      </c>
      <c r="G604" t="s">
        <v>284</v>
      </c>
      <c r="H604" t="s">
        <v>274</v>
      </c>
    </row>
    <row r="605" spans="1:8" hidden="1" x14ac:dyDescent="0.25">
      <c r="A605" t="s">
        <v>218</v>
      </c>
      <c r="B605">
        <v>1</v>
      </c>
      <c r="C605" t="s">
        <v>850</v>
      </c>
      <c r="D605" t="s">
        <v>273</v>
      </c>
      <c r="E605" t="s">
        <v>279</v>
      </c>
      <c r="F605" t="s">
        <v>286</v>
      </c>
      <c r="G605">
        <v>0</v>
      </c>
      <c r="H605" t="s">
        <v>698</v>
      </c>
    </row>
    <row r="606" spans="1:8" hidden="1" x14ac:dyDescent="0.25">
      <c r="A606" t="s">
        <v>699</v>
      </c>
      <c r="B606">
        <v>0.5</v>
      </c>
      <c r="C606" t="s">
        <v>850</v>
      </c>
      <c r="D606" t="s">
        <v>371</v>
      </c>
      <c r="E606" t="s">
        <v>279</v>
      </c>
      <c r="F606" t="s">
        <v>288</v>
      </c>
      <c r="G606">
        <v>0</v>
      </c>
      <c r="H606" t="s">
        <v>698</v>
      </c>
    </row>
    <row r="607" spans="1:8" hidden="1" x14ac:dyDescent="0.25">
      <c r="A607" t="s">
        <v>699</v>
      </c>
      <c r="B607">
        <v>0.5</v>
      </c>
      <c r="C607" t="s">
        <v>850</v>
      </c>
      <c r="D607" t="s">
        <v>353</v>
      </c>
      <c r="E607" t="s">
        <v>279</v>
      </c>
      <c r="F607" t="s">
        <v>288</v>
      </c>
      <c r="G607">
        <v>0</v>
      </c>
      <c r="H607" t="s">
        <v>698</v>
      </c>
    </row>
    <row r="608" spans="1:8" hidden="1" x14ac:dyDescent="0.25">
      <c r="A608" t="s">
        <v>858</v>
      </c>
      <c r="B608">
        <v>0.57499999999999996</v>
      </c>
      <c r="C608" t="s">
        <v>854</v>
      </c>
      <c r="D608" t="s">
        <v>305</v>
      </c>
      <c r="E608" t="s">
        <v>487</v>
      </c>
      <c r="F608" t="s">
        <v>288</v>
      </c>
      <c r="G608">
        <v>0</v>
      </c>
      <c r="H608" t="s">
        <v>858</v>
      </c>
    </row>
    <row r="609" spans="1:8" hidden="1" x14ac:dyDescent="0.25">
      <c r="A609" t="s">
        <v>858</v>
      </c>
      <c r="B609">
        <v>0.92500000000000004</v>
      </c>
      <c r="C609" t="s">
        <v>854</v>
      </c>
      <c r="D609" t="s">
        <v>305</v>
      </c>
      <c r="E609" t="s">
        <v>487</v>
      </c>
      <c r="F609" t="s">
        <v>288</v>
      </c>
      <c r="G609">
        <v>0</v>
      </c>
      <c r="H609" t="s">
        <v>858</v>
      </c>
    </row>
    <row r="610" spans="1:8" hidden="1" x14ac:dyDescent="0.25"/>
    <row r="611" spans="1:8" ht="15.75" hidden="1" x14ac:dyDescent="0.25">
      <c r="A611" s="109" t="s">
        <v>265</v>
      </c>
      <c r="B611" s="109" t="s">
        <v>230</v>
      </c>
    </row>
    <row r="612" spans="1:8" hidden="1" x14ac:dyDescent="0.25">
      <c r="A612" t="s">
        <v>267</v>
      </c>
      <c r="B612" t="s">
        <v>680</v>
      </c>
    </row>
    <row r="613" spans="1:8" hidden="1" x14ac:dyDescent="0.25">
      <c r="A613" t="s">
        <v>269</v>
      </c>
      <c r="B613" t="s">
        <v>700</v>
      </c>
    </row>
    <row r="614" spans="1:8" hidden="1" x14ac:dyDescent="0.25">
      <c r="A614" t="s">
        <v>272</v>
      </c>
      <c r="B614" t="s">
        <v>273</v>
      </c>
    </row>
    <row r="615" spans="1:8" hidden="1" x14ac:dyDescent="0.25">
      <c r="A615" t="s">
        <v>274</v>
      </c>
      <c r="B615" t="s">
        <v>701</v>
      </c>
    </row>
    <row r="616" spans="1:8" hidden="1" x14ac:dyDescent="0.25">
      <c r="A616" t="s">
        <v>276</v>
      </c>
      <c r="B616" t="s">
        <v>277</v>
      </c>
    </row>
    <row r="617" spans="1:8" hidden="1" x14ac:dyDescent="0.25">
      <c r="A617" t="s">
        <v>278</v>
      </c>
      <c r="B617" t="s">
        <v>310</v>
      </c>
    </row>
    <row r="618" spans="1:8" hidden="1" x14ac:dyDescent="0.25">
      <c r="A618" t="s">
        <v>853</v>
      </c>
      <c r="B618" t="s">
        <v>850</v>
      </c>
    </row>
    <row r="619" spans="1:8" ht="15.75" hidden="1" x14ac:dyDescent="0.25">
      <c r="A619" s="109" t="s">
        <v>280</v>
      </c>
    </row>
    <row r="620" spans="1:8" hidden="1" x14ac:dyDescent="0.25">
      <c r="A620" t="s">
        <v>281</v>
      </c>
      <c r="B620" t="s">
        <v>282</v>
      </c>
      <c r="C620" t="s">
        <v>283</v>
      </c>
      <c r="D620" t="s">
        <v>272</v>
      </c>
      <c r="E620" t="s">
        <v>278</v>
      </c>
      <c r="F620" t="s">
        <v>276</v>
      </c>
      <c r="G620" t="s">
        <v>284</v>
      </c>
      <c r="H620" t="s">
        <v>274</v>
      </c>
    </row>
    <row r="621" spans="1:8" hidden="1" x14ac:dyDescent="0.25">
      <c r="A621" t="s">
        <v>230</v>
      </c>
      <c r="B621">
        <v>1</v>
      </c>
      <c r="C621" t="s">
        <v>850</v>
      </c>
      <c r="D621" t="s">
        <v>273</v>
      </c>
      <c r="E621" t="s">
        <v>310</v>
      </c>
      <c r="F621" t="s">
        <v>286</v>
      </c>
      <c r="G621">
        <v>0</v>
      </c>
      <c r="H621" t="s">
        <v>701</v>
      </c>
    </row>
    <row r="622" spans="1:8" hidden="1" x14ac:dyDescent="0.25">
      <c r="A622" t="s">
        <v>702</v>
      </c>
      <c r="B622">
        <v>1</v>
      </c>
      <c r="C622" t="s">
        <v>850</v>
      </c>
      <c r="D622" t="s">
        <v>636</v>
      </c>
      <c r="E622" t="s">
        <v>310</v>
      </c>
      <c r="F622" t="s">
        <v>288</v>
      </c>
      <c r="G622">
        <v>0</v>
      </c>
      <c r="H622" t="s">
        <v>701</v>
      </c>
    </row>
    <row r="623" spans="1:8" hidden="1" x14ac:dyDescent="0.25">
      <c r="A623" t="s">
        <v>858</v>
      </c>
      <c r="B623">
        <v>0.39</v>
      </c>
      <c r="C623" t="s">
        <v>854</v>
      </c>
      <c r="D623" t="s">
        <v>305</v>
      </c>
      <c r="E623" t="s">
        <v>487</v>
      </c>
      <c r="F623" t="s">
        <v>288</v>
      </c>
      <c r="G623">
        <v>0</v>
      </c>
      <c r="H623" t="s">
        <v>858</v>
      </c>
    </row>
    <row r="624" spans="1:8" hidden="1" x14ac:dyDescent="0.25"/>
    <row r="625" spans="1:8" ht="15.75" hidden="1" x14ac:dyDescent="0.25">
      <c r="A625" s="109" t="s">
        <v>265</v>
      </c>
      <c r="B625" s="109" t="s">
        <v>209</v>
      </c>
    </row>
    <row r="626" spans="1:8" hidden="1" x14ac:dyDescent="0.25">
      <c r="A626" t="s">
        <v>267</v>
      </c>
      <c r="B626" t="s">
        <v>680</v>
      </c>
    </row>
    <row r="627" spans="1:8" hidden="1" x14ac:dyDescent="0.25">
      <c r="A627" t="s">
        <v>269</v>
      </c>
      <c r="B627" t="s">
        <v>703</v>
      </c>
    </row>
    <row r="628" spans="1:8" hidden="1" x14ac:dyDescent="0.25">
      <c r="A628" t="s">
        <v>272</v>
      </c>
      <c r="B628" t="s">
        <v>273</v>
      </c>
    </row>
    <row r="629" spans="1:8" hidden="1" x14ac:dyDescent="0.25">
      <c r="A629" t="s">
        <v>274</v>
      </c>
      <c r="B629" t="s">
        <v>704</v>
      </c>
    </row>
    <row r="630" spans="1:8" hidden="1" x14ac:dyDescent="0.25">
      <c r="A630" t="s">
        <v>276</v>
      </c>
      <c r="B630" t="s">
        <v>277</v>
      </c>
    </row>
    <row r="631" spans="1:8" hidden="1" x14ac:dyDescent="0.25">
      <c r="A631" t="s">
        <v>278</v>
      </c>
      <c r="B631" t="s">
        <v>310</v>
      </c>
    </row>
    <row r="632" spans="1:8" hidden="1" x14ac:dyDescent="0.25">
      <c r="A632" t="s">
        <v>853</v>
      </c>
      <c r="B632" t="s">
        <v>850</v>
      </c>
    </row>
    <row r="633" spans="1:8" ht="15.75" hidden="1" x14ac:dyDescent="0.25">
      <c r="A633" s="109" t="s">
        <v>280</v>
      </c>
    </row>
    <row r="634" spans="1:8" hidden="1" x14ac:dyDescent="0.25">
      <c r="A634" t="s">
        <v>281</v>
      </c>
      <c r="B634" t="s">
        <v>282</v>
      </c>
      <c r="C634" t="s">
        <v>283</v>
      </c>
      <c r="D634" t="s">
        <v>272</v>
      </c>
      <c r="E634" t="s">
        <v>278</v>
      </c>
      <c r="F634" t="s">
        <v>276</v>
      </c>
      <c r="G634" t="s">
        <v>284</v>
      </c>
      <c r="H634" t="s">
        <v>274</v>
      </c>
    </row>
    <row r="635" spans="1:8" hidden="1" x14ac:dyDescent="0.25">
      <c r="A635" t="s">
        <v>209</v>
      </c>
      <c r="B635">
        <v>1</v>
      </c>
      <c r="C635" t="s">
        <v>850</v>
      </c>
      <c r="D635" t="s">
        <v>273</v>
      </c>
      <c r="E635" t="s">
        <v>310</v>
      </c>
      <c r="F635" t="s">
        <v>286</v>
      </c>
      <c r="G635">
        <v>0</v>
      </c>
      <c r="H635" t="s">
        <v>704</v>
      </c>
    </row>
    <row r="636" spans="1:8" hidden="1" x14ac:dyDescent="0.25">
      <c r="A636" t="s">
        <v>705</v>
      </c>
      <c r="B636">
        <v>1</v>
      </c>
      <c r="C636" t="s">
        <v>850</v>
      </c>
      <c r="D636" t="s">
        <v>634</v>
      </c>
      <c r="E636" t="s">
        <v>310</v>
      </c>
      <c r="F636" t="s">
        <v>288</v>
      </c>
      <c r="G636">
        <v>0</v>
      </c>
      <c r="H636" t="s">
        <v>704</v>
      </c>
    </row>
    <row r="637" spans="1:8" hidden="1" x14ac:dyDescent="0.25">
      <c r="A637" t="s">
        <v>868</v>
      </c>
      <c r="B637">
        <v>2350</v>
      </c>
      <c r="C637" t="s">
        <v>854</v>
      </c>
      <c r="D637" t="s">
        <v>327</v>
      </c>
      <c r="E637" t="s">
        <v>487</v>
      </c>
      <c r="F637" t="s">
        <v>288</v>
      </c>
      <c r="G637">
        <v>0</v>
      </c>
      <c r="H637" t="s">
        <v>863</v>
      </c>
    </row>
    <row r="638" spans="1:8" hidden="1" x14ac:dyDescent="0.25"/>
    <row r="639" spans="1:8" ht="15.75" hidden="1" x14ac:dyDescent="0.25">
      <c r="A639" s="109" t="s">
        <v>265</v>
      </c>
      <c r="B639" s="109" t="s">
        <v>235</v>
      </c>
    </row>
    <row r="640" spans="1:8" hidden="1" x14ac:dyDescent="0.25">
      <c r="A640" t="s">
        <v>267</v>
      </c>
      <c r="B640" t="s">
        <v>680</v>
      </c>
    </row>
    <row r="641" spans="1:8" hidden="1" x14ac:dyDescent="0.25">
      <c r="A641" t="s">
        <v>269</v>
      </c>
      <c r="B641" t="s">
        <v>706</v>
      </c>
    </row>
    <row r="642" spans="1:8" hidden="1" x14ac:dyDescent="0.25">
      <c r="A642" t="s">
        <v>272</v>
      </c>
      <c r="B642" t="s">
        <v>273</v>
      </c>
    </row>
    <row r="643" spans="1:8" hidden="1" x14ac:dyDescent="0.25">
      <c r="A643" t="s">
        <v>274</v>
      </c>
      <c r="B643" t="s">
        <v>707</v>
      </c>
    </row>
    <row r="644" spans="1:8" hidden="1" x14ac:dyDescent="0.25">
      <c r="A644" t="s">
        <v>276</v>
      </c>
      <c r="B644" t="s">
        <v>277</v>
      </c>
    </row>
    <row r="645" spans="1:8" hidden="1" x14ac:dyDescent="0.25">
      <c r="A645" t="s">
        <v>278</v>
      </c>
      <c r="B645" t="s">
        <v>279</v>
      </c>
    </row>
    <row r="646" spans="1:8" hidden="1" x14ac:dyDescent="0.25">
      <c r="A646" t="s">
        <v>853</v>
      </c>
      <c r="B646" t="s">
        <v>850</v>
      </c>
    </row>
    <row r="647" spans="1:8" ht="15.75" hidden="1" x14ac:dyDescent="0.25">
      <c r="A647" s="109" t="s">
        <v>280</v>
      </c>
    </row>
    <row r="648" spans="1:8" hidden="1" x14ac:dyDescent="0.25">
      <c r="A648" t="s">
        <v>281</v>
      </c>
      <c r="B648" t="s">
        <v>282</v>
      </c>
      <c r="C648" t="s">
        <v>283</v>
      </c>
      <c r="D648" t="s">
        <v>272</v>
      </c>
      <c r="E648" t="s">
        <v>278</v>
      </c>
      <c r="F648" t="s">
        <v>276</v>
      </c>
      <c r="G648" t="s">
        <v>284</v>
      </c>
      <c r="H648" t="s">
        <v>274</v>
      </c>
    </row>
    <row r="649" spans="1:8" hidden="1" x14ac:dyDescent="0.25">
      <c r="A649" t="s">
        <v>235</v>
      </c>
      <c r="B649">
        <v>1</v>
      </c>
      <c r="C649" t="s">
        <v>850</v>
      </c>
      <c r="D649" t="s">
        <v>273</v>
      </c>
      <c r="E649" t="s">
        <v>279</v>
      </c>
      <c r="F649" t="s">
        <v>286</v>
      </c>
      <c r="G649">
        <v>0</v>
      </c>
      <c r="H649" t="s">
        <v>707</v>
      </c>
    </row>
    <row r="650" spans="1:8" hidden="1" x14ac:dyDescent="0.25">
      <c r="A650" t="s">
        <v>708</v>
      </c>
      <c r="B650">
        <v>0.5</v>
      </c>
      <c r="C650" t="s">
        <v>850</v>
      </c>
      <c r="D650" t="s">
        <v>327</v>
      </c>
      <c r="E650" t="s">
        <v>279</v>
      </c>
      <c r="F650" t="s">
        <v>288</v>
      </c>
      <c r="G650">
        <v>0</v>
      </c>
      <c r="H650" t="s">
        <v>708</v>
      </c>
    </row>
    <row r="651" spans="1:8" hidden="1" x14ac:dyDescent="0.25">
      <c r="A651" t="s">
        <v>708</v>
      </c>
      <c r="B651">
        <v>0.25</v>
      </c>
      <c r="C651" t="s">
        <v>850</v>
      </c>
      <c r="D651" t="s">
        <v>353</v>
      </c>
      <c r="E651" t="s">
        <v>279</v>
      </c>
      <c r="F651" t="s">
        <v>288</v>
      </c>
      <c r="G651">
        <v>0</v>
      </c>
      <c r="H651" t="s">
        <v>708</v>
      </c>
    </row>
    <row r="652" spans="1:8" hidden="1" x14ac:dyDescent="0.25">
      <c r="A652" t="s">
        <v>708</v>
      </c>
      <c r="B652">
        <v>0.25</v>
      </c>
      <c r="C652" t="s">
        <v>850</v>
      </c>
      <c r="D652" t="s">
        <v>371</v>
      </c>
      <c r="E652" t="s">
        <v>279</v>
      </c>
      <c r="F652" t="s">
        <v>288</v>
      </c>
      <c r="G652">
        <v>0</v>
      </c>
      <c r="H652" t="s">
        <v>708</v>
      </c>
    </row>
    <row r="653" spans="1:8" hidden="1" x14ac:dyDescent="0.25">
      <c r="A653" t="s">
        <v>858</v>
      </c>
      <c r="B653">
        <v>0.9</v>
      </c>
      <c r="C653" t="s">
        <v>854</v>
      </c>
      <c r="D653" t="s">
        <v>305</v>
      </c>
      <c r="E653" t="s">
        <v>487</v>
      </c>
      <c r="F653" t="s">
        <v>288</v>
      </c>
      <c r="G653">
        <v>0</v>
      </c>
      <c r="H653" t="s">
        <v>858</v>
      </c>
    </row>
    <row r="654" spans="1:8" hidden="1" x14ac:dyDescent="0.25">
      <c r="A654" t="s">
        <v>858</v>
      </c>
      <c r="B654">
        <v>0.45</v>
      </c>
      <c r="C654" t="s">
        <v>854</v>
      </c>
      <c r="D654" t="s">
        <v>305</v>
      </c>
      <c r="E654" t="s">
        <v>487</v>
      </c>
      <c r="F654" t="s">
        <v>288</v>
      </c>
      <c r="G654">
        <v>0</v>
      </c>
      <c r="H654" t="s">
        <v>858</v>
      </c>
    </row>
    <row r="655" spans="1:8" hidden="1" x14ac:dyDescent="0.25">
      <c r="A655" t="s">
        <v>858</v>
      </c>
      <c r="B655">
        <v>0.32500000000000001</v>
      </c>
      <c r="C655" t="s">
        <v>854</v>
      </c>
      <c r="D655" t="s">
        <v>305</v>
      </c>
      <c r="E655" t="s">
        <v>487</v>
      </c>
      <c r="F655" t="s">
        <v>288</v>
      </c>
      <c r="G655">
        <v>0</v>
      </c>
      <c r="H655" t="s">
        <v>858</v>
      </c>
    </row>
    <row r="656" spans="1:8" hidden="1" x14ac:dyDescent="0.25"/>
    <row r="657" spans="1:8" ht="15.75" hidden="1" x14ac:dyDescent="0.25">
      <c r="A657" s="109" t="s">
        <v>265</v>
      </c>
      <c r="B657" s="109" t="s">
        <v>253</v>
      </c>
    </row>
    <row r="658" spans="1:8" hidden="1" x14ac:dyDescent="0.25">
      <c r="A658" t="s">
        <v>267</v>
      </c>
      <c r="B658" t="s">
        <v>680</v>
      </c>
    </row>
    <row r="659" spans="1:8" hidden="1" x14ac:dyDescent="0.25">
      <c r="A659" t="s">
        <v>269</v>
      </c>
      <c r="B659" t="s">
        <v>709</v>
      </c>
    </row>
    <row r="660" spans="1:8" hidden="1" x14ac:dyDescent="0.25">
      <c r="A660" t="s">
        <v>272</v>
      </c>
      <c r="B660" t="s">
        <v>273</v>
      </c>
    </row>
    <row r="661" spans="1:8" hidden="1" x14ac:dyDescent="0.25">
      <c r="A661" t="s">
        <v>274</v>
      </c>
      <c r="B661" t="s">
        <v>710</v>
      </c>
    </row>
    <row r="662" spans="1:8" hidden="1" x14ac:dyDescent="0.25">
      <c r="A662" t="s">
        <v>276</v>
      </c>
      <c r="B662" t="s">
        <v>277</v>
      </c>
    </row>
    <row r="663" spans="1:8" hidden="1" x14ac:dyDescent="0.25">
      <c r="A663" t="s">
        <v>278</v>
      </c>
      <c r="B663" t="s">
        <v>279</v>
      </c>
    </row>
    <row r="664" spans="1:8" hidden="1" x14ac:dyDescent="0.25">
      <c r="A664" t="s">
        <v>853</v>
      </c>
      <c r="B664" t="s">
        <v>850</v>
      </c>
    </row>
    <row r="665" spans="1:8" ht="15.75" hidden="1" x14ac:dyDescent="0.25">
      <c r="A665" s="109" t="s">
        <v>280</v>
      </c>
    </row>
    <row r="666" spans="1:8" hidden="1" x14ac:dyDescent="0.25">
      <c r="A666" t="s">
        <v>281</v>
      </c>
      <c r="B666" t="s">
        <v>282</v>
      </c>
      <c r="C666" t="s">
        <v>283</v>
      </c>
      <c r="D666" t="s">
        <v>272</v>
      </c>
      <c r="E666" t="s">
        <v>278</v>
      </c>
      <c r="F666" t="s">
        <v>276</v>
      </c>
      <c r="G666" t="s">
        <v>284</v>
      </c>
      <c r="H666" t="s">
        <v>274</v>
      </c>
    </row>
    <row r="667" spans="1:8" hidden="1" x14ac:dyDescent="0.25">
      <c r="A667" t="s">
        <v>253</v>
      </c>
      <c r="B667">
        <v>1</v>
      </c>
      <c r="C667" t="s">
        <v>850</v>
      </c>
      <c r="D667" t="s">
        <v>273</v>
      </c>
      <c r="E667" t="s">
        <v>279</v>
      </c>
      <c r="F667" t="s">
        <v>286</v>
      </c>
      <c r="G667">
        <v>0</v>
      </c>
      <c r="H667" t="s">
        <v>710</v>
      </c>
    </row>
    <row r="668" spans="1:8" hidden="1" x14ac:dyDescent="0.25">
      <c r="A668" t="s">
        <v>711</v>
      </c>
      <c r="B668">
        <v>0.5</v>
      </c>
      <c r="C668" t="s">
        <v>850</v>
      </c>
      <c r="D668" t="s">
        <v>353</v>
      </c>
      <c r="E668" t="s">
        <v>279</v>
      </c>
      <c r="F668" t="s">
        <v>288</v>
      </c>
      <c r="G668">
        <v>0</v>
      </c>
      <c r="H668" t="s">
        <v>710</v>
      </c>
    </row>
    <row r="669" spans="1:8" hidden="1" x14ac:dyDescent="0.25">
      <c r="A669" t="s">
        <v>711</v>
      </c>
      <c r="B669">
        <v>0.5</v>
      </c>
      <c r="C669" t="s">
        <v>850</v>
      </c>
      <c r="D669" t="s">
        <v>371</v>
      </c>
      <c r="E669" t="s">
        <v>279</v>
      </c>
      <c r="F669" t="s">
        <v>288</v>
      </c>
      <c r="G669">
        <v>0</v>
      </c>
      <c r="H669" t="s">
        <v>710</v>
      </c>
    </row>
    <row r="670" spans="1:8" hidden="1" x14ac:dyDescent="0.25">
      <c r="A670" t="s">
        <v>858</v>
      </c>
      <c r="B670">
        <v>0.9</v>
      </c>
      <c r="C670" t="s">
        <v>854</v>
      </c>
      <c r="D670" t="s">
        <v>305</v>
      </c>
      <c r="E670" t="s">
        <v>487</v>
      </c>
      <c r="F670" t="s">
        <v>288</v>
      </c>
      <c r="G670">
        <v>0</v>
      </c>
      <c r="H670" t="s">
        <v>858</v>
      </c>
    </row>
    <row r="671" spans="1:8" hidden="1" x14ac:dyDescent="0.25">
      <c r="A671" t="s">
        <v>858</v>
      </c>
      <c r="B671">
        <v>0.65</v>
      </c>
      <c r="C671" t="s">
        <v>854</v>
      </c>
      <c r="D671" t="s">
        <v>305</v>
      </c>
      <c r="E671" t="s">
        <v>487</v>
      </c>
      <c r="F671" t="s">
        <v>288</v>
      </c>
      <c r="G671">
        <v>0</v>
      </c>
      <c r="H671" t="s">
        <v>858</v>
      </c>
    </row>
    <row r="672" spans="1:8" hidden="1" x14ac:dyDescent="0.25"/>
    <row r="673" spans="1:9" ht="15.75" hidden="1" x14ac:dyDescent="0.25">
      <c r="A673" s="109" t="s">
        <v>265</v>
      </c>
      <c r="B673" s="109" t="s">
        <v>712</v>
      </c>
    </row>
    <row r="674" spans="1:9" hidden="1" x14ac:dyDescent="0.25">
      <c r="A674" t="s">
        <v>267</v>
      </c>
      <c r="B674" t="s">
        <v>680</v>
      </c>
    </row>
    <row r="675" spans="1:9" hidden="1" x14ac:dyDescent="0.25">
      <c r="A675" t="s">
        <v>269</v>
      </c>
      <c r="B675" t="s">
        <v>713</v>
      </c>
    </row>
    <row r="676" spans="1:9" hidden="1" x14ac:dyDescent="0.25">
      <c r="A676" t="s">
        <v>272</v>
      </c>
      <c r="B676" t="s">
        <v>273</v>
      </c>
    </row>
    <row r="677" spans="1:9" hidden="1" x14ac:dyDescent="0.25">
      <c r="A677" t="s">
        <v>274</v>
      </c>
      <c r="B677" t="s">
        <v>714</v>
      </c>
    </row>
    <row r="678" spans="1:9" hidden="1" x14ac:dyDescent="0.25">
      <c r="A678" t="s">
        <v>276</v>
      </c>
      <c r="B678" t="s">
        <v>277</v>
      </c>
    </row>
    <row r="679" spans="1:9" hidden="1" x14ac:dyDescent="0.25">
      <c r="A679" t="s">
        <v>278</v>
      </c>
      <c r="B679" t="s">
        <v>323</v>
      </c>
    </row>
    <row r="680" spans="1:9" hidden="1" x14ac:dyDescent="0.25">
      <c r="A680" t="s">
        <v>853</v>
      </c>
      <c r="B680" t="s">
        <v>850</v>
      </c>
    </row>
    <row r="681" spans="1:9" ht="15.75" hidden="1" x14ac:dyDescent="0.25">
      <c r="A681" s="109" t="s">
        <v>280</v>
      </c>
    </row>
    <row r="682" spans="1:9" hidden="1" x14ac:dyDescent="0.25">
      <c r="A682" t="s">
        <v>281</v>
      </c>
      <c r="B682" t="s">
        <v>282</v>
      </c>
      <c r="C682" t="s">
        <v>283</v>
      </c>
      <c r="D682" t="s">
        <v>272</v>
      </c>
      <c r="E682" t="s">
        <v>278</v>
      </c>
      <c r="F682" t="s">
        <v>276</v>
      </c>
      <c r="G682" t="s">
        <v>284</v>
      </c>
      <c r="H682" t="s">
        <v>271</v>
      </c>
      <c r="I682" t="s">
        <v>274</v>
      </c>
    </row>
    <row r="683" spans="1:9" hidden="1" x14ac:dyDescent="0.25">
      <c r="A683" t="s">
        <v>712</v>
      </c>
      <c r="B683">
        <v>1</v>
      </c>
      <c r="C683" t="s">
        <v>850</v>
      </c>
      <c r="D683" t="s">
        <v>273</v>
      </c>
      <c r="E683" t="s">
        <v>323</v>
      </c>
      <c r="F683" t="s">
        <v>286</v>
      </c>
      <c r="G683">
        <v>0</v>
      </c>
      <c r="I683" t="s">
        <v>714</v>
      </c>
    </row>
    <row r="684" spans="1:9" hidden="1" x14ac:dyDescent="0.25">
      <c r="A684" t="s">
        <v>614</v>
      </c>
      <c r="B684">
        <v>7.2981927710000001</v>
      </c>
      <c r="C684" t="s">
        <v>850</v>
      </c>
      <c r="D684" t="s">
        <v>384</v>
      </c>
      <c r="E684" t="s">
        <v>279</v>
      </c>
      <c r="F684" t="s">
        <v>288</v>
      </c>
      <c r="G684">
        <v>0</v>
      </c>
      <c r="I684" t="s">
        <v>409</v>
      </c>
    </row>
    <row r="685" spans="1:9" hidden="1" x14ac:dyDescent="0.25">
      <c r="A685" t="s">
        <v>472</v>
      </c>
      <c r="B685">
        <v>0.52759999999999996</v>
      </c>
      <c r="C685" t="s">
        <v>850</v>
      </c>
      <c r="D685" t="s">
        <v>384</v>
      </c>
      <c r="E685" t="s">
        <v>323</v>
      </c>
      <c r="F685" t="s">
        <v>288</v>
      </c>
      <c r="G685">
        <v>0</v>
      </c>
      <c r="I685" t="s">
        <v>322</v>
      </c>
    </row>
    <row r="686" spans="1:9" hidden="1" x14ac:dyDescent="0.25">
      <c r="A686" t="s">
        <v>872</v>
      </c>
      <c r="B686">
        <v>0.291209</v>
      </c>
      <c r="C686" t="s">
        <v>854</v>
      </c>
      <c r="D686" t="s">
        <v>293</v>
      </c>
      <c r="E686" t="s">
        <v>279</v>
      </c>
      <c r="F686" t="s">
        <v>288</v>
      </c>
      <c r="G686">
        <v>0</v>
      </c>
      <c r="I686" t="s">
        <v>873</v>
      </c>
    </row>
    <row r="687" spans="1:9" hidden="1" x14ac:dyDescent="0.25">
      <c r="A687" t="s">
        <v>296</v>
      </c>
      <c r="B687">
        <v>13.8</v>
      </c>
      <c r="C687" t="s">
        <v>854</v>
      </c>
      <c r="D687" t="s">
        <v>273</v>
      </c>
      <c r="E687" t="s">
        <v>297</v>
      </c>
      <c r="F687" t="s">
        <v>288</v>
      </c>
      <c r="G687">
        <v>0</v>
      </c>
      <c r="I687" t="s">
        <v>298</v>
      </c>
    </row>
    <row r="688" spans="1:9" hidden="1" x14ac:dyDescent="0.25">
      <c r="A688" t="s">
        <v>479</v>
      </c>
      <c r="B688">
        <v>2.7534999999999999E-3</v>
      </c>
      <c r="C688" t="s">
        <v>854</v>
      </c>
      <c r="D688" t="s">
        <v>305</v>
      </c>
      <c r="E688" t="s">
        <v>279</v>
      </c>
      <c r="F688" t="s">
        <v>288</v>
      </c>
      <c r="G688">
        <v>0</v>
      </c>
      <c r="I688" t="s">
        <v>480</v>
      </c>
    </row>
    <row r="689" spans="1:9" hidden="1" x14ac:dyDescent="0.25">
      <c r="A689" t="s">
        <v>481</v>
      </c>
      <c r="B689">
        <v>4.3200000000000003E-8</v>
      </c>
      <c r="C689" t="s">
        <v>854</v>
      </c>
      <c r="D689" t="s">
        <v>305</v>
      </c>
      <c r="E689" t="s">
        <v>278</v>
      </c>
      <c r="F689" t="s">
        <v>288</v>
      </c>
      <c r="G689">
        <v>0</v>
      </c>
      <c r="I689" t="s">
        <v>412</v>
      </c>
    </row>
    <row r="690" spans="1:9" hidden="1" x14ac:dyDescent="0.25">
      <c r="A690" t="s">
        <v>857</v>
      </c>
      <c r="B690">
        <v>2.91325E-3</v>
      </c>
      <c r="C690" t="s">
        <v>854</v>
      </c>
      <c r="D690" t="s">
        <v>327</v>
      </c>
      <c r="E690" t="s">
        <v>279</v>
      </c>
      <c r="F690" t="s">
        <v>288</v>
      </c>
      <c r="G690">
        <v>0</v>
      </c>
      <c r="I690" t="s">
        <v>405</v>
      </c>
    </row>
    <row r="691" spans="1:9" hidden="1" x14ac:dyDescent="0.25">
      <c r="A691" t="s">
        <v>482</v>
      </c>
      <c r="B691">
        <v>7.2981927710000001</v>
      </c>
      <c r="C691" t="s">
        <v>850</v>
      </c>
      <c r="D691" t="s">
        <v>327</v>
      </c>
      <c r="E691" t="s">
        <v>279</v>
      </c>
      <c r="F691" t="s">
        <v>288</v>
      </c>
      <c r="G691">
        <v>0</v>
      </c>
      <c r="I691" t="s">
        <v>413</v>
      </c>
    </row>
    <row r="692" spans="1:9" hidden="1" x14ac:dyDescent="0.25">
      <c r="A692" t="s">
        <v>485</v>
      </c>
      <c r="B692">
        <v>5.4580000000000002</v>
      </c>
      <c r="C692" t="s">
        <v>850</v>
      </c>
      <c r="D692" t="s">
        <v>273</v>
      </c>
      <c r="E692" t="s">
        <v>279</v>
      </c>
      <c r="F692" t="s">
        <v>288</v>
      </c>
      <c r="G692">
        <v>0</v>
      </c>
      <c r="I692" t="s">
        <v>485</v>
      </c>
    </row>
    <row r="693" spans="1:9" hidden="1" x14ac:dyDescent="0.25">
      <c r="A693" t="s">
        <v>486</v>
      </c>
      <c r="B693">
        <v>0.222527</v>
      </c>
      <c r="C693" t="s">
        <v>854</v>
      </c>
      <c r="D693" t="s">
        <v>305</v>
      </c>
      <c r="E693" t="s">
        <v>279</v>
      </c>
      <c r="F693" t="s">
        <v>288</v>
      </c>
      <c r="G693">
        <v>0</v>
      </c>
      <c r="I693" t="s">
        <v>415</v>
      </c>
    </row>
    <row r="694" spans="1:9" hidden="1" x14ac:dyDescent="0.25">
      <c r="A694" t="s">
        <v>858</v>
      </c>
      <c r="B694">
        <v>52.641359999999999</v>
      </c>
      <c r="C694" t="s">
        <v>854</v>
      </c>
      <c r="D694" t="s">
        <v>305</v>
      </c>
      <c r="E694" t="s">
        <v>487</v>
      </c>
      <c r="F694" t="s">
        <v>288</v>
      </c>
      <c r="G694">
        <v>0</v>
      </c>
      <c r="H694" t="s">
        <v>715</v>
      </c>
      <c r="I694" t="s">
        <v>858</v>
      </c>
    </row>
    <row r="695" spans="1:9" hidden="1" x14ac:dyDescent="0.25"/>
    <row r="696" spans="1:9" ht="15.75" hidden="1" x14ac:dyDescent="0.25">
      <c r="A696" s="109" t="s">
        <v>265</v>
      </c>
      <c r="B696" s="109" t="s">
        <v>720</v>
      </c>
    </row>
    <row r="697" spans="1:9" hidden="1" x14ac:dyDescent="0.25">
      <c r="A697" t="s">
        <v>267</v>
      </c>
      <c r="B697" t="s">
        <v>680</v>
      </c>
    </row>
    <row r="698" spans="1:9" hidden="1" x14ac:dyDescent="0.25">
      <c r="A698" t="s">
        <v>269</v>
      </c>
      <c r="B698" t="s">
        <v>721</v>
      </c>
    </row>
    <row r="699" spans="1:9" hidden="1" x14ac:dyDescent="0.25">
      <c r="A699" t="s">
        <v>272</v>
      </c>
      <c r="B699" t="s">
        <v>273</v>
      </c>
    </row>
    <row r="700" spans="1:9" hidden="1" x14ac:dyDescent="0.25">
      <c r="A700" t="s">
        <v>274</v>
      </c>
      <c r="B700" t="s">
        <v>722</v>
      </c>
    </row>
    <row r="701" spans="1:9" hidden="1" x14ac:dyDescent="0.25">
      <c r="A701" t="s">
        <v>276</v>
      </c>
      <c r="B701" t="s">
        <v>277</v>
      </c>
    </row>
    <row r="702" spans="1:9" hidden="1" x14ac:dyDescent="0.25">
      <c r="A702" t="s">
        <v>278</v>
      </c>
      <c r="B702" t="s">
        <v>279</v>
      </c>
    </row>
    <row r="703" spans="1:9" hidden="1" x14ac:dyDescent="0.25">
      <c r="A703" t="s">
        <v>853</v>
      </c>
      <c r="B703" t="s">
        <v>850</v>
      </c>
    </row>
    <row r="704" spans="1:9" ht="15.75" hidden="1" x14ac:dyDescent="0.25">
      <c r="A704" s="109" t="s">
        <v>280</v>
      </c>
    </row>
    <row r="705" spans="1:8" hidden="1" x14ac:dyDescent="0.25">
      <c r="A705" t="s">
        <v>281</v>
      </c>
      <c r="B705" t="s">
        <v>282</v>
      </c>
      <c r="C705" t="s">
        <v>283</v>
      </c>
      <c r="D705" t="s">
        <v>272</v>
      </c>
      <c r="E705" t="s">
        <v>278</v>
      </c>
      <c r="F705" t="s">
        <v>276</v>
      </c>
      <c r="G705" t="s">
        <v>284</v>
      </c>
      <c r="H705" t="s">
        <v>274</v>
      </c>
    </row>
    <row r="706" spans="1:8" hidden="1" x14ac:dyDescent="0.25">
      <c r="A706" t="s">
        <v>720</v>
      </c>
      <c r="B706">
        <v>1</v>
      </c>
      <c r="C706" t="s">
        <v>850</v>
      </c>
      <c r="D706" t="s">
        <v>273</v>
      </c>
      <c r="E706" t="s">
        <v>279</v>
      </c>
      <c r="F706" t="s">
        <v>286</v>
      </c>
      <c r="G706">
        <v>0</v>
      </c>
      <c r="H706" t="s">
        <v>722</v>
      </c>
    </row>
    <row r="707" spans="1:8" hidden="1" x14ac:dyDescent="0.25">
      <c r="A707" t="s">
        <v>564</v>
      </c>
      <c r="B707">
        <v>1</v>
      </c>
      <c r="C707" t="s">
        <v>850</v>
      </c>
      <c r="D707" t="s">
        <v>327</v>
      </c>
      <c r="E707" t="s">
        <v>279</v>
      </c>
      <c r="F707" t="s">
        <v>288</v>
      </c>
      <c r="G707">
        <v>0</v>
      </c>
      <c r="H707" t="s">
        <v>564</v>
      </c>
    </row>
    <row r="708" spans="1:8" hidden="1" x14ac:dyDescent="0.25">
      <c r="A708" t="s">
        <v>858</v>
      </c>
      <c r="B708">
        <v>1.7</v>
      </c>
      <c r="C708" t="s">
        <v>854</v>
      </c>
      <c r="D708" t="s">
        <v>305</v>
      </c>
      <c r="E708" t="s">
        <v>487</v>
      </c>
      <c r="F708" t="s">
        <v>288</v>
      </c>
      <c r="G708">
        <v>0</v>
      </c>
      <c r="H708" t="s">
        <v>858</v>
      </c>
    </row>
    <row r="709" spans="1:8" hidden="1" x14ac:dyDescent="0.25"/>
    <row r="710" spans="1:8" ht="15.75" hidden="1" x14ac:dyDescent="0.25">
      <c r="A710" s="109" t="s">
        <v>265</v>
      </c>
      <c r="B710" s="109" t="s">
        <v>723</v>
      </c>
    </row>
    <row r="711" spans="1:8" hidden="1" x14ac:dyDescent="0.25">
      <c r="A711" t="s">
        <v>267</v>
      </c>
      <c r="B711" t="s">
        <v>680</v>
      </c>
    </row>
    <row r="712" spans="1:8" hidden="1" x14ac:dyDescent="0.25">
      <c r="A712" t="s">
        <v>269</v>
      </c>
      <c r="B712" t="s">
        <v>724</v>
      </c>
    </row>
    <row r="713" spans="1:8" hidden="1" x14ac:dyDescent="0.25">
      <c r="A713" t="s">
        <v>272</v>
      </c>
      <c r="B713" t="s">
        <v>273</v>
      </c>
    </row>
    <row r="714" spans="1:8" hidden="1" x14ac:dyDescent="0.25">
      <c r="A714" t="s">
        <v>274</v>
      </c>
      <c r="B714" t="s">
        <v>725</v>
      </c>
    </row>
    <row r="715" spans="1:8" hidden="1" x14ac:dyDescent="0.25">
      <c r="A715" t="s">
        <v>276</v>
      </c>
      <c r="B715" t="s">
        <v>277</v>
      </c>
    </row>
    <row r="716" spans="1:8" hidden="1" x14ac:dyDescent="0.25">
      <c r="A716" t="s">
        <v>278</v>
      </c>
      <c r="B716" t="s">
        <v>279</v>
      </c>
    </row>
    <row r="717" spans="1:8" hidden="1" x14ac:dyDescent="0.25">
      <c r="A717" t="s">
        <v>853</v>
      </c>
      <c r="B717" t="s">
        <v>850</v>
      </c>
    </row>
    <row r="718" spans="1:8" ht="15.75" hidden="1" x14ac:dyDescent="0.25">
      <c r="A718" s="109" t="s">
        <v>280</v>
      </c>
    </row>
    <row r="719" spans="1:8" hidden="1" x14ac:dyDescent="0.25">
      <c r="A719" t="s">
        <v>281</v>
      </c>
      <c r="B719" t="s">
        <v>282</v>
      </c>
      <c r="C719" t="s">
        <v>283</v>
      </c>
      <c r="D719" t="s">
        <v>272</v>
      </c>
      <c r="E719" t="s">
        <v>278</v>
      </c>
      <c r="F719" t="s">
        <v>276</v>
      </c>
      <c r="G719" t="s">
        <v>284</v>
      </c>
      <c r="H719" t="s">
        <v>274</v>
      </c>
    </row>
    <row r="720" spans="1:8" hidden="1" x14ac:dyDescent="0.25">
      <c r="A720" t="s">
        <v>723</v>
      </c>
      <c r="B720">
        <v>1</v>
      </c>
      <c r="C720" t="s">
        <v>850</v>
      </c>
      <c r="D720" t="s">
        <v>273</v>
      </c>
      <c r="E720" t="s">
        <v>279</v>
      </c>
      <c r="F720" t="s">
        <v>286</v>
      </c>
      <c r="G720">
        <v>0</v>
      </c>
      <c r="H720" t="s">
        <v>725</v>
      </c>
    </row>
    <row r="721" spans="1:8" hidden="1" x14ac:dyDescent="0.25">
      <c r="A721" t="s">
        <v>688</v>
      </c>
      <c r="B721">
        <v>0.99</v>
      </c>
      <c r="C721" t="s">
        <v>850</v>
      </c>
      <c r="D721" t="s">
        <v>353</v>
      </c>
      <c r="E721" t="s">
        <v>279</v>
      </c>
      <c r="F721" t="s">
        <v>288</v>
      </c>
      <c r="G721">
        <v>0</v>
      </c>
      <c r="H721" t="s">
        <v>689</v>
      </c>
    </row>
    <row r="722" spans="1:8" hidden="1" x14ac:dyDescent="0.25">
      <c r="A722" t="s">
        <v>344</v>
      </c>
      <c r="B722">
        <v>1</v>
      </c>
      <c r="C722" t="s">
        <v>854</v>
      </c>
      <c r="D722" t="s">
        <v>305</v>
      </c>
      <c r="E722" t="s">
        <v>279</v>
      </c>
      <c r="F722" t="s">
        <v>288</v>
      </c>
      <c r="G722">
        <v>0</v>
      </c>
      <c r="H722" t="s">
        <v>344</v>
      </c>
    </row>
    <row r="723" spans="1:8" hidden="1" x14ac:dyDescent="0.25">
      <c r="A723" t="s">
        <v>858</v>
      </c>
      <c r="B723">
        <v>1.8</v>
      </c>
      <c r="C723" t="s">
        <v>854</v>
      </c>
      <c r="D723" t="s">
        <v>305</v>
      </c>
      <c r="E723" t="s">
        <v>487</v>
      </c>
      <c r="F723" t="s">
        <v>288</v>
      </c>
      <c r="G723">
        <v>0</v>
      </c>
      <c r="H723" t="s">
        <v>858</v>
      </c>
    </row>
    <row r="724" spans="1:8" hidden="1" x14ac:dyDescent="0.25">
      <c r="A724" t="s">
        <v>726</v>
      </c>
      <c r="B724">
        <v>9.5999999999999992E-3</v>
      </c>
      <c r="C724" t="s">
        <v>854</v>
      </c>
      <c r="D724" t="s">
        <v>305</v>
      </c>
      <c r="E724" t="s">
        <v>323</v>
      </c>
      <c r="F724" t="s">
        <v>288</v>
      </c>
      <c r="G724">
        <v>0</v>
      </c>
      <c r="H724" t="s">
        <v>416</v>
      </c>
    </row>
    <row r="725" spans="1:8" hidden="1" x14ac:dyDescent="0.25"/>
    <row r="726" spans="1:8" ht="15.75" hidden="1" x14ac:dyDescent="0.25">
      <c r="A726" s="109" t="s">
        <v>265</v>
      </c>
      <c r="B726" s="109" t="s">
        <v>727</v>
      </c>
    </row>
    <row r="727" spans="1:8" hidden="1" x14ac:dyDescent="0.25">
      <c r="A727" t="s">
        <v>267</v>
      </c>
      <c r="B727" t="s">
        <v>680</v>
      </c>
    </row>
    <row r="728" spans="1:8" hidden="1" x14ac:dyDescent="0.25">
      <c r="A728" t="s">
        <v>269</v>
      </c>
      <c r="B728" t="s">
        <v>728</v>
      </c>
    </row>
    <row r="729" spans="1:8" hidden="1" x14ac:dyDescent="0.25">
      <c r="A729" t="s">
        <v>272</v>
      </c>
      <c r="B729" t="s">
        <v>273</v>
      </c>
    </row>
    <row r="730" spans="1:8" hidden="1" x14ac:dyDescent="0.25">
      <c r="A730" t="s">
        <v>274</v>
      </c>
      <c r="B730" t="s">
        <v>729</v>
      </c>
    </row>
    <row r="731" spans="1:8" hidden="1" x14ac:dyDescent="0.25">
      <c r="A731" t="s">
        <v>276</v>
      </c>
      <c r="B731" t="s">
        <v>277</v>
      </c>
    </row>
    <row r="732" spans="1:8" hidden="1" x14ac:dyDescent="0.25">
      <c r="A732" t="s">
        <v>278</v>
      </c>
      <c r="B732" t="s">
        <v>279</v>
      </c>
    </row>
    <row r="733" spans="1:8" hidden="1" x14ac:dyDescent="0.25">
      <c r="A733" t="s">
        <v>853</v>
      </c>
      <c r="B733" t="s">
        <v>850</v>
      </c>
    </row>
    <row r="734" spans="1:8" ht="15.75" hidden="1" x14ac:dyDescent="0.25">
      <c r="A734" s="109" t="s">
        <v>280</v>
      </c>
    </row>
    <row r="735" spans="1:8" hidden="1" x14ac:dyDescent="0.25">
      <c r="A735" t="s">
        <v>281</v>
      </c>
      <c r="B735" t="s">
        <v>282</v>
      </c>
      <c r="C735" t="s">
        <v>283</v>
      </c>
      <c r="D735" t="s">
        <v>272</v>
      </c>
      <c r="E735" t="s">
        <v>278</v>
      </c>
      <c r="F735" t="s">
        <v>276</v>
      </c>
      <c r="G735" t="s">
        <v>284</v>
      </c>
      <c r="H735" t="s">
        <v>274</v>
      </c>
    </row>
    <row r="736" spans="1:8" hidden="1" x14ac:dyDescent="0.25">
      <c r="A736" t="s">
        <v>727</v>
      </c>
      <c r="B736">
        <v>1</v>
      </c>
      <c r="C736" t="s">
        <v>850</v>
      </c>
      <c r="D736" t="s">
        <v>273</v>
      </c>
      <c r="E736" t="s">
        <v>279</v>
      </c>
      <c r="F736" t="s">
        <v>286</v>
      </c>
      <c r="G736">
        <v>0</v>
      </c>
      <c r="H736" t="s">
        <v>729</v>
      </c>
    </row>
    <row r="737" spans="1:9" hidden="1" x14ac:dyDescent="0.25">
      <c r="A737" t="s">
        <v>688</v>
      </c>
      <c r="B737">
        <v>1</v>
      </c>
      <c r="C737" t="s">
        <v>850</v>
      </c>
      <c r="D737" t="s">
        <v>353</v>
      </c>
      <c r="E737" t="s">
        <v>279</v>
      </c>
      <c r="F737" t="s">
        <v>288</v>
      </c>
      <c r="G737">
        <v>0</v>
      </c>
      <c r="H737" t="s">
        <v>689</v>
      </c>
    </row>
    <row r="738" spans="1:9" hidden="1" x14ac:dyDescent="0.25">
      <c r="A738" t="s">
        <v>874</v>
      </c>
      <c r="B738">
        <v>2.2000000000000002</v>
      </c>
      <c r="C738" t="s">
        <v>854</v>
      </c>
      <c r="D738" t="s">
        <v>293</v>
      </c>
      <c r="E738" t="s">
        <v>487</v>
      </c>
      <c r="F738" t="s">
        <v>288</v>
      </c>
      <c r="G738">
        <v>0</v>
      </c>
      <c r="H738" t="s">
        <v>874</v>
      </c>
    </row>
    <row r="739" spans="1:9" hidden="1" x14ac:dyDescent="0.25"/>
    <row r="740" spans="1:9" ht="15.75" hidden="1" x14ac:dyDescent="0.25">
      <c r="A740" s="109" t="s">
        <v>265</v>
      </c>
      <c r="B740" s="109" t="s">
        <v>732</v>
      </c>
    </row>
    <row r="741" spans="1:9" hidden="1" x14ac:dyDescent="0.25">
      <c r="A741" t="s">
        <v>267</v>
      </c>
      <c r="B741" t="s">
        <v>680</v>
      </c>
    </row>
    <row r="742" spans="1:9" hidden="1" x14ac:dyDescent="0.25">
      <c r="A742" t="s">
        <v>269</v>
      </c>
      <c r="B742" t="s">
        <v>733</v>
      </c>
    </row>
    <row r="743" spans="1:9" hidden="1" x14ac:dyDescent="0.25">
      <c r="A743" t="s">
        <v>272</v>
      </c>
      <c r="B743" t="s">
        <v>273</v>
      </c>
    </row>
    <row r="744" spans="1:9" hidden="1" x14ac:dyDescent="0.25">
      <c r="A744" t="s">
        <v>274</v>
      </c>
      <c r="B744" t="s">
        <v>734</v>
      </c>
    </row>
    <row r="745" spans="1:9" hidden="1" x14ac:dyDescent="0.25">
      <c r="A745" t="s">
        <v>276</v>
      </c>
      <c r="B745" t="s">
        <v>277</v>
      </c>
    </row>
    <row r="746" spans="1:9" hidden="1" x14ac:dyDescent="0.25">
      <c r="A746" t="s">
        <v>278</v>
      </c>
      <c r="B746" t="s">
        <v>279</v>
      </c>
    </row>
    <row r="747" spans="1:9" hidden="1" x14ac:dyDescent="0.25">
      <c r="A747" t="s">
        <v>853</v>
      </c>
      <c r="B747" t="s">
        <v>850</v>
      </c>
    </row>
    <row r="748" spans="1:9" ht="15.75" hidden="1" x14ac:dyDescent="0.25">
      <c r="A748" s="109" t="s">
        <v>280</v>
      </c>
    </row>
    <row r="749" spans="1:9" hidden="1" x14ac:dyDescent="0.25">
      <c r="A749" t="s">
        <v>281</v>
      </c>
      <c r="B749" t="s">
        <v>282</v>
      </c>
      <c r="C749" t="s">
        <v>283</v>
      </c>
      <c r="D749" t="s">
        <v>272</v>
      </c>
      <c r="E749" t="s">
        <v>278</v>
      </c>
      <c r="F749" t="s">
        <v>276</v>
      </c>
      <c r="G749" t="s">
        <v>284</v>
      </c>
      <c r="H749" t="s">
        <v>271</v>
      </c>
      <c r="I749" t="s">
        <v>274</v>
      </c>
    </row>
    <row r="750" spans="1:9" hidden="1" x14ac:dyDescent="0.25">
      <c r="A750" t="s">
        <v>732</v>
      </c>
      <c r="B750">
        <v>1</v>
      </c>
      <c r="C750" t="s">
        <v>850</v>
      </c>
      <c r="D750" t="s">
        <v>273</v>
      </c>
      <c r="E750" t="s">
        <v>279</v>
      </c>
      <c r="F750" t="s">
        <v>286</v>
      </c>
      <c r="G750">
        <v>0</v>
      </c>
      <c r="I750" t="s">
        <v>734</v>
      </c>
    </row>
    <row r="751" spans="1:9" hidden="1" x14ac:dyDescent="0.25">
      <c r="A751" t="s">
        <v>735</v>
      </c>
      <c r="B751">
        <v>0.460456942003515</v>
      </c>
      <c r="C751" t="s">
        <v>850</v>
      </c>
      <c r="D751" t="s">
        <v>353</v>
      </c>
      <c r="E751" t="s">
        <v>279</v>
      </c>
      <c r="F751" t="s">
        <v>288</v>
      </c>
      <c r="G751">
        <v>0</v>
      </c>
      <c r="I751" t="s">
        <v>736</v>
      </c>
    </row>
    <row r="752" spans="1:9" hidden="1" x14ac:dyDescent="0.25">
      <c r="A752" t="s">
        <v>564</v>
      </c>
      <c r="B752">
        <v>0.53954305799648505</v>
      </c>
      <c r="C752" t="s">
        <v>850</v>
      </c>
      <c r="D752" t="s">
        <v>371</v>
      </c>
      <c r="E752" t="s">
        <v>279</v>
      </c>
      <c r="F752" t="s">
        <v>288</v>
      </c>
      <c r="G752">
        <v>0</v>
      </c>
      <c r="I752" t="s">
        <v>564</v>
      </c>
    </row>
    <row r="753" spans="1:9" hidden="1" x14ac:dyDescent="0.25">
      <c r="A753" t="s">
        <v>874</v>
      </c>
      <c r="B753">
        <v>0.80931458699472802</v>
      </c>
      <c r="C753" t="s">
        <v>854</v>
      </c>
      <c r="D753" t="s">
        <v>293</v>
      </c>
      <c r="E753" t="s">
        <v>487</v>
      </c>
      <c r="F753" t="s">
        <v>288</v>
      </c>
      <c r="G753">
        <v>0</v>
      </c>
      <c r="H753" t="s">
        <v>737</v>
      </c>
      <c r="I753" t="s">
        <v>874</v>
      </c>
    </row>
    <row r="754" spans="1:9" hidden="1" x14ac:dyDescent="0.25">
      <c r="A754" t="s">
        <v>874</v>
      </c>
      <c r="B754">
        <v>1.0130052724077301</v>
      </c>
      <c r="C754" t="s">
        <v>854</v>
      </c>
      <c r="D754" t="s">
        <v>293</v>
      </c>
      <c r="E754" t="s">
        <v>487</v>
      </c>
      <c r="F754" t="s">
        <v>288</v>
      </c>
      <c r="G754">
        <v>0</v>
      </c>
      <c r="H754" t="s">
        <v>738</v>
      </c>
      <c r="I754" t="s">
        <v>874</v>
      </c>
    </row>
    <row r="755" spans="1:9" hidden="1" x14ac:dyDescent="0.25"/>
    <row r="756" spans="1:9" ht="15.75" hidden="1" x14ac:dyDescent="0.25">
      <c r="A756" s="109" t="s">
        <v>265</v>
      </c>
      <c r="B756" s="109" t="s">
        <v>345</v>
      </c>
    </row>
    <row r="757" spans="1:9" hidden="1" x14ac:dyDescent="0.25">
      <c r="A757" t="s">
        <v>267</v>
      </c>
      <c r="B757" t="s">
        <v>680</v>
      </c>
    </row>
    <row r="758" spans="1:9" hidden="1" x14ac:dyDescent="0.25">
      <c r="A758" t="s">
        <v>269</v>
      </c>
      <c r="B758" t="s">
        <v>739</v>
      </c>
    </row>
    <row r="759" spans="1:9" hidden="1" x14ac:dyDescent="0.25">
      <c r="A759" t="s">
        <v>272</v>
      </c>
      <c r="B759" t="s">
        <v>371</v>
      </c>
    </row>
    <row r="760" spans="1:9" hidden="1" x14ac:dyDescent="0.25">
      <c r="A760" t="s">
        <v>274</v>
      </c>
      <c r="B760" t="s">
        <v>346</v>
      </c>
    </row>
    <row r="761" spans="1:9" hidden="1" x14ac:dyDescent="0.25">
      <c r="A761" t="s">
        <v>276</v>
      </c>
      <c r="B761" t="s">
        <v>277</v>
      </c>
    </row>
    <row r="762" spans="1:9" hidden="1" x14ac:dyDescent="0.25">
      <c r="A762" t="s">
        <v>278</v>
      </c>
      <c r="B762" t="s">
        <v>279</v>
      </c>
    </row>
    <row r="763" spans="1:9" hidden="1" x14ac:dyDescent="0.25">
      <c r="A763" t="s">
        <v>853</v>
      </c>
      <c r="B763" t="s">
        <v>850</v>
      </c>
    </row>
    <row r="764" spans="1:9" ht="15.75" hidden="1" x14ac:dyDescent="0.25">
      <c r="A764" s="109" t="s">
        <v>280</v>
      </c>
    </row>
    <row r="765" spans="1:9" hidden="1" x14ac:dyDescent="0.25">
      <c r="A765" t="s">
        <v>281</v>
      </c>
      <c r="B765" t="s">
        <v>282</v>
      </c>
      <c r="C765" t="s">
        <v>283</v>
      </c>
      <c r="D765" t="s">
        <v>272</v>
      </c>
      <c r="E765" t="s">
        <v>278</v>
      </c>
      <c r="F765" t="s">
        <v>276</v>
      </c>
      <c r="G765" t="s">
        <v>284</v>
      </c>
      <c r="H765" t="s">
        <v>274</v>
      </c>
    </row>
    <row r="766" spans="1:9" hidden="1" x14ac:dyDescent="0.25">
      <c r="A766" t="s">
        <v>345</v>
      </c>
      <c r="B766">
        <v>1</v>
      </c>
      <c r="C766" t="s">
        <v>850</v>
      </c>
      <c r="D766" t="s">
        <v>371</v>
      </c>
      <c r="E766" t="s">
        <v>279</v>
      </c>
      <c r="F766" t="s">
        <v>286</v>
      </c>
      <c r="G766">
        <v>0</v>
      </c>
      <c r="H766" t="s">
        <v>346</v>
      </c>
    </row>
    <row r="767" spans="1:9" hidden="1" x14ac:dyDescent="0.25">
      <c r="A767" t="s">
        <v>740</v>
      </c>
      <c r="B767">
        <v>0.33333332999999998</v>
      </c>
      <c r="C767" t="s">
        <v>850</v>
      </c>
      <c r="D767" t="s">
        <v>371</v>
      </c>
      <c r="E767" t="s">
        <v>279</v>
      </c>
      <c r="F767" t="s">
        <v>288</v>
      </c>
      <c r="G767">
        <v>0</v>
      </c>
      <c r="H767" t="s">
        <v>346</v>
      </c>
    </row>
    <row r="768" spans="1:9" hidden="1" x14ac:dyDescent="0.25">
      <c r="A768" t="s">
        <v>741</v>
      </c>
      <c r="B768">
        <v>0.6666666</v>
      </c>
      <c r="C768" t="s">
        <v>850</v>
      </c>
      <c r="D768" t="s">
        <v>371</v>
      </c>
      <c r="E768" t="s">
        <v>279</v>
      </c>
      <c r="F768" t="s">
        <v>288</v>
      </c>
      <c r="G768">
        <v>0</v>
      </c>
      <c r="H768" t="s">
        <v>346</v>
      </c>
    </row>
    <row r="769" spans="1:8" hidden="1" x14ac:dyDescent="0.25"/>
    <row r="770" spans="1:8" ht="15.75" hidden="1" x14ac:dyDescent="0.25">
      <c r="A770" s="109" t="s">
        <v>265</v>
      </c>
      <c r="B770" s="109" t="s">
        <v>345</v>
      </c>
    </row>
    <row r="771" spans="1:8" hidden="1" x14ac:dyDescent="0.25">
      <c r="A771" t="s">
        <v>267</v>
      </c>
      <c r="B771" t="s">
        <v>680</v>
      </c>
    </row>
    <row r="772" spans="1:8" hidden="1" x14ac:dyDescent="0.25">
      <c r="A772" t="s">
        <v>269</v>
      </c>
      <c r="B772" t="s">
        <v>742</v>
      </c>
    </row>
    <row r="773" spans="1:8" hidden="1" x14ac:dyDescent="0.25">
      <c r="A773" t="s">
        <v>272</v>
      </c>
      <c r="B773" t="s">
        <v>327</v>
      </c>
    </row>
    <row r="774" spans="1:8" hidden="1" x14ac:dyDescent="0.25">
      <c r="A774" t="s">
        <v>274</v>
      </c>
      <c r="B774" t="s">
        <v>346</v>
      </c>
    </row>
    <row r="775" spans="1:8" hidden="1" x14ac:dyDescent="0.25">
      <c r="A775" t="s">
        <v>276</v>
      </c>
      <c r="B775" t="s">
        <v>277</v>
      </c>
    </row>
    <row r="776" spans="1:8" hidden="1" x14ac:dyDescent="0.25">
      <c r="A776" t="s">
        <v>278</v>
      </c>
      <c r="B776" t="s">
        <v>279</v>
      </c>
    </row>
    <row r="777" spans="1:8" hidden="1" x14ac:dyDescent="0.25">
      <c r="A777" t="s">
        <v>853</v>
      </c>
      <c r="B777" t="s">
        <v>850</v>
      </c>
    </row>
    <row r="778" spans="1:8" ht="15.75" hidden="1" x14ac:dyDescent="0.25">
      <c r="A778" s="109" t="s">
        <v>280</v>
      </c>
    </row>
    <row r="779" spans="1:8" hidden="1" x14ac:dyDescent="0.25">
      <c r="A779" t="s">
        <v>281</v>
      </c>
      <c r="B779" t="s">
        <v>282</v>
      </c>
      <c r="C779" t="s">
        <v>283</v>
      </c>
      <c r="D779" t="s">
        <v>272</v>
      </c>
      <c r="E779" t="s">
        <v>278</v>
      </c>
      <c r="F779" t="s">
        <v>276</v>
      </c>
      <c r="G779" t="s">
        <v>284</v>
      </c>
      <c r="H779" t="s">
        <v>274</v>
      </c>
    </row>
    <row r="780" spans="1:8" hidden="1" x14ac:dyDescent="0.25">
      <c r="A780" t="s">
        <v>345</v>
      </c>
      <c r="B780">
        <v>1</v>
      </c>
      <c r="C780" t="s">
        <v>850</v>
      </c>
      <c r="D780" t="s">
        <v>327</v>
      </c>
      <c r="E780" t="s">
        <v>279</v>
      </c>
      <c r="F780" t="s">
        <v>286</v>
      </c>
      <c r="G780">
        <v>0</v>
      </c>
      <c r="H780" t="s">
        <v>346</v>
      </c>
    </row>
    <row r="781" spans="1:8" hidden="1" x14ac:dyDescent="0.25">
      <c r="A781" t="s">
        <v>743</v>
      </c>
      <c r="B781">
        <v>0.32</v>
      </c>
      <c r="C781" t="s">
        <v>850</v>
      </c>
      <c r="D781" t="s">
        <v>327</v>
      </c>
      <c r="E781" t="s">
        <v>279</v>
      </c>
      <c r="F781" t="s">
        <v>288</v>
      </c>
      <c r="G781">
        <v>0</v>
      </c>
      <c r="H781" t="s">
        <v>346</v>
      </c>
    </row>
    <row r="782" spans="1:8" hidden="1" x14ac:dyDescent="0.25">
      <c r="A782" t="s">
        <v>740</v>
      </c>
      <c r="B782">
        <v>0.68</v>
      </c>
      <c r="C782" t="s">
        <v>850</v>
      </c>
      <c r="D782" t="s">
        <v>327</v>
      </c>
      <c r="E782" t="s">
        <v>279</v>
      </c>
      <c r="F782" t="s">
        <v>288</v>
      </c>
      <c r="G782">
        <v>0</v>
      </c>
      <c r="H782" t="s">
        <v>346</v>
      </c>
    </row>
    <row r="783" spans="1:8" hidden="1" x14ac:dyDescent="0.25"/>
    <row r="784" spans="1:8" ht="15.75" hidden="1" x14ac:dyDescent="0.25">
      <c r="A784" s="109" t="s">
        <v>265</v>
      </c>
      <c r="B784" s="109" t="s">
        <v>688</v>
      </c>
    </row>
    <row r="785" spans="1:8" hidden="1" x14ac:dyDescent="0.25">
      <c r="A785" t="s">
        <v>267</v>
      </c>
      <c r="B785" t="s">
        <v>680</v>
      </c>
    </row>
    <row r="786" spans="1:8" hidden="1" x14ac:dyDescent="0.25">
      <c r="A786" t="s">
        <v>269</v>
      </c>
      <c r="B786" t="s">
        <v>744</v>
      </c>
    </row>
    <row r="787" spans="1:8" hidden="1" x14ac:dyDescent="0.25">
      <c r="A787" t="s">
        <v>272</v>
      </c>
      <c r="B787" t="s">
        <v>353</v>
      </c>
    </row>
    <row r="788" spans="1:8" hidden="1" x14ac:dyDescent="0.25">
      <c r="A788" t="s">
        <v>274</v>
      </c>
      <c r="B788" t="s">
        <v>689</v>
      </c>
    </row>
    <row r="789" spans="1:8" hidden="1" x14ac:dyDescent="0.25">
      <c r="A789" t="s">
        <v>276</v>
      </c>
      <c r="B789" t="s">
        <v>277</v>
      </c>
    </row>
    <row r="790" spans="1:8" hidden="1" x14ac:dyDescent="0.25">
      <c r="A790" t="s">
        <v>278</v>
      </c>
      <c r="B790" t="s">
        <v>279</v>
      </c>
    </row>
    <row r="791" spans="1:8" hidden="1" x14ac:dyDescent="0.25">
      <c r="A791" t="s">
        <v>853</v>
      </c>
      <c r="B791" t="s">
        <v>850</v>
      </c>
    </row>
    <row r="792" spans="1:8" ht="15.75" hidden="1" x14ac:dyDescent="0.25">
      <c r="A792" s="109" t="s">
        <v>280</v>
      </c>
    </row>
    <row r="793" spans="1:8" hidden="1" x14ac:dyDescent="0.25">
      <c r="A793" t="s">
        <v>281</v>
      </c>
      <c r="B793" t="s">
        <v>282</v>
      </c>
      <c r="C793" t="s">
        <v>283</v>
      </c>
      <c r="D793" t="s">
        <v>272</v>
      </c>
      <c r="E793" t="s">
        <v>278</v>
      </c>
      <c r="F793" t="s">
        <v>276</v>
      </c>
      <c r="G793" t="s">
        <v>284</v>
      </c>
      <c r="H793" t="s">
        <v>274</v>
      </c>
    </row>
    <row r="794" spans="1:8" hidden="1" x14ac:dyDescent="0.25">
      <c r="A794" t="s">
        <v>688</v>
      </c>
      <c r="B794">
        <v>1</v>
      </c>
      <c r="C794" t="s">
        <v>850</v>
      </c>
      <c r="D794" t="s">
        <v>353</v>
      </c>
      <c r="E794" t="s">
        <v>279</v>
      </c>
      <c r="F794" t="s">
        <v>286</v>
      </c>
      <c r="G794">
        <v>0</v>
      </c>
      <c r="H794" t="s">
        <v>689</v>
      </c>
    </row>
    <row r="795" spans="1:8" hidden="1" x14ac:dyDescent="0.25">
      <c r="A795" t="s">
        <v>400</v>
      </c>
      <c r="B795">
        <v>1</v>
      </c>
      <c r="C795" t="s">
        <v>854</v>
      </c>
      <c r="D795" t="s">
        <v>305</v>
      </c>
      <c r="E795" t="s">
        <v>279</v>
      </c>
      <c r="F795" t="s">
        <v>288</v>
      </c>
      <c r="G795">
        <v>0</v>
      </c>
      <c r="H795" t="s">
        <v>400</v>
      </c>
    </row>
    <row r="796" spans="1:8" hidden="1" x14ac:dyDescent="0.25">
      <c r="A796" t="s">
        <v>743</v>
      </c>
      <c r="B796">
        <v>1</v>
      </c>
      <c r="C796" t="s">
        <v>850</v>
      </c>
      <c r="D796" t="s">
        <v>353</v>
      </c>
      <c r="E796" t="s">
        <v>279</v>
      </c>
      <c r="F796" t="s">
        <v>288</v>
      </c>
      <c r="G796">
        <v>0</v>
      </c>
      <c r="H796" t="s">
        <v>346</v>
      </c>
    </row>
    <row r="797" spans="1:8" hidden="1" x14ac:dyDescent="0.25"/>
    <row r="798" spans="1:8" ht="15.75" hidden="1" x14ac:dyDescent="0.25">
      <c r="A798" s="109" t="s">
        <v>265</v>
      </c>
      <c r="B798" s="109" t="s">
        <v>735</v>
      </c>
    </row>
    <row r="799" spans="1:8" hidden="1" x14ac:dyDescent="0.25">
      <c r="A799" t="s">
        <v>267</v>
      </c>
      <c r="B799" t="s">
        <v>680</v>
      </c>
    </row>
    <row r="800" spans="1:8" hidden="1" x14ac:dyDescent="0.25">
      <c r="A800" t="s">
        <v>269</v>
      </c>
      <c r="B800" t="s">
        <v>745</v>
      </c>
    </row>
    <row r="801" spans="1:8" hidden="1" x14ac:dyDescent="0.25">
      <c r="A801" t="s">
        <v>272</v>
      </c>
      <c r="B801" t="s">
        <v>353</v>
      </c>
    </row>
    <row r="802" spans="1:8" hidden="1" x14ac:dyDescent="0.25">
      <c r="A802" t="s">
        <v>274</v>
      </c>
      <c r="B802" t="s">
        <v>736</v>
      </c>
    </row>
    <row r="803" spans="1:8" hidden="1" x14ac:dyDescent="0.25">
      <c r="A803" t="s">
        <v>276</v>
      </c>
      <c r="B803" t="s">
        <v>277</v>
      </c>
    </row>
    <row r="804" spans="1:8" hidden="1" x14ac:dyDescent="0.25">
      <c r="A804" t="s">
        <v>278</v>
      </c>
      <c r="B804" t="s">
        <v>279</v>
      </c>
    </row>
    <row r="805" spans="1:8" hidden="1" x14ac:dyDescent="0.25">
      <c r="A805" t="s">
        <v>853</v>
      </c>
      <c r="B805" t="s">
        <v>850</v>
      </c>
    </row>
    <row r="806" spans="1:8" ht="15.75" hidden="1" x14ac:dyDescent="0.25">
      <c r="A806" s="109" t="s">
        <v>280</v>
      </c>
    </row>
    <row r="807" spans="1:8" hidden="1" x14ac:dyDescent="0.25">
      <c r="A807" t="s">
        <v>281</v>
      </c>
      <c r="B807" t="s">
        <v>282</v>
      </c>
      <c r="C807" t="s">
        <v>283</v>
      </c>
      <c r="D807" t="s">
        <v>272</v>
      </c>
      <c r="E807" t="s">
        <v>278</v>
      </c>
      <c r="F807" t="s">
        <v>276</v>
      </c>
      <c r="G807" t="s">
        <v>284</v>
      </c>
      <c r="H807" t="s">
        <v>274</v>
      </c>
    </row>
    <row r="808" spans="1:8" hidden="1" x14ac:dyDescent="0.25">
      <c r="A808" t="s">
        <v>735</v>
      </c>
      <c r="B808">
        <v>1</v>
      </c>
      <c r="C808" t="s">
        <v>850</v>
      </c>
      <c r="D808" t="s">
        <v>353</v>
      </c>
      <c r="E808" t="s">
        <v>279</v>
      </c>
      <c r="F808" t="s">
        <v>286</v>
      </c>
      <c r="G808">
        <v>0</v>
      </c>
      <c r="H808" t="s">
        <v>736</v>
      </c>
    </row>
    <row r="809" spans="1:8" hidden="1" x14ac:dyDescent="0.25">
      <c r="A809" t="s">
        <v>400</v>
      </c>
      <c r="B809">
        <v>1</v>
      </c>
      <c r="C809" t="s">
        <v>854</v>
      </c>
      <c r="D809" t="s">
        <v>305</v>
      </c>
      <c r="E809" t="s">
        <v>279</v>
      </c>
      <c r="F809" t="s">
        <v>288</v>
      </c>
      <c r="G809">
        <v>0</v>
      </c>
      <c r="H809" t="s">
        <v>400</v>
      </c>
    </row>
    <row r="810" spans="1:8" hidden="1" x14ac:dyDescent="0.25">
      <c r="A810" t="s">
        <v>740</v>
      </c>
      <c r="B810">
        <v>1</v>
      </c>
      <c r="C810" t="s">
        <v>850</v>
      </c>
      <c r="D810" t="s">
        <v>353</v>
      </c>
      <c r="E810" t="s">
        <v>279</v>
      </c>
      <c r="F810" t="s">
        <v>288</v>
      </c>
      <c r="G810">
        <v>0</v>
      </c>
      <c r="H810" t="s">
        <v>346</v>
      </c>
    </row>
    <row r="811" spans="1:8" hidden="1" x14ac:dyDescent="0.25"/>
    <row r="812" spans="1:8" ht="15.75" hidden="1" x14ac:dyDescent="0.25">
      <c r="A812" s="109" t="s">
        <v>265</v>
      </c>
      <c r="B812" s="109" t="s">
        <v>746</v>
      </c>
    </row>
    <row r="813" spans="1:8" hidden="1" x14ac:dyDescent="0.25">
      <c r="A813" t="s">
        <v>267</v>
      </c>
      <c r="B813" t="s">
        <v>680</v>
      </c>
    </row>
    <row r="814" spans="1:8" hidden="1" x14ac:dyDescent="0.25">
      <c r="A814" t="s">
        <v>269</v>
      </c>
      <c r="B814" t="s">
        <v>747</v>
      </c>
    </row>
    <row r="815" spans="1:8" hidden="1" x14ac:dyDescent="0.25">
      <c r="A815" t="s">
        <v>272</v>
      </c>
      <c r="B815" t="s">
        <v>273</v>
      </c>
    </row>
    <row r="816" spans="1:8" hidden="1" x14ac:dyDescent="0.25">
      <c r="A816" t="s">
        <v>274</v>
      </c>
      <c r="B816" t="s">
        <v>748</v>
      </c>
    </row>
    <row r="817" spans="1:8" hidden="1" x14ac:dyDescent="0.25">
      <c r="A817" t="s">
        <v>276</v>
      </c>
      <c r="B817" t="s">
        <v>277</v>
      </c>
    </row>
    <row r="818" spans="1:8" hidden="1" x14ac:dyDescent="0.25">
      <c r="A818" t="s">
        <v>278</v>
      </c>
      <c r="B818" t="s">
        <v>279</v>
      </c>
    </row>
    <row r="819" spans="1:8" hidden="1" x14ac:dyDescent="0.25">
      <c r="A819" t="s">
        <v>853</v>
      </c>
      <c r="B819" t="s">
        <v>850</v>
      </c>
    </row>
    <row r="820" spans="1:8" ht="15.75" hidden="1" x14ac:dyDescent="0.25">
      <c r="A820" s="109" t="s">
        <v>280</v>
      </c>
    </row>
    <row r="821" spans="1:8" hidden="1" x14ac:dyDescent="0.25">
      <c r="A821" t="s">
        <v>281</v>
      </c>
      <c r="B821" t="s">
        <v>282</v>
      </c>
      <c r="C821" t="s">
        <v>283</v>
      </c>
      <c r="D821" t="s">
        <v>272</v>
      </c>
      <c r="E821" t="s">
        <v>278</v>
      </c>
      <c r="F821" t="s">
        <v>276</v>
      </c>
      <c r="G821" t="s">
        <v>284</v>
      </c>
      <c r="H821" t="s">
        <v>274</v>
      </c>
    </row>
    <row r="822" spans="1:8" hidden="1" x14ac:dyDescent="0.25">
      <c r="A822" t="s">
        <v>746</v>
      </c>
      <c r="B822">
        <v>1</v>
      </c>
      <c r="C822" t="s">
        <v>850</v>
      </c>
      <c r="D822" t="s">
        <v>273</v>
      </c>
      <c r="E822" t="s">
        <v>279</v>
      </c>
      <c r="F822" t="s">
        <v>286</v>
      </c>
      <c r="G822">
        <v>0</v>
      </c>
      <c r="H822" t="s">
        <v>748</v>
      </c>
    </row>
    <row r="823" spans="1:8" hidden="1" x14ac:dyDescent="0.25">
      <c r="A823" t="s">
        <v>392</v>
      </c>
      <c r="B823">
        <v>1</v>
      </c>
      <c r="C823" t="s">
        <v>850</v>
      </c>
      <c r="D823" t="s">
        <v>273</v>
      </c>
      <c r="E823" t="s">
        <v>279</v>
      </c>
      <c r="F823" t="s">
        <v>288</v>
      </c>
      <c r="G823">
        <v>0</v>
      </c>
      <c r="H823" t="s">
        <v>393</v>
      </c>
    </row>
    <row r="824" spans="1:8" hidden="1" x14ac:dyDescent="0.25">
      <c r="A824" t="s">
        <v>397</v>
      </c>
      <c r="B824">
        <v>1</v>
      </c>
      <c r="C824" t="s">
        <v>850</v>
      </c>
      <c r="D824" t="s">
        <v>273</v>
      </c>
      <c r="E824" t="s">
        <v>279</v>
      </c>
      <c r="F824" t="s">
        <v>288</v>
      </c>
      <c r="G824">
        <v>0</v>
      </c>
      <c r="H824" t="s">
        <v>344</v>
      </c>
    </row>
    <row r="825" spans="1:8" hidden="1" x14ac:dyDescent="0.25"/>
    <row r="826" spans="1:8" ht="15.75" hidden="1" x14ac:dyDescent="0.25">
      <c r="A826" s="109" t="s">
        <v>265</v>
      </c>
      <c r="B826" s="109" t="s">
        <v>752</v>
      </c>
    </row>
    <row r="827" spans="1:8" hidden="1" x14ac:dyDescent="0.25">
      <c r="A827" t="s">
        <v>267</v>
      </c>
      <c r="B827" t="s">
        <v>680</v>
      </c>
    </row>
    <row r="828" spans="1:8" hidden="1" x14ac:dyDescent="0.25">
      <c r="A828" t="s">
        <v>269</v>
      </c>
      <c r="B828" t="s">
        <v>753</v>
      </c>
    </row>
    <row r="829" spans="1:8" hidden="1" x14ac:dyDescent="0.25">
      <c r="A829" t="s">
        <v>272</v>
      </c>
      <c r="B829" t="s">
        <v>273</v>
      </c>
    </row>
    <row r="830" spans="1:8" hidden="1" x14ac:dyDescent="0.25">
      <c r="A830" t="s">
        <v>274</v>
      </c>
      <c r="B830" t="s">
        <v>754</v>
      </c>
    </row>
    <row r="831" spans="1:8" hidden="1" x14ac:dyDescent="0.25">
      <c r="A831" t="s">
        <v>276</v>
      </c>
      <c r="B831" t="s">
        <v>277</v>
      </c>
    </row>
    <row r="832" spans="1:8" hidden="1" x14ac:dyDescent="0.25">
      <c r="A832" t="s">
        <v>278</v>
      </c>
      <c r="B832" t="s">
        <v>278</v>
      </c>
    </row>
    <row r="833" spans="1:9" hidden="1" x14ac:dyDescent="0.25">
      <c r="A833" t="s">
        <v>853</v>
      </c>
      <c r="B833" t="s">
        <v>850</v>
      </c>
    </row>
    <row r="834" spans="1:9" ht="15.75" hidden="1" x14ac:dyDescent="0.25">
      <c r="A834" s="109" t="s">
        <v>280</v>
      </c>
    </row>
    <row r="835" spans="1:9" hidden="1" x14ac:dyDescent="0.25">
      <c r="A835" t="s">
        <v>281</v>
      </c>
      <c r="B835" t="s">
        <v>282</v>
      </c>
      <c r="C835" t="s">
        <v>283</v>
      </c>
      <c r="D835" t="s">
        <v>272</v>
      </c>
      <c r="E835" t="s">
        <v>278</v>
      </c>
      <c r="F835" t="s">
        <v>276</v>
      </c>
      <c r="G835" t="s">
        <v>284</v>
      </c>
      <c r="H835" t="s">
        <v>271</v>
      </c>
      <c r="I835" t="s">
        <v>274</v>
      </c>
    </row>
    <row r="836" spans="1:9" hidden="1" x14ac:dyDescent="0.25">
      <c r="A836" t="s">
        <v>752</v>
      </c>
      <c r="B836">
        <v>1</v>
      </c>
      <c r="C836" t="s">
        <v>850</v>
      </c>
      <c r="D836" t="s">
        <v>273</v>
      </c>
      <c r="E836" t="s">
        <v>278</v>
      </c>
      <c r="F836" t="s">
        <v>286</v>
      </c>
      <c r="G836">
        <v>0</v>
      </c>
      <c r="I836" t="s">
        <v>754</v>
      </c>
    </row>
    <row r="837" spans="1:9" hidden="1" x14ac:dyDescent="0.25">
      <c r="A837" t="s">
        <v>520</v>
      </c>
      <c r="B837">
        <v>1500</v>
      </c>
      <c r="C837" t="s">
        <v>850</v>
      </c>
      <c r="D837" t="s">
        <v>384</v>
      </c>
      <c r="E837" t="s">
        <v>279</v>
      </c>
      <c r="F837" t="s">
        <v>288</v>
      </c>
      <c r="G837">
        <v>0</v>
      </c>
      <c r="I837" t="s">
        <v>522</v>
      </c>
    </row>
    <row r="838" spans="1:9" hidden="1" x14ac:dyDescent="0.25">
      <c r="A838" t="s">
        <v>242</v>
      </c>
      <c r="B838">
        <v>500</v>
      </c>
      <c r="C838" t="s">
        <v>850</v>
      </c>
      <c r="D838" t="s">
        <v>273</v>
      </c>
      <c r="E838" t="s">
        <v>279</v>
      </c>
      <c r="F838" t="s">
        <v>288</v>
      </c>
      <c r="G838">
        <v>0</v>
      </c>
      <c r="I838" t="s">
        <v>578</v>
      </c>
    </row>
    <row r="839" spans="1:9" hidden="1" x14ac:dyDescent="0.25">
      <c r="A839" t="s">
        <v>858</v>
      </c>
      <c r="B839">
        <v>2550</v>
      </c>
      <c r="C839" t="s">
        <v>854</v>
      </c>
      <c r="D839" t="s">
        <v>305</v>
      </c>
      <c r="E839" t="s">
        <v>487</v>
      </c>
      <c r="F839" t="s">
        <v>288</v>
      </c>
      <c r="G839">
        <v>0</v>
      </c>
      <c r="H839" t="s">
        <v>755</v>
      </c>
      <c r="I839" t="s">
        <v>858</v>
      </c>
    </row>
    <row r="840" spans="1:9" hidden="1" x14ac:dyDescent="0.25"/>
    <row r="841" spans="1:9" ht="15.75" hidden="1" x14ac:dyDescent="0.25">
      <c r="A841" s="109" t="s">
        <v>265</v>
      </c>
      <c r="B841" s="109" t="s">
        <v>756</v>
      </c>
    </row>
    <row r="842" spans="1:9" hidden="1" x14ac:dyDescent="0.25">
      <c r="A842" t="s">
        <v>267</v>
      </c>
      <c r="B842" t="s">
        <v>680</v>
      </c>
    </row>
    <row r="843" spans="1:9" hidden="1" x14ac:dyDescent="0.25">
      <c r="A843" t="s">
        <v>269</v>
      </c>
      <c r="B843" t="s">
        <v>757</v>
      </c>
    </row>
    <row r="844" spans="1:9" hidden="1" x14ac:dyDescent="0.25">
      <c r="A844" t="s">
        <v>272</v>
      </c>
      <c r="B844" t="s">
        <v>273</v>
      </c>
    </row>
    <row r="845" spans="1:9" hidden="1" x14ac:dyDescent="0.25">
      <c r="A845" t="s">
        <v>274</v>
      </c>
      <c r="B845" t="s">
        <v>758</v>
      </c>
    </row>
    <row r="846" spans="1:9" hidden="1" x14ac:dyDescent="0.25">
      <c r="A846" t="s">
        <v>276</v>
      </c>
      <c r="B846" t="s">
        <v>277</v>
      </c>
    </row>
    <row r="847" spans="1:9" hidden="1" x14ac:dyDescent="0.25">
      <c r="A847" t="s">
        <v>278</v>
      </c>
      <c r="B847" t="s">
        <v>279</v>
      </c>
    </row>
    <row r="848" spans="1:9" hidden="1" x14ac:dyDescent="0.25">
      <c r="A848" t="s">
        <v>853</v>
      </c>
      <c r="B848" t="s">
        <v>850</v>
      </c>
    </row>
    <row r="849" spans="1:8" ht="15.75" hidden="1" x14ac:dyDescent="0.25">
      <c r="A849" s="109" t="s">
        <v>280</v>
      </c>
    </row>
    <row r="850" spans="1:8" hidden="1" x14ac:dyDescent="0.25">
      <c r="A850" t="s">
        <v>281</v>
      </c>
      <c r="B850" t="s">
        <v>282</v>
      </c>
      <c r="C850" t="s">
        <v>283</v>
      </c>
      <c r="D850" t="s">
        <v>272</v>
      </c>
      <c r="E850" t="s">
        <v>278</v>
      </c>
      <c r="F850" t="s">
        <v>276</v>
      </c>
      <c r="G850" t="s">
        <v>284</v>
      </c>
      <c r="H850" t="s">
        <v>274</v>
      </c>
    </row>
    <row r="851" spans="1:8" hidden="1" x14ac:dyDescent="0.25">
      <c r="A851" t="s">
        <v>756</v>
      </c>
      <c r="B851">
        <v>1</v>
      </c>
      <c r="C851" t="s">
        <v>850</v>
      </c>
      <c r="D851" t="s">
        <v>273</v>
      </c>
      <c r="E851" t="s">
        <v>279</v>
      </c>
      <c r="F851" t="s">
        <v>286</v>
      </c>
      <c r="G851">
        <v>0</v>
      </c>
      <c r="H851" t="s">
        <v>758</v>
      </c>
    </row>
    <row r="852" spans="1:8" hidden="1" x14ac:dyDescent="0.25">
      <c r="A852" t="s">
        <v>858</v>
      </c>
      <c r="B852">
        <v>0.26833299999999999</v>
      </c>
      <c r="C852" t="s">
        <v>854</v>
      </c>
      <c r="D852" t="s">
        <v>305</v>
      </c>
      <c r="E852" t="s">
        <v>487</v>
      </c>
      <c r="F852" t="s">
        <v>288</v>
      </c>
      <c r="G852">
        <v>0</v>
      </c>
      <c r="H852" t="s">
        <v>858</v>
      </c>
    </row>
    <row r="853" spans="1:8" hidden="1" x14ac:dyDescent="0.25">
      <c r="A853" t="s">
        <v>858</v>
      </c>
      <c r="B853">
        <v>0.26833299999999999</v>
      </c>
      <c r="C853" t="s">
        <v>854</v>
      </c>
      <c r="D853" t="s">
        <v>305</v>
      </c>
      <c r="E853" t="s">
        <v>487</v>
      </c>
      <c r="F853" t="s">
        <v>288</v>
      </c>
      <c r="G853">
        <v>0</v>
      </c>
      <c r="H853" t="s">
        <v>858</v>
      </c>
    </row>
    <row r="854" spans="1:8" hidden="1" x14ac:dyDescent="0.25">
      <c r="A854" t="s">
        <v>858</v>
      </c>
      <c r="B854">
        <v>0.26833299999999999</v>
      </c>
      <c r="C854" t="s">
        <v>854</v>
      </c>
      <c r="D854" t="s">
        <v>305</v>
      </c>
      <c r="E854" t="s">
        <v>487</v>
      </c>
      <c r="F854" t="s">
        <v>288</v>
      </c>
      <c r="G854">
        <v>0</v>
      </c>
      <c r="H854" t="s">
        <v>858</v>
      </c>
    </row>
    <row r="855" spans="1:8" hidden="1" x14ac:dyDescent="0.25">
      <c r="A855" t="s">
        <v>759</v>
      </c>
      <c r="B855">
        <v>0.33300000000000002</v>
      </c>
      <c r="C855" t="s">
        <v>850</v>
      </c>
      <c r="D855" t="s">
        <v>327</v>
      </c>
      <c r="E855" t="s">
        <v>279</v>
      </c>
      <c r="F855" t="s">
        <v>288</v>
      </c>
      <c r="G855">
        <v>0</v>
      </c>
      <c r="H855" t="s">
        <v>758</v>
      </c>
    </row>
    <row r="856" spans="1:8" hidden="1" x14ac:dyDescent="0.25">
      <c r="A856" t="s">
        <v>759</v>
      </c>
      <c r="B856">
        <v>0.33300000000000002</v>
      </c>
      <c r="C856" t="s">
        <v>850</v>
      </c>
      <c r="D856" t="s">
        <v>371</v>
      </c>
      <c r="E856" t="s">
        <v>279</v>
      </c>
      <c r="F856" t="s">
        <v>288</v>
      </c>
      <c r="G856">
        <v>0</v>
      </c>
      <c r="H856" t="s">
        <v>758</v>
      </c>
    </row>
    <row r="857" spans="1:8" hidden="1" x14ac:dyDescent="0.25">
      <c r="A857" t="s">
        <v>759</v>
      </c>
      <c r="B857">
        <v>0.33300000000000002</v>
      </c>
      <c r="C857" t="s">
        <v>850</v>
      </c>
      <c r="D857" t="s">
        <v>353</v>
      </c>
      <c r="E857" t="s">
        <v>279</v>
      </c>
      <c r="F857" t="s">
        <v>288</v>
      </c>
      <c r="G857">
        <v>0</v>
      </c>
      <c r="H857" t="s">
        <v>758</v>
      </c>
    </row>
    <row r="858" spans="1:8" hidden="1" x14ac:dyDescent="0.25"/>
    <row r="859" spans="1:8" ht="15.75" hidden="1" x14ac:dyDescent="0.25">
      <c r="A859" s="109" t="s">
        <v>265</v>
      </c>
      <c r="B859" s="109" t="s">
        <v>247</v>
      </c>
    </row>
    <row r="860" spans="1:8" hidden="1" x14ac:dyDescent="0.25">
      <c r="A860" t="s">
        <v>267</v>
      </c>
      <c r="B860" t="s">
        <v>268</v>
      </c>
    </row>
    <row r="861" spans="1:8" hidden="1" x14ac:dyDescent="0.25">
      <c r="A861" t="s">
        <v>269</v>
      </c>
      <c r="B861" t="s">
        <v>760</v>
      </c>
    </row>
    <row r="862" spans="1:8" hidden="1" x14ac:dyDescent="0.25">
      <c r="A862" t="s">
        <v>272</v>
      </c>
      <c r="B862" t="s">
        <v>273</v>
      </c>
    </row>
    <row r="863" spans="1:8" hidden="1" x14ac:dyDescent="0.25">
      <c r="A863" t="s">
        <v>274</v>
      </c>
      <c r="B863" t="s">
        <v>761</v>
      </c>
    </row>
    <row r="864" spans="1:8" hidden="1" x14ac:dyDescent="0.25">
      <c r="A864" t="s">
        <v>276</v>
      </c>
      <c r="B864" t="s">
        <v>277</v>
      </c>
    </row>
    <row r="865" spans="1:8" hidden="1" x14ac:dyDescent="0.25">
      <c r="A865" t="s">
        <v>278</v>
      </c>
      <c r="B865" t="s">
        <v>279</v>
      </c>
    </row>
    <row r="866" spans="1:8" hidden="1" x14ac:dyDescent="0.25">
      <c r="A866" t="s">
        <v>853</v>
      </c>
      <c r="B866" t="s">
        <v>850</v>
      </c>
    </row>
    <row r="867" spans="1:8" ht="15.75" hidden="1" x14ac:dyDescent="0.25">
      <c r="A867" s="109" t="s">
        <v>280</v>
      </c>
    </row>
    <row r="868" spans="1:8" hidden="1" x14ac:dyDescent="0.25">
      <c r="A868" t="s">
        <v>281</v>
      </c>
      <c r="B868" t="s">
        <v>282</v>
      </c>
      <c r="C868" t="s">
        <v>283</v>
      </c>
      <c r="D868" t="s">
        <v>272</v>
      </c>
      <c r="E868" t="s">
        <v>278</v>
      </c>
      <c r="F868" t="s">
        <v>276</v>
      </c>
      <c r="G868" t="s">
        <v>284</v>
      </c>
      <c r="H868" t="s">
        <v>274</v>
      </c>
    </row>
    <row r="869" spans="1:8" hidden="1" x14ac:dyDescent="0.25">
      <c r="A869" t="s">
        <v>247</v>
      </c>
      <c r="B869">
        <v>1</v>
      </c>
      <c r="C869" t="s">
        <v>850</v>
      </c>
      <c r="D869" t="s">
        <v>273</v>
      </c>
      <c r="E869" t="s">
        <v>279</v>
      </c>
      <c r="F869" t="s">
        <v>286</v>
      </c>
      <c r="G869">
        <v>0</v>
      </c>
      <c r="H869" t="s">
        <v>761</v>
      </c>
    </row>
    <row r="870" spans="1:8" hidden="1" x14ac:dyDescent="0.25">
      <c r="A870" t="s">
        <v>875</v>
      </c>
      <c r="B870">
        <v>0.15</v>
      </c>
      <c r="D870" t="s">
        <v>273</v>
      </c>
      <c r="E870" t="s">
        <v>279</v>
      </c>
      <c r="F870" t="s">
        <v>288</v>
      </c>
      <c r="G870">
        <v>0</v>
      </c>
    </row>
    <row r="871" spans="1:8" hidden="1" x14ac:dyDescent="0.25">
      <c r="A871" t="s">
        <v>876</v>
      </c>
      <c r="B871">
        <v>2.1428571428571401E-2</v>
      </c>
      <c r="C871" t="s">
        <v>854</v>
      </c>
      <c r="D871" t="s">
        <v>305</v>
      </c>
      <c r="E871" t="s">
        <v>279</v>
      </c>
      <c r="F871" t="s">
        <v>288</v>
      </c>
      <c r="G871">
        <v>0</v>
      </c>
      <c r="H871" t="s">
        <v>877</v>
      </c>
    </row>
    <row r="872" spans="1:8" hidden="1" x14ac:dyDescent="0.25">
      <c r="A872" t="s">
        <v>292</v>
      </c>
      <c r="B872">
        <v>2.85428571428571E-8</v>
      </c>
      <c r="C872" t="s">
        <v>854</v>
      </c>
      <c r="D872" t="s">
        <v>293</v>
      </c>
      <c r="E872" t="s">
        <v>294</v>
      </c>
      <c r="F872" t="s">
        <v>288</v>
      </c>
      <c r="G872">
        <v>0</v>
      </c>
      <c r="H872" t="s">
        <v>295</v>
      </c>
    </row>
    <row r="873" spans="1:8" hidden="1" x14ac:dyDescent="0.25">
      <c r="A873" t="s">
        <v>296</v>
      </c>
      <c r="B873">
        <v>2.38285714285714E-2</v>
      </c>
      <c r="C873" t="s">
        <v>854</v>
      </c>
      <c r="D873" t="s">
        <v>273</v>
      </c>
      <c r="E873" t="s">
        <v>297</v>
      </c>
      <c r="F873" t="s">
        <v>288</v>
      </c>
      <c r="G873">
        <v>0</v>
      </c>
      <c r="H873" t="s">
        <v>298</v>
      </c>
    </row>
    <row r="874" spans="1:8" hidden="1" x14ac:dyDescent="0.25">
      <c r="A874" t="s">
        <v>299</v>
      </c>
      <c r="B874">
        <v>5.7171428571428604E-6</v>
      </c>
      <c r="C874" t="s">
        <v>854</v>
      </c>
      <c r="D874" t="s">
        <v>305</v>
      </c>
      <c r="E874" t="s">
        <v>279</v>
      </c>
      <c r="F874" t="s">
        <v>288</v>
      </c>
      <c r="G874">
        <v>0</v>
      </c>
      <c r="H874" t="s">
        <v>301</v>
      </c>
    </row>
    <row r="875" spans="1:8" hidden="1" x14ac:dyDescent="0.25">
      <c r="A875" t="s">
        <v>762</v>
      </c>
      <c r="B875">
        <v>0.85714285714285698</v>
      </c>
      <c r="C875" t="s">
        <v>854</v>
      </c>
      <c r="D875" t="s">
        <v>293</v>
      </c>
      <c r="E875" t="s">
        <v>279</v>
      </c>
      <c r="F875" t="s">
        <v>288</v>
      </c>
      <c r="G875">
        <v>0</v>
      </c>
      <c r="H875" t="s">
        <v>307</v>
      </c>
    </row>
    <row r="876" spans="1:8" hidden="1" x14ac:dyDescent="0.25">
      <c r="A876" t="s">
        <v>302</v>
      </c>
      <c r="B876">
        <v>0.68571428571428605</v>
      </c>
      <c r="C876" t="s">
        <v>854</v>
      </c>
      <c r="D876" t="s">
        <v>293</v>
      </c>
      <c r="E876" t="s">
        <v>279</v>
      </c>
      <c r="F876" t="s">
        <v>288</v>
      </c>
      <c r="G876">
        <v>0</v>
      </c>
      <c r="H876" t="s">
        <v>303</v>
      </c>
    </row>
    <row r="877" spans="1:8" hidden="1" x14ac:dyDescent="0.25">
      <c r="A877" t="s">
        <v>304</v>
      </c>
      <c r="B877">
        <v>4.02857142857143E-2</v>
      </c>
      <c r="C877" t="s">
        <v>850</v>
      </c>
      <c r="D877" t="s">
        <v>273</v>
      </c>
      <c r="E877" t="s">
        <v>279</v>
      </c>
      <c r="F877" t="s">
        <v>288</v>
      </c>
      <c r="G877">
        <v>0</v>
      </c>
      <c r="H877" t="s">
        <v>306</v>
      </c>
    </row>
    <row r="878" spans="1:8" hidden="1" x14ac:dyDescent="0.25">
      <c r="A878" t="s">
        <v>304</v>
      </c>
      <c r="B878">
        <v>0.14285714285714299</v>
      </c>
      <c r="C878" t="s">
        <v>850</v>
      </c>
      <c r="D878" t="s">
        <v>273</v>
      </c>
      <c r="E878" t="s">
        <v>279</v>
      </c>
      <c r="F878" t="s">
        <v>288</v>
      </c>
      <c r="G878">
        <v>0</v>
      </c>
      <c r="H878" t="s">
        <v>306</v>
      </c>
    </row>
    <row r="879" spans="1:8" hidden="1" x14ac:dyDescent="0.25"/>
    <row r="880" spans="1:8" ht="15.75" hidden="1" x14ac:dyDescent="0.25">
      <c r="A880" s="109" t="s">
        <v>265</v>
      </c>
      <c r="B880" s="109" t="s">
        <v>699</v>
      </c>
    </row>
    <row r="881" spans="1:8" hidden="1" x14ac:dyDescent="0.25">
      <c r="A881" t="s">
        <v>267</v>
      </c>
      <c r="B881" t="s">
        <v>268</v>
      </c>
    </row>
    <row r="882" spans="1:8" hidden="1" x14ac:dyDescent="0.25">
      <c r="A882" t="s">
        <v>269</v>
      </c>
      <c r="B882" t="s">
        <v>763</v>
      </c>
    </row>
    <row r="883" spans="1:8" hidden="1" x14ac:dyDescent="0.25">
      <c r="A883" t="s">
        <v>272</v>
      </c>
      <c r="B883" t="s">
        <v>371</v>
      </c>
    </row>
    <row r="884" spans="1:8" hidden="1" x14ac:dyDescent="0.25">
      <c r="A884" t="s">
        <v>274</v>
      </c>
      <c r="B884" t="s">
        <v>698</v>
      </c>
    </row>
    <row r="885" spans="1:8" hidden="1" x14ac:dyDescent="0.25">
      <c r="A885" t="s">
        <v>276</v>
      </c>
      <c r="B885" t="s">
        <v>277</v>
      </c>
    </row>
    <row r="886" spans="1:8" hidden="1" x14ac:dyDescent="0.25">
      <c r="A886" t="s">
        <v>278</v>
      </c>
      <c r="B886" t="s">
        <v>279</v>
      </c>
    </row>
    <row r="887" spans="1:8" hidden="1" x14ac:dyDescent="0.25">
      <c r="A887" t="s">
        <v>853</v>
      </c>
      <c r="B887" t="s">
        <v>850</v>
      </c>
    </row>
    <row r="888" spans="1:8" ht="15.75" hidden="1" x14ac:dyDescent="0.25">
      <c r="A888" s="109" t="s">
        <v>280</v>
      </c>
    </row>
    <row r="889" spans="1:8" hidden="1" x14ac:dyDescent="0.25">
      <c r="A889" t="s">
        <v>281</v>
      </c>
      <c r="B889" t="s">
        <v>282</v>
      </c>
      <c r="C889" t="s">
        <v>283</v>
      </c>
      <c r="D889" t="s">
        <v>272</v>
      </c>
      <c r="E889" t="s">
        <v>278</v>
      </c>
      <c r="F889" t="s">
        <v>276</v>
      </c>
      <c r="G889" t="s">
        <v>284</v>
      </c>
      <c r="H889" t="s">
        <v>274</v>
      </c>
    </row>
    <row r="890" spans="1:8" hidden="1" x14ac:dyDescent="0.25">
      <c r="A890" t="s">
        <v>699</v>
      </c>
      <c r="B890">
        <v>1</v>
      </c>
      <c r="C890" t="s">
        <v>850</v>
      </c>
      <c r="D890" t="s">
        <v>371</v>
      </c>
      <c r="E890" t="s">
        <v>279</v>
      </c>
      <c r="F890" t="s">
        <v>286</v>
      </c>
      <c r="G890">
        <v>0</v>
      </c>
      <c r="H890" t="s">
        <v>698</v>
      </c>
    </row>
    <row r="891" spans="1:8" hidden="1" x14ac:dyDescent="0.25">
      <c r="A891" t="s">
        <v>355</v>
      </c>
      <c r="B891">
        <v>0.5</v>
      </c>
      <c r="C891" t="s">
        <v>850</v>
      </c>
      <c r="D891" t="s">
        <v>356</v>
      </c>
      <c r="E891" t="s">
        <v>279</v>
      </c>
      <c r="F891" t="s">
        <v>288</v>
      </c>
      <c r="G891">
        <v>0</v>
      </c>
      <c r="H891" t="s">
        <v>357</v>
      </c>
    </row>
    <row r="892" spans="1:8" hidden="1" x14ac:dyDescent="0.25">
      <c r="A892" t="s">
        <v>591</v>
      </c>
      <c r="B892">
        <v>0.5</v>
      </c>
      <c r="C892" t="s">
        <v>854</v>
      </c>
      <c r="D892" t="s">
        <v>371</v>
      </c>
      <c r="E892" t="s">
        <v>279</v>
      </c>
      <c r="F892" t="s">
        <v>288</v>
      </c>
      <c r="G892">
        <v>0</v>
      </c>
      <c r="H892" t="s">
        <v>593</v>
      </c>
    </row>
    <row r="893" spans="1:8" hidden="1" x14ac:dyDescent="0.25"/>
    <row r="894" spans="1:8" ht="15.75" hidden="1" x14ac:dyDescent="0.25">
      <c r="A894" s="109" t="s">
        <v>265</v>
      </c>
      <c r="B894" s="109" t="s">
        <v>708</v>
      </c>
    </row>
    <row r="895" spans="1:8" hidden="1" x14ac:dyDescent="0.25">
      <c r="A895" t="s">
        <v>267</v>
      </c>
      <c r="B895" t="s">
        <v>268</v>
      </c>
    </row>
    <row r="896" spans="1:8" hidden="1" x14ac:dyDescent="0.25">
      <c r="A896" t="s">
        <v>269</v>
      </c>
      <c r="B896" t="s">
        <v>774</v>
      </c>
    </row>
    <row r="897" spans="1:8" hidden="1" x14ac:dyDescent="0.25">
      <c r="A897" t="s">
        <v>272</v>
      </c>
      <c r="B897" t="s">
        <v>353</v>
      </c>
    </row>
    <row r="898" spans="1:8" hidden="1" x14ac:dyDescent="0.25">
      <c r="A898" t="s">
        <v>274</v>
      </c>
      <c r="B898" t="s">
        <v>708</v>
      </c>
    </row>
    <row r="899" spans="1:8" hidden="1" x14ac:dyDescent="0.25">
      <c r="A899" t="s">
        <v>276</v>
      </c>
      <c r="B899" t="s">
        <v>277</v>
      </c>
    </row>
    <row r="900" spans="1:8" hidden="1" x14ac:dyDescent="0.25">
      <c r="A900" t="s">
        <v>278</v>
      </c>
      <c r="B900" t="s">
        <v>279</v>
      </c>
    </row>
    <row r="901" spans="1:8" hidden="1" x14ac:dyDescent="0.25">
      <c r="A901" t="s">
        <v>853</v>
      </c>
      <c r="B901" t="s">
        <v>850</v>
      </c>
    </row>
    <row r="902" spans="1:8" ht="15.75" hidden="1" x14ac:dyDescent="0.25">
      <c r="A902" s="109" t="s">
        <v>280</v>
      </c>
    </row>
    <row r="903" spans="1:8" hidden="1" x14ac:dyDescent="0.25">
      <c r="A903" t="s">
        <v>281</v>
      </c>
      <c r="B903" t="s">
        <v>282</v>
      </c>
      <c r="C903" t="s">
        <v>283</v>
      </c>
      <c r="D903" t="s">
        <v>272</v>
      </c>
      <c r="E903" t="s">
        <v>278</v>
      </c>
      <c r="F903" t="s">
        <v>276</v>
      </c>
      <c r="G903" t="s">
        <v>284</v>
      </c>
      <c r="H903" t="s">
        <v>274</v>
      </c>
    </row>
    <row r="904" spans="1:8" hidden="1" x14ac:dyDescent="0.25">
      <c r="A904" t="s">
        <v>708</v>
      </c>
      <c r="B904">
        <v>1</v>
      </c>
      <c r="C904" t="s">
        <v>850</v>
      </c>
      <c r="D904" t="s">
        <v>353</v>
      </c>
      <c r="E904" t="s">
        <v>279</v>
      </c>
      <c r="F904" t="s">
        <v>286</v>
      </c>
      <c r="G904">
        <v>0</v>
      </c>
      <c r="H904" t="s">
        <v>708</v>
      </c>
    </row>
    <row r="905" spans="1:8" hidden="1" x14ac:dyDescent="0.25">
      <c r="A905" t="s">
        <v>568</v>
      </c>
      <c r="B905">
        <v>1.0319917439999999</v>
      </c>
      <c r="C905" t="s">
        <v>850</v>
      </c>
      <c r="D905" t="s">
        <v>353</v>
      </c>
      <c r="E905" t="s">
        <v>279</v>
      </c>
      <c r="F905" t="s">
        <v>288</v>
      </c>
      <c r="G905">
        <v>0</v>
      </c>
      <c r="H905" t="s">
        <v>569</v>
      </c>
    </row>
    <row r="906" spans="1:8" hidden="1" x14ac:dyDescent="0.25">
      <c r="A906" t="s">
        <v>857</v>
      </c>
      <c r="B906">
        <v>1</v>
      </c>
      <c r="C906" t="s">
        <v>854</v>
      </c>
      <c r="D906" t="s">
        <v>327</v>
      </c>
      <c r="E906" t="s">
        <v>279</v>
      </c>
      <c r="F906" t="s">
        <v>288</v>
      </c>
      <c r="G906">
        <v>0</v>
      </c>
      <c r="H906" t="s">
        <v>405</v>
      </c>
    </row>
    <row r="907" spans="1:8" hidden="1" x14ac:dyDescent="0.25"/>
    <row r="908" spans="1:8" ht="15.75" hidden="1" x14ac:dyDescent="0.25">
      <c r="A908" s="109" t="s">
        <v>265</v>
      </c>
      <c r="B908" s="109" t="s">
        <v>711</v>
      </c>
    </row>
    <row r="909" spans="1:8" hidden="1" x14ac:dyDescent="0.25">
      <c r="A909" t="s">
        <v>267</v>
      </c>
      <c r="B909" t="s">
        <v>268</v>
      </c>
    </row>
    <row r="910" spans="1:8" hidden="1" x14ac:dyDescent="0.25">
      <c r="A910" t="s">
        <v>269</v>
      </c>
      <c r="B910" t="s">
        <v>777</v>
      </c>
    </row>
    <row r="911" spans="1:8" hidden="1" x14ac:dyDescent="0.25">
      <c r="A911" t="s">
        <v>272</v>
      </c>
      <c r="B911" t="s">
        <v>353</v>
      </c>
    </row>
    <row r="912" spans="1:8" hidden="1" x14ac:dyDescent="0.25">
      <c r="A912" t="s">
        <v>274</v>
      </c>
      <c r="B912" t="s">
        <v>710</v>
      </c>
    </row>
    <row r="913" spans="1:9" hidden="1" x14ac:dyDescent="0.25">
      <c r="A913" t="s">
        <v>276</v>
      </c>
      <c r="B913" t="s">
        <v>277</v>
      </c>
    </row>
    <row r="914" spans="1:9" hidden="1" x14ac:dyDescent="0.25">
      <c r="A914" t="s">
        <v>278</v>
      </c>
      <c r="B914" t="s">
        <v>279</v>
      </c>
    </row>
    <row r="915" spans="1:9" hidden="1" x14ac:dyDescent="0.25">
      <c r="A915" t="s">
        <v>853</v>
      </c>
      <c r="B915" t="s">
        <v>850</v>
      </c>
    </row>
    <row r="916" spans="1:9" ht="15.75" hidden="1" x14ac:dyDescent="0.25">
      <c r="A916" s="109" t="s">
        <v>280</v>
      </c>
    </row>
    <row r="917" spans="1:9" hidden="1" x14ac:dyDescent="0.25">
      <c r="A917" t="s">
        <v>281</v>
      </c>
      <c r="B917" t="s">
        <v>282</v>
      </c>
      <c r="C917" t="s">
        <v>283</v>
      </c>
      <c r="D917" t="s">
        <v>272</v>
      </c>
      <c r="E917" t="s">
        <v>278</v>
      </c>
      <c r="F917" t="s">
        <v>311</v>
      </c>
      <c r="G917" t="s">
        <v>276</v>
      </c>
      <c r="H917" t="s">
        <v>284</v>
      </c>
      <c r="I917" t="s">
        <v>274</v>
      </c>
    </row>
    <row r="918" spans="1:9" hidden="1" x14ac:dyDescent="0.25">
      <c r="A918" t="s">
        <v>595</v>
      </c>
      <c r="B918">
        <v>3.0000000000000001E-3</v>
      </c>
      <c r="C918" t="s">
        <v>313</v>
      </c>
      <c r="E918" t="s">
        <v>279</v>
      </c>
      <c r="F918" t="s">
        <v>314</v>
      </c>
      <c r="G918" t="s">
        <v>315</v>
      </c>
      <c r="H918">
        <v>0</v>
      </c>
    </row>
    <row r="919" spans="1:9" hidden="1" x14ac:dyDescent="0.25">
      <c r="A919" t="s">
        <v>711</v>
      </c>
      <c r="B919">
        <v>1</v>
      </c>
      <c r="C919" t="s">
        <v>850</v>
      </c>
      <c r="D919" t="s">
        <v>353</v>
      </c>
      <c r="E919" t="s">
        <v>279</v>
      </c>
      <c r="G919" t="s">
        <v>286</v>
      </c>
      <c r="H919">
        <v>0</v>
      </c>
      <c r="I919" t="s">
        <v>710</v>
      </c>
    </row>
    <row r="920" spans="1:9" hidden="1" x14ac:dyDescent="0.25">
      <c r="A920" t="s">
        <v>446</v>
      </c>
      <c r="B920">
        <v>4.0000000000000001E-10</v>
      </c>
      <c r="C920" t="s">
        <v>854</v>
      </c>
      <c r="D920" t="s">
        <v>293</v>
      </c>
      <c r="E920" t="s">
        <v>278</v>
      </c>
      <c r="G920" t="s">
        <v>288</v>
      </c>
      <c r="H920">
        <v>0</v>
      </c>
      <c r="I920" t="s">
        <v>447</v>
      </c>
    </row>
    <row r="921" spans="1:9" hidden="1" x14ac:dyDescent="0.25">
      <c r="A921" t="s">
        <v>296</v>
      </c>
      <c r="B921">
        <v>0.41699999999999998</v>
      </c>
      <c r="C921" t="s">
        <v>854</v>
      </c>
      <c r="D921" t="s">
        <v>353</v>
      </c>
      <c r="E921" t="s">
        <v>297</v>
      </c>
      <c r="G921" t="s">
        <v>288</v>
      </c>
      <c r="H921">
        <v>0</v>
      </c>
      <c r="I921" t="s">
        <v>298</v>
      </c>
    </row>
    <row r="922" spans="1:9" hidden="1" x14ac:dyDescent="0.25">
      <c r="A922" t="s">
        <v>767</v>
      </c>
      <c r="B922">
        <v>0.61699999999999999</v>
      </c>
      <c r="C922" t="s">
        <v>854</v>
      </c>
      <c r="D922" t="s">
        <v>305</v>
      </c>
      <c r="E922" t="s">
        <v>279</v>
      </c>
      <c r="G922" t="s">
        <v>288</v>
      </c>
      <c r="H922">
        <v>0</v>
      </c>
      <c r="I922" t="s">
        <v>768</v>
      </c>
    </row>
    <row r="923" spans="1:9" hidden="1" x14ac:dyDescent="0.25">
      <c r="A923" t="s">
        <v>778</v>
      </c>
      <c r="B923">
        <v>5.6500000000000002E-2</v>
      </c>
      <c r="C923" t="s">
        <v>854</v>
      </c>
      <c r="D923" t="s">
        <v>293</v>
      </c>
      <c r="E923" t="s">
        <v>279</v>
      </c>
      <c r="G923" t="s">
        <v>288</v>
      </c>
      <c r="H923">
        <v>0</v>
      </c>
      <c r="I923" t="s">
        <v>779</v>
      </c>
    </row>
    <row r="924" spans="1:9" hidden="1" x14ac:dyDescent="0.25">
      <c r="A924" t="s">
        <v>878</v>
      </c>
      <c r="B924">
        <v>0.23749999999999999</v>
      </c>
      <c r="C924" t="s">
        <v>854</v>
      </c>
      <c r="D924" t="s">
        <v>305</v>
      </c>
      <c r="E924" t="s">
        <v>279</v>
      </c>
      <c r="G924" t="s">
        <v>288</v>
      </c>
      <c r="H924">
        <v>0</v>
      </c>
      <c r="I924" t="s">
        <v>879</v>
      </c>
    </row>
    <row r="925" spans="1:9" hidden="1" x14ac:dyDescent="0.25">
      <c r="A925" t="s">
        <v>780</v>
      </c>
      <c r="B925">
        <v>6.4000000000000001E-2</v>
      </c>
      <c r="C925" t="s">
        <v>854</v>
      </c>
      <c r="D925" t="s">
        <v>293</v>
      </c>
      <c r="E925" t="s">
        <v>279</v>
      </c>
      <c r="G925" t="s">
        <v>288</v>
      </c>
      <c r="H925">
        <v>0</v>
      </c>
      <c r="I925" t="s">
        <v>781</v>
      </c>
    </row>
    <row r="926" spans="1:9" hidden="1" x14ac:dyDescent="0.25">
      <c r="A926" t="s">
        <v>782</v>
      </c>
      <c r="B926">
        <v>-0.02</v>
      </c>
      <c r="C926" t="s">
        <v>854</v>
      </c>
      <c r="D926" t="s">
        <v>305</v>
      </c>
      <c r="E926" t="s">
        <v>279</v>
      </c>
      <c r="G926" t="s">
        <v>288</v>
      </c>
      <c r="H926">
        <v>0</v>
      </c>
      <c r="I926" t="s">
        <v>783</v>
      </c>
    </row>
    <row r="927" spans="1:9" hidden="1" x14ac:dyDescent="0.25"/>
    <row r="928" spans="1:9" ht="15.75" hidden="1" x14ac:dyDescent="0.25">
      <c r="A928" s="109" t="s">
        <v>265</v>
      </c>
      <c r="B928" s="109" t="s">
        <v>802</v>
      </c>
    </row>
    <row r="929" spans="1:8" hidden="1" x14ac:dyDescent="0.25">
      <c r="A929" t="s">
        <v>267</v>
      </c>
      <c r="B929" t="s">
        <v>268</v>
      </c>
    </row>
    <row r="930" spans="1:8" hidden="1" x14ac:dyDescent="0.25">
      <c r="A930" t="s">
        <v>269</v>
      </c>
      <c r="B930" t="s">
        <v>803</v>
      </c>
    </row>
    <row r="931" spans="1:8" hidden="1" x14ac:dyDescent="0.25">
      <c r="A931" t="s">
        <v>272</v>
      </c>
      <c r="B931" t="s">
        <v>634</v>
      </c>
    </row>
    <row r="932" spans="1:8" hidden="1" x14ac:dyDescent="0.25">
      <c r="A932" t="s">
        <v>274</v>
      </c>
      <c r="B932" t="s">
        <v>804</v>
      </c>
    </row>
    <row r="933" spans="1:8" hidden="1" x14ac:dyDescent="0.25">
      <c r="A933" t="s">
        <v>276</v>
      </c>
      <c r="B933" t="s">
        <v>277</v>
      </c>
    </row>
    <row r="934" spans="1:8" hidden="1" x14ac:dyDescent="0.25">
      <c r="A934" t="s">
        <v>278</v>
      </c>
      <c r="B934" t="s">
        <v>310</v>
      </c>
    </row>
    <row r="935" spans="1:8" hidden="1" x14ac:dyDescent="0.25">
      <c r="A935" t="s">
        <v>853</v>
      </c>
      <c r="B935" t="s">
        <v>850</v>
      </c>
    </row>
    <row r="936" spans="1:8" ht="15.75" hidden="1" x14ac:dyDescent="0.25">
      <c r="A936" s="109" t="s">
        <v>280</v>
      </c>
    </row>
    <row r="937" spans="1:8" hidden="1" x14ac:dyDescent="0.25">
      <c r="A937" t="s">
        <v>281</v>
      </c>
      <c r="B937" t="s">
        <v>282</v>
      </c>
      <c r="C937" t="s">
        <v>283</v>
      </c>
      <c r="D937" t="s">
        <v>272</v>
      </c>
      <c r="E937" t="s">
        <v>278</v>
      </c>
      <c r="F937" t="s">
        <v>276</v>
      </c>
      <c r="G937" t="s">
        <v>284</v>
      </c>
      <c r="H937" t="s">
        <v>274</v>
      </c>
    </row>
    <row r="938" spans="1:8" hidden="1" x14ac:dyDescent="0.25">
      <c r="A938" t="s">
        <v>802</v>
      </c>
      <c r="B938">
        <v>1</v>
      </c>
      <c r="C938" t="s">
        <v>850</v>
      </c>
      <c r="D938" t="s">
        <v>634</v>
      </c>
      <c r="E938" t="s">
        <v>310</v>
      </c>
      <c r="F938" t="s">
        <v>286</v>
      </c>
      <c r="G938">
        <v>0</v>
      </c>
      <c r="H938" t="s">
        <v>804</v>
      </c>
    </row>
    <row r="939" spans="1:8" hidden="1" x14ac:dyDescent="0.25">
      <c r="A939" t="s">
        <v>637</v>
      </c>
      <c r="B939">
        <v>220.773639</v>
      </c>
      <c r="C939" t="s">
        <v>850</v>
      </c>
      <c r="D939" t="s">
        <v>634</v>
      </c>
      <c r="E939" t="s">
        <v>319</v>
      </c>
      <c r="F939" t="s">
        <v>288</v>
      </c>
      <c r="G939">
        <v>0</v>
      </c>
      <c r="H939" t="s">
        <v>380</v>
      </c>
    </row>
    <row r="940" spans="1:8" hidden="1" x14ac:dyDescent="0.25">
      <c r="A940" t="s">
        <v>296</v>
      </c>
      <c r="B940">
        <v>4.51</v>
      </c>
      <c r="C940" t="s">
        <v>854</v>
      </c>
      <c r="D940" t="s">
        <v>634</v>
      </c>
      <c r="E940" t="s">
        <v>297</v>
      </c>
      <c r="F940" t="s">
        <v>288</v>
      </c>
      <c r="G940">
        <v>0</v>
      </c>
      <c r="H940" t="s">
        <v>298</v>
      </c>
    </row>
    <row r="941" spans="1:8" hidden="1" x14ac:dyDescent="0.25">
      <c r="A941" t="s">
        <v>665</v>
      </c>
      <c r="B941">
        <v>3.7612800000000002</v>
      </c>
      <c r="C941" t="s">
        <v>854</v>
      </c>
      <c r="D941" t="s">
        <v>293</v>
      </c>
      <c r="E941" t="s">
        <v>319</v>
      </c>
      <c r="F941" t="s">
        <v>288</v>
      </c>
      <c r="G941">
        <v>0</v>
      </c>
      <c r="H941" t="s">
        <v>665</v>
      </c>
    </row>
    <row r="942" spans="1:8" hidden="1" x14ac:dyDescent="0.25">
      <c r="A942" t="s">
        <v>805</v>
      </c>
      <c r="B942">
        <v>1</v>
      </c>
      <c r="C942" t="s">
        <v>850</v>
      </c>
      <c r="D942" t="s">
        <v>634</v>
      </c>
      <c r="E942" t="s">
        <v>310</v>
      </c>
      <c r="F942" t="s">
        <v>288</v>
      </c>
      <c r="G942">
        <v>0</v>
      </c>
      <c r="H942" t="s">
        <v>880</v>
      </c>
    </row>
    <row r="943" spans="1:8" hidden="1" x14ac:dyDescent="0.25"/>
    <row r="944" spans="1:8" ht="15.75" hidden="1" x14ac:dyDescent="0.25">
      <c r="A944" s="109" t="s">
        <v>265</v>
      </c>
      <c r="B944" s="109" t="s">
        <v>805</v>
      </c>
    </row>
    <row r="945" spans="1:8" hidden="1" x14ac:dyDescent="0.25">
      <c r="A945" t="s">
        <v>267</v>
      </c>
      <c r="B945" t="s">
        <v>268</v>
      </c>
    </row>
    <row r="946" spans="1:8" hidden="1" x14ac:dyDescent="0.25">
      <c r="A946" t="s">
        <v>269</v>
      </c>
      <c r="B946" t="s">
        <v>807</v>
      </c>
    </row>
    <row r="947" spans="1:8" hidden="1" x14ac:dyDescent="0.25">
      <c r="A947" t="s">
        <v>272</v>
      </c>
      <c r="B947" t="s">
        <v>634</v>
      </c>
    </row>
    <row r="948" spans="1:8" hidden="1" x14ac:dyDescent="0.25">
      <c r="A948" t="s">
        <v>274</v>
      </c>
      <c r="B948" t="s">
        <v>880</v>
      </c>
    </row>
    <row r="949" spans="1:8" hidden="1" x14ac:dyDescent="0.25">
      <c r="A949" t="s">
        <v>276</v>
      </c>
      <c r="B949" t="s">
        <v>277</v>
      </c>
    </row>
    <row r="950" spans="1:8" hidden="1" x14ac:dyDescent="0.25">
      <c r="A950" t="s">
        <v>278</v>
      </c>
      <c r="B950" t="s">
        <v>310</v>
      </c>
    </row>
    <row r="951" spans="1:8" hidden="1" x14ac:dyDescent="0.25">
      <c r="A951" t="s">
        <v>853</v>
      </c>
      <c r="B951" t="s">
        <v>850</v>
      </c>
    </row>
    <row r="952" spans="1:8" ht="15.75" hidden="1" x14ac:dyDescent="0.25">
      <c r="A952" s="109" t="s">
        <v>280</v>
      </c>
    </row>
    <row r="953" spans="1:8" hidden="1" x14ac:dyDescent="0.25">
      <c r="A953" t="s">
        <v>281</v>
      </c>
      <c r="B953" t="s">
        <v>282</v>
      </c>
      <c r="C953" t="s">
        <v>283</v>
      </c>
      <c r="D953" t="s">
        <v>272</v>
      </c>
      <c r="E953" t="s">
        <v>278</v>
      </c>
      <c r="F953" t="s">
        <v>276</v>
      </c>
      <c r="G953" t="s">
        <v>284</v>
      </c>
      <c r="H953" t="s">
        <v>274</v>
      </c>
    </row>
    <row r="954" spans="1:8" hidden="1" x14ac:dyDescent="0.25">
      <c r="A954" t="s">
        <v>805</v>
      </c>
      <c r="B954">
        <v>1</v>
      </c>
      <c r="C954" t="s">
        <v>850</v>
      </c>
      <c r="D954" t="s">
        <v>634</v>
      </c>
      <c r="E954" t="s">
        <v>310</v>
      </c>
      <c r="F954" t="s">
        <v>286</v>
      </c>
      <c r="G954">
        <v>0</v>
      </c>
      <c r="H954" t="s">
        <v>880</v>
      </c>
    </row>
    <row r="955" spans="1:8" hidden="1" x14ac:dyDescent="0.25">
      <c r="A955" t="s">
        <v>318</v>
      </c>
      <c r="B955">
        <v>17.64</v>
      </c>
      <c r="C955" t="s">
        <v>854</v>
      </c>
      <c r="D955" t="s">
        <v>293</v>
      </c>
      <c r="E955" t="s">
        <v>319</v>
      </c>
      <c r="F955" t="s">
        <v>288</v>
      </c>
      <c r="G955">
        <v>0</v>
      </c>
      <c r="H955" t="s">
        <v>318</v>
      </c>
    </row>
    <row r="956" spans="1:8" hidden="1" x14ac:dyDescent="0.25">
      <c r="A956" t="s">
        <v>296</v>
      </c>
      <c r="B956">
        <v>7.2</v>
      </c>
      <c r="C956" t="s">
        <v>854</v>
      </c>
      <c r="D956" t="s">
        <v>634</v>
      </c>
      <c r="E956" t="s">
        <v>297</v>
      </c>
      <c r="F956" t="s">
        <v>288</v>
      </c>
      <c r="G956">
        <v>0</v>
      </c>
      <c r="H956" t="s">
        <v>298</v>
      </c>
    </row>
    <row r="957" spans="1:8" hidden="1" x14ac:dyDescent="0.25">
      <c r="A957" t="s">
        <v>717</v>
      </c>
      <c r="B957">
        <v>1</v>
      </c>
      <c r="C957" t="s">
        <v>850</v>
      </c>
      <c r="D957" t="s">
        <v>634</v>
      </c>
      <c r="E957" t="s">
        <v>310</v>
      </c>
      <c r="F957" t="s">
        <v>288</v>
      </c>
      <c r="G957">
        <v>0</v>
      </c>
      <c r="H957" t="s">
        <v>660</v>
      </c>
    </row>
    <row r="958" spans="1:8" hidden="1" x14ac:dyDescent="0.25">
      <c r="A958" t="s">
        <v>858</v>
      </c>
      <c r="B958">
        <v>149.69</v>
      </c>
      <c r="C958" t="s">
        <v>854</v>
      </c>
      <c r="D958" t="s">
        <v>305</v>
      </c>
      <c r="E958" t="s">
        <v>487</v>
      </c>
      <c r="F958" t="s">
        <v>288</v>
      </c>
      <c r="G958">
        <v>0</v>
      </c>
      <c r="H958" t="s">
        <v>858</v>
      </c>
    </row>
    <row r="959" spans="1:8" hidden="1" x14ac:dyDescent="0.25">
      <c r="A959" t="s">
        <v>580</v>
      </c>
      <c r="B959">
        <v>-9.93</v>
      </c>
      <c r="C959" t="s">
        <v>854</v>
      </c>
      <c r="D959" t="s">
        <v>305</v>
      </c>
      <c r="E959" t="s">
        <v>279</v>
      </c>
      <c r="F959" t="s">
        <v>288</v>
      </c>
      <c r="G959">
        <v>0</v>
      </c>
      <c r="H959" t="s">
        <v>385</v>
      </c>
    </row>
    <row r="960" spans="1:8" hidden="1" x14ac:dyDescent="0.25"/>
    <row r="961" spans="1:8" ht="15.75" hidden="1" x14ac:dyDescent="0.25">
      <c r="A961" s="109" t="s">
        <v>265</v>
      </c>
      <c r="B961" s="109" t="s">
        <v>485</v>
      </c>
    </row>
    <row r="962" spans="1:8" hidden="1" x14ac:dyDescent="0.25">
      <c r="A962" t="s">
        <v>267</v>
      </c>
      <c r="B962" t="s">
        <v>268</v>
      </c>
    </row>
    <row r="963" spans="1:8" hidden="1" x14ac:dyDescent="0.25">
      <c r="A963" t="s">
        <v>269</v>
      </c>
      <c r="B963" t="s">
        <v>820</v>
      </c>
    </row>
    <row r="964" spans="1:8" hidden="1" x14ac:dyDescent="0.25">
      <c r="A964" t="s">
        <v>272</v>
      </c>
      <c r="B964" t="s">
        <v>273</v>
      </c>
    </row>
    <row r="965" spans="1:8" hidden="1" x14ac:dyDescent="0.25">
      <c r="A965" t="s">
        <v>274</v>
      </c>
      <c r="B965" t="s">
        <v>485</v>
      </c>
    </row>
    <row r="966" spans="1:8" hidden="1" x14ac:dyDescent="0.25">
      <c r="A966" t="s">
        <v>276</v>
      </c>
      <c r="B966" t="s">
        <v>277</v>
      </c>
    </row>
    <row r="967" spans="1:8" hidden="1" x14ac:dyDescent="0.25">
      <c r="A967" t="s">
        <v>278</v>
      </c>
      <c r="B967" t="s">
        <v>279</v>
      </c>
    </row>
    <row r="968" spans="1:8" hidden="1" x14ac:dyDescent="0.25">
      <c r="A968" t="s">
        <v>853</v>
      </c>
      <c r="B968" t="s">
        <v>850</v>
      </c>
    </row>
    <row r="969" spans="1:8" ht="15.75" hidden="1" x14ac:dyDescent="0.25">
      <c r="A969" s="109" t="s">
        <v>280</v>
      </c>
    </row>
    <row r="970" spans="1:8" hidden="1" x14ac:dyDescent="0.25">
      <c r="A970" t="s">
        <v>281</v>
      </c>
      <c r="B970" t="s">
        <v>282</v>
      </c>
      <c r="C970" t="s">
        <v>283</v>
      </c>
      <c r="D970" t="s">
        <v>272</v>
      </c>
      <c r="E970" t="s">
        <v>278</v>
      </c>
      <c r="F970" t="s">
        <v>276</v>
      </c>
      <c r="G970" t="s">
        <v>284</v>
      </c>
      <c r="H970" t="s">
        <v>274</v>
      </c>
    </row>
    <row r="971" spans="1:8" hidden="1" x14ac:dyDescent="0.25">
      <c r="A971" t="s">
        <v>485</v>
      </c>
      <c r="B971">
        <v>1</v>
      </c>
      <c r="C971" t="s">
        <v>850</v>
      </c>
      <c r="D971" t="s">
        <v>273</v>
      </c>
      <c r="E971" t="s">
        <v>279</v>
      </c>
      <c r="F971" t="s">
        <v>286</v>
      </c>
      <c r="G971">
        <v>0</v>
      </c>
      <c r="H971" t="s">
        <v>485</v>
      </c>
    </row>
    <row r="972" spans="1:8" hidden="1" x14ac:dyDescent="0.25">
      <c r="A972" t="s">
        <v>821</v>
      </c>
      <c r="B972">
        <v>0.99099999999999999</v>
      </c>
      <c r="C972" t="s">
        <v>854</v>
      </c>
      <c r="D972" t="s">
        <v>305</v>
      </c>
      <c r="E972" t="s">
        <v>279</v>
      </c>
      <c r="F972" t="s">
        <v>288</v>
      </c>
      <c r="G972">
        <v>0</v>
      </c>
      <c r="H972" t="s">
        <v>821</v>
      </c>
    </row>
    <row r="973" spans="1:8" hidden="1" x14ac:dyDescent="0.25">
      <c r="A973" t="s">
        <v>732</v>
      </c>
      <c r="B973">
        <v>0.99099999999999999</v>
      </c>
      <c r="C973" t="s">
        <v>850</v>
      </c>
      <c r="D973" t="s">
        <v>273</v>
      </c>
      <c r="E973" t="s">
        <v>279</v>
      </c>
      <c r="F973" t="s">
        <v>288</v>
      </c>
      <c r="G973">
        <v>0</v>
      </c>
      <c r="H973" t="s">
        <v>734</v>
      </c>
    </row>
    <row r="974" spans="1:8" hidden="1" x14ac:dyDescent="0.25">
      <c r="A974" t="s">
        <v>397</v>
      </c>
      <c r="B974">
        <v>1</v>
      </c>
      <c r="C974" t="s">
        <v>850</v>
      </c>
      <c r="D974" t="s">
        <v>273</v>
      </c>
      <c r="E974" t="s">
        <v>279</v>
      </c>
      <c r="F974" t="s">
        <v>288</v>
      </c>
      <c r="G974">
        <v>0</v>
      </c>
      <c r="H974" t="s">
        <v>344</v>
      </c>
    </row>
    <row r="975" spans="1:8" hidden="1" x14ac:dyDescent="0.25">
      <c r="A975" t="s">
        <v>691</v>
      </c>
      <c r="B975">
        <v>9.4999999999999998E-3</v>
      </c>
      <c r="C975" t="s">
        <v>854</v>
      </c>
      <c r="D975" t="s">
        <v>305</v>
      </c>
      <c r="E975" t="s">
        <v>323</v>
      </c>
      <c r="F975" t="s">
        <v>288</v>
      </c>
      <c r="G975">
        <v>0</v>
      </c>
      <c r="H975" t="s">
        <v>417</v>
      </c>
    </row>
    <row r="976" spans="1:8" hidden="1" x14ac:dyDescent="0.25"/>
    <row r="977" spans="1:8" ht="15.75" hidden="1" x14ac:dyDescent="0.25">
      <c r="A977" s="109" t="s">
        <v>265</v>
      </c>
      <c r="B977" s="109" t="s">
        <v>564</v>
      </c>
    </row>
    <row r="978" spans="1:8" hidden="1" x14ac:dyDescent="0.25">
      <c r="A978" t="s">
        <v>267</v>
      </c>
      <c r="B978" t="s">
        <v>268</v>
      </c>
    </row>
    <row r="979" spans="1:8" hidden="1" x14ac:dyDescent="0.25">
      <c r="A979" t="s">
        <v>269</v>
      </c>
      <c r="B979" t="s">
        <v>822</v>
      </c>
    </row>
    <row r="980" spans="1:8" hidden="1" x14ac:dyDescent="0.25">
      <c r="A980" t="s">
        <v>272</v>
      </c>
      <c r="B980" t="s">
        <v>371</v>
      </c>
    </row>
    <row r="981" spans="1:8" hidden="1" x14ac:dyDescent="0.25">
      <c r="A981" t="s">
        <v>274</v>
      </c>
      <c r="B981" t="s">
        <v>564</v>
      </c>
    </row>
    <row r="982" spans="1:8" hidden="1" x14ac:dyDescent="0.25">
      <c r="A982" t="s">
        <v>276</v>
      </c>
      <c r="B982" t="s">
        <v>277</v>
      </c>
    </row>
    <row r="983" spans="1:8" hidden="1" x14ac:dyDescent="0.25">
      <c r="A983" t="s">
        <v>278</v>
      </c>
      <c r="B983" t="s">
        <v>279</v>
      </c>
    </row>
    <row r="984" spans="1:8" hidden="1" x14ac:dyDescent="0.25">
      <c r="A984" t="s">
        <v>853</v>
      </c>
      <c r="B984" t="s">
        <v>850</v>
      </c>
    </row>
    <row r="985" spans="1:8" ht="15.75" hidden="1" x14ac:dyDescent="0.25">
      <c r="A985" s="109" t="s">
        <v>280</v>
      </c>
    </row>
    <row r="986" spans="1:8" hidden="1" x14ac:dyDescent="0.25">
      <c r="A986" t="s">
        <v>281</v>
      </c>
      <c r="B986" t="s">
        <v>282</v>
      </c>
      <c r="C986" t="s">
        <v>283</v>
      </c>
      <c r="D986" t="s">
        <v>272</v>
      </c>
      <c r="E986" t="s">
        <v>278</v>
      </c>
      <c r="F986" t="s">
        <v>276</v>
      </c>
      <c r="G986" t="s">
        <v>284</v>
      </c>
      <c r="H986" t="s">
        <v>274</v>
      </c>
    </row>
    <row r="987" spans="1:8" hidden="1" x14ac:dyDescent="0.25">
      <c r="A987" t="s">
        <v>564</v>
      </c>
      <c r="B987">
        <v>1</v>
      </c>
      <c r="C987" t="s">
        <v>850</v>
      </c>
      <c r="D987" t="s">
        <v>371</v>
      </c>
      <c r="E987" t="s">
        <v>279</v>
      </c>
      <c r="F987" t="s">
        <v>286</v>
      </c>
      <c r="G987">
        <v>0</v>
      </c>
      <c r="H987" t="s">
        <v>564</v>
      </c>
    </row>
    <row r="988" spans="1:8" hidden="1" x14ac:dyDescent="0.25">
      <c r="A988" t="s">
        <v>400</v>
      </c>
      <c r="B988">
        <v>1</v>
      </c>
      <c r="C988" t="s">
        <v>854</v>
      </c>
      <c r="D988" t="s">
        <v>305</v>
      </c>
      <c r="E988" t="s">
        <v>279</v>
      </c>
      <c r="F988" t="s">
        <v>288</v>
      </c>
      <c r="G988">
        <v>0</v>
      </c>
      <c r="H988" t="s">
        <v>400</v>
      </c>
    </row>
    <row r="989" spans="1:8" hidden="1" x14ac:dyDescent="0.25">
      <c r="A989" t="s">
        <v>345</v>
      </c>
      <c r="B989">
        <v>1</v>
      </c>
      <c r="C989" t="s">
        <v>850</v>
      </c>
      <c r="D989" t="s">
        <v>371</v>
      </c>
      <c r="E989" t="s">
        <v>279</v>
      </c>
      <c r="F989" t="s">
        <v>288</v>
      </c>
      <c r="G989">
        <v>0</v>
      </c>
      <c r="H989" t="s">
        <v>346</v>
      </c>
    </row>
    <row r="990" spans="1:8" hidden="1" x14ac:dyDescent="0.25"/>
    <row r="991" spans="1:8" ht="15.75" hidden="1" x14ac:dyDescent="0.25">
      <c r="A991" s="109" t="s">
        <v>265</v>
      </c>
      <c r="B991" s="109" t="s">
        <v>564</v>
      </c>
    </row>
    <row r="992" spans="1:8" hidden="1" x14ac:dyDescent="0.25">
      <c r="A992" t="s">
        <v>267</v>
      </c>
      <c r="B992" t="s">
        <v>268</v>
      </c>
    </row>
    <row r="993" spans="1:8" hidden="1" x14ac:dyDescent="0.25">
      <c r="A993" t="s">
        <v>269</v>
      </c>
      <c r="B993" t="s">
        <v>823</v>
      </c>
    </row>
    <row r="994" spans="1:8" hidden="1" x14ac:dyDescent="0.25">
      <c r="A994" t="s">
        <v>272</v>
      </c>
      <c r="B994" t="s">
        <v>327</v>
      </c>
    </row>
    <row r="995" spans="1:8" hidden="1" x14ac:dyDescent="0.25">
      <c r="A995" t="s">
        <v>274</v>
      </c>
      <c r="B995" t="s">
        <v>564</v>
      </c>
    </row>
    <row r="996" spans="1:8" hidden="1" x14ac:dyDescent="0.25">
      <c r="A996" t="s">
        <v>276</v>
      </c>
      <c r="B996" t="s">
        <v>277</v>
      </c>
    </row>
    <row r="997" spans="1:8" hidden="1" x14ac:dyDescent="0.25">
      <c r="A997" t="s">
        <v>278</v>
      </c>
      <c r="B997" t="s">
        <v>279</v>
      </c>
    </row>
    <row r="998" spans="1:8" hidden="1" x14ac:dyDescent="0.25">
      <c r="A998" t="s">
        <v>853</v>
      </c>
      <c r="B998" t="s">
        <v>850</v>
      </c>
    </row>
    <row r="999" spans="1:8" ht="15.75" hidden="1" x14ac:dyDescent="0.25">
      <c r="A999" s="109" t="s">
        <v>280</v>
      </c>
    </row>
    <row r="1000" spans="1:8" hidden="1" x14ac:dyDescent="0.25">
      <c r="A1000" t="s">
        <v>281</v>
      </c>
      <c r="B1000" t="s">
        <v>282</v>
      </c>
      <c r="C1000" t="s">
        <v>283</v>
      </c>
      <c r="D1000" t="s">
        <v>272</v>
      </c>
      <c r="E1000" t="s">
        <v>278</v>
      </c>
      <c r="F1000" t="s">
        <v>276</v>
      </c>
      <c r="G1000" t="s">
        <v>284</v>
      </c>
      <c r="H1000" t="s">
        <v>274</v>
      </c>
    </row>
    <row r="1001" spans="1:8" hidden="1" x14ac:dyDescent="0.25">
      <c r="A1001" t="s">
        <v>564</v>
      </c>
      <c r="B1001">
        <v>1</v>
      </c>
      <c r="C1001" t="s">
        <v>850</v>
      </c>
      <c r="D1001" t="s">
        <v>327</v>
      </c>
      <c r="E1001" t="s">
        <v>279</v>
      </c>
      <c r="F1001" t="s">
        <v>286</v>
      </c>
      <c r="G1001">
        <v>0</v>
      </c>
      <c r="H1001" t="s">
        <v>564</v>
      </c>
    </row>
    <row r="1002" spans="1:8" hidden="1" x14ac:dyDescent="0.25">
      <c r="A1002" t="s">
        <v>400</v>
      </c>
      <c r="B1002">
        <v>1</v>
      </c>
      <c r="C1002" t="s">
        <v>854</v>
      </c>
      <c r="D1002" t="s">
        <v>305</v>
      </c>
      <c r="E1002" t="s">
        <v>279</v>
      </c>
      <c r="F1002" t="s">
        <v>288</v>
      </c>
      <c r="G1002">
        <v>0</v>
      </c>
      <c r="H1002" t="s">
        <v>400</v>
      </c>
    </row>
    <row r="1003" spans="1:8" hidden="1" x14ac:dyDescent="0.25">
      <c r="A1003" t="s">
        <v>345</v>
      </c>
      <c r="B1003">
        <v>1</v>
      </c>
      <c r="C1003" t="s">
        <v>850</v>
      </c>
      <c r="D1003" t="s">
        <v>327</v>
      </c>
      <c r="E1003" t="s">
        <v>279</v>
      </c>
      <c r="F1003" t="s">
        <v>288</v>
      </c>
      <c r="G1003">
        <v>0</v>
      </c>
      <c r="H1003" t="s">
        <v>346</v>
      </c>
    </row>
    <row r="1004" spans="1:8" hidden="1" x14ac:dyDescent="0.25"/>
    <row r="1005" spans="1:8" ht="15.75" hidden="1" x14ac:dyDescent="0.25">
      <c r="A1005" s="109" t="s">
        <v>265</v>
      </c>
      <c r="B1005" s="109" t="s">
        <v>666</v>
      </c>
    </row>
    <row r="1006" spans="1:8" hidden="1" x14ac:dyDescent="0.25">
      <c r="A1006" t="s">
        <v>267</v>
      </c>
      <c r="B1006" t="s">
        <v>268</v>
      </c>
    </row>
    <row r="1007" spans="1:8" hidden="1" x14ac:dyDescent="0.25">
      <c r="A1007" t="s">
        <v>269</v>
      </c>
      <c r="B1007" t="s">
        <v>827</v>
      </c>
    </row>
    <row r="1008" spans="1:8" hidden="1" x14ac:dyDescent="0.25">
      <c r="A1008" t="s">
        <v>272</v>
      </c>
      <c r="B1008" t="s">
        <v>634</v>
      </c>
    </row>
    <row r="1009" spans="1:8" hidden="1" x14ac:dyDescent="0.25">
      <c r="A1009" t="s">
        <v>274</v>
      </c>
      <c r="B1009" t="s">
        <v>667</v>
      </c>
    </row>
    <row r="1010" spans="1:8" hidden="1" x14ac:dyDescent="0.25">
      <c r="A1010" t="s">
        <v>276</v>
      </c>
      <c r="B1010" t="s">
        <v>277</v>
      </c>
    </row>
    <row r="1011" spans="1:8" hidden="1" x14ac:dyDescent="0.25">
      <c r="A1011" t="s">
        <v>278</v>
      </c>
      <c r="B1011" t="s">
        <v>279</v>
      </c>
    </row>
    <row r="1012" spans="1:8" hidden="1" x14ac:dyDescent="0.25">
      <c r="A1012" t="s">
        <v>853</v>
      </c>
      <c r="B1012" t="s">
        <v>850</v>
      </c>
    </row>
    <row r="1013" spans="1:8" ht="15.75" hidden="1" x14ac:dyDescent="0.25">
      <c r="A1013" s="109" t="s">
        <v>280</v>
      </c>
    </row>
    <row r="1014" spans="1:8" hidden="1" x14ac:dyDescent="0.25">
      <c r="A1014" t="s">
        <v>281</v>
      </c>
      <c r="B1014" t="s">
        <v>282</v>
      </c>
      <c r="C1014" t="s">
        <v>283</v>
      </c>
      <c r="D1014" t="s">
        <v>272</v>
      </c>
      <c r="E1014" t="s">
        <v>278</v>
      </c>
      <c r="F1014" t="s">
        <v>276</v>
      </c>
      <c r="G1014" t="s">
        <v>284</v>
      </c>
      <c r="H1014" t="s">
        <v>274</v>
      </c>
    </row>
    <row r="1015" spans="1:8" hidden="1" x14ac:dyDescent="0.25">
      <c r="A1015" t="s">
        <v>666</v>
      </c>
      <c r="B1015">
        <v>570</v>
      </c>
      <c r="C1015" t="s">
        <v>850</v>
      </c>
      <c r="D1015" t="s">
        <v>634</v>
      </c>
      <c r="E1015" t="s">
        <v>279</v>
      </c>
      <c r="F1015" t="s">
        <v>286</v>
      </c>
      <c r="G1015">
        <v>0</v>
      </c>
      <c r="H1015" t="s">
        <v>667</v>
      </c>
    </row>
    <row r="1016" spans="1:8" hidden="1" x14ac:dyDescent="0.25">
      <c r="A1016" t="s">
        <v>296</v>
      </c>
      <c r="B1016">
        <v>13.021179999999999</v>
      </c>
      <c r="C1016" t="s">
        <v>854</v>
      </c>
      <c r="D1016" t="s">
        <v>634</v>
      </c>
      <c r="E1016" t="s">
        <v>297</v>
      </c>
      <c r="F1016" t="s">
        <v>288</v>
      </c>
      <c r="G1016">
        <v>0</v>
      </c>
      <c r="H1016" t="s">
        <v>298</v>
      </c>
    </row>
    <row r="1017" spans="1:8" hidden="1" x14ac:dyDescent="0.25">
      <c r="A1017" t="s">
        <v>665</v>
      </c>
      <c r="B1017">
        <v>4.3344520559999999</v>
      </c>
      <c r="C1017" t="s">
        <v>854</v>
      </c>
      <c r="D1017" t="s">
        <v>293</v>
      </c>
      <c r="E1017" t="s">
        <v>319</v>
      </c>
      <c r="F1017" t="s">
        <v>288</v>
      </c>
      <c r="G1017">
        <v>0</v>
      </c>
      <c r="H1017" t="s">
        <v>665</v>
      </c>
    </row>
    <row r="1018" spans="1:8" hidden="1" x14ac:dyDescent="0.25">
      <c r="A1018" t="s">
        <v>802</v>
      </c>
      <c r="B1018">
        <v>1.13236</v>
      </c>
      <c r="C1018" t="s">
        <v>850</v>
      </c>
      <c r="D1018" t="s">
        <v>634</v>
      </c>
      <c r="E1018" t="s">
        <v>310</v>
      </c>
      <c r="F1018" t="s">
        <v>288</v>
      </c>
      <c r="G1018">
        <v>0</v>
      </c>
      <c r="H1018" t="s">
        <v>804</v>
      </c>
    </row>
    <row r="1019" spans="1:8" hidden="1" x14ac:dyDescent="0.25"/>
    <row r="1020" spans="1:8" ht="15.75" hidden="1" x14ac:dyDescent="0.25">
      <c r="A1020" s="109" t="s">
        <v>265</v>
      </c>
      <c r="B1020" s="109" t="s">
        <v>668</v>
      </c>
    </row>
    <row r="1021" spans="1:8" hidden="1" x14ac:dyDescent="0.25">
      <c r="A1021" t="s">
        <v>267</v>
      </c>
      <c r="B1021" t="s">
        <v>268</v>
      </c>
    </row>
    <row r="1022" spans="1:8" hidden="1" x14ac:dyDescent="0.25">
      <c r="A1022" t="s">
        <v>269</v>
      </c>
      <c r="B1022" t="s">
        <v>829</v>
      </c>
    </row>
    <row r="1023" spans="1:8" hidden="1" x14ac:dyDescent="0.25">
      <c r="A1023" t="s">
        <v>272</v>
      </c>
      <c r="B1023" t="s">
        <v>634</v>
      </c>
    </row>
    <row r="1024" spans="1:8" hidden="1" x14ac:dyDescent="0.25">
      <c r="A1024" t="s">
        <v>274</v>
      </c>
      <c r="B1024" t="s">
        <v>668</v>
      </c>
    </row>
    <row r="1025" spans="1:8" hidden="1" x14ac:dyDescent="0.25">
      <c r="A1025" t="s">
        <v>276</v>
      </c>
      <c r="B1025" t="s">
        <v>277</v>
      </c>
    </row>
    <row r="1026" spans="1:8" hidden="1" x14ac:dyDescent="0.25">
      <c r="A1026" t="s">
        <v>278</v>
      </c>
      <c r="B1026" t="s">
        <v>279</v>
      </c>
    </row>
    <row r="1027" spans="1:8" hidden="1" x14ac:dyDescent="0.25">
      <c r="A1027" t="s">
        <v>853</v>
      </c>
      <c r="B1027" t="s">
        <v>850</v>
      </c>
    </row>
    <row r="1028" spans="1:8" ht="15.75" hidden="1" x14ac:dyDescent="0.25">
      <c r="A1028" s="109" t="s">
        <v>280</v>
      </c>
    </row>
    <row r="1029" spans="1:8" hidden="1" x14ac:dyDescent="0.25">
      <c r="A1029" t="s">
        <v>281</v>
      </c>
      <c r="B1029" t="s">
        <v>282</v>
      </c>
      <c r="C1029" t="s">
        <v>283</v>
      </c>
      <c r="D1029" t="s">
        <v>272</v>
      </c>
      <c r="E1029" t="s">
        <v>278</v>
      </c>
      <c r="F1029" t="s">
        <v>276</v>
      </c>
      <c r="G1029" t="s">
        <v>284</v>
      </c>
      <c r="H1029" t="s">
        <v>274</v>
      </c>
    </row>
    <row r="1030" spans="1:8" hidden="1" x14ac:dyDescent="0.25">
      <c r="A1030" t="s">
        <v>668</v>
      </c>
      <c r="B1030">
        <v>375</v>
      </c>
      <c r="C1030" t="s">
        <v>850</v>
      </c>
      <c r="D1030" t="s">
        <v>634</v>
      </c>
      <c r="E1030" t="s">
        <v>279</v>
      </c>
      <c r="F1030" t="s">
        <v>286</v>
      </c>
      <c r="G1030">
        <v>0</v>
      </c>
      <c r="H1030" t="s">
        <v>668</v>
      </c>
    </row>
    <row r="1031" spans="1:8" hidden="1" x14ac:dyDescent="0.25">
      <c r="A1031" t="s">
        <v>637</v>
      </c>
      <c r="B1031">
        <v>1434.67</v>
      </c>
      <c r="C1031" t="s">
        <v>850</v>
      </c>
      <c r="D1031" t="s">
        <v>634</v>
      </c>
      <c r="E1031" t="s">
        <v>319</v>
      </c>
      <c r="F1031" t="s">
        <v>288</v>
      </c>
      <c r="G1031">
        <v>0</v>
      </c>
      <c r="H1031" t="s">
        <v>380</v>
      </c>
    </row>
    <row r="1032" spans="1:8" hidden="1" x14ac:dyDescent="0.25">
      <c r="A1032" t="s">
        <v>296</v>
      </c>
      <c r="B1032">
        <v>42.7</v>
      </c>
      <c r="C1032" t="s">
        <v>854</v>
      </c>
      <c r="D1032" t="s">
        <v>634</v>
      </c>
      <c r="E1032" t="s">
        <v>297</v>
      </c>
      <c r="F1032" t="s">
        <v>288</v>
      </c>
      <c r="G1032">
        <v>0</v>
      </c>
      <c r="H1032" t="s">
        <v>298</v>
      </c>
    </row>
    <row r="1033" spans="1:8" hidden="1" x14ac:dyDescent="0.25">
      <c r="A1033" t="s">
        <v>422</v>
      </c>
      <c r="B1033">
        <v>278.27999999999997</v>
      </c>
      <c r="C1033" t="s">
        <v>854</v>
      </c>
      <c r="D1033" t="s">
        <v>305</v>
      </c>
      <c r="E1033" t="s">
        <v>319</v>
      </c>
      <c r="F1033" t="s">
        <v>288</v>
      </c>
      <c r="G1033">
        <v>0</v>
      </c>
      <c r="H1033" t="s">
        <v>423</v>
      </c>
    </row>
    <row r="1034" spans="1:8" hidden="1" x14ac:dyDescent="0.25">
      <c r="A1034" t="s">
        <v>665</v>
      </c>
      <c r="B1034">
        <v>6.8173199999999996</v>
      </c>
      <c r="C1034" t="s">
        <v>854</v>
      </c>
      <c r="D1034" t="s">
        <v>293</v>
      </c>
      <c r="E1034" t="s">
        <v>319</v>
      </c>
      <c r="F1034" t="s">
        <v>288</v>
      </c>
      <c r="G1034">
        <v>0</v>
      </c>
      <c r="H1034" t="s">
        <v>665</v>
      </c>
    </row>
    <row r="1035" spans="1:8" hidden="1" x14ac:dyDescent="0.25">
      <c r="A1035" t="s">
        <v>666</v>
      </c>
      <c r="B1035">
        <v>505</v>
      </c>
      <c r="C1035" t="s">
        <v>850</v>
      </c>
      <c r="D1035" t="s">
        <v>634</v>
      </c>
      <c r="E1035" t="s">
        <v>279</v>
      </c>
      <c r="F1035" t="s">
        <v>288</v>
      </c>
      <c r="G1035">
        <v>0</v>
      </c>
      <c r="H1035" t="s">
        <v>667</v>
      </c>
    </row>
    <row r="1036" spans="1:8" hidden="1" x14ac:dyDescent="0.25"/>
    <row r="1037" spans="1:8" ht="15.75" hidden="1" x14ac:dyDescent="0.25">
      <c r="A1037" s="109" t="s">
        <v>265</v>
      </c>
      <c r="B1037" s="109" t="s">
        <v>832</v>
      </c>
    </row>
    <row r="1038" spans="1:8" hidden="1" x14ac:dyDescent="0.25">
      <c r="A1038" t="s">
        <v>267</v>
      </c>
      <c r="B1038" t="s">
        <v>268</v>
      </c>
    </row>
    <row r="1039" spans="1:8" hidden="1" x14ac:dyDescent="0.25">
      <c r="A1039" t="s">
        <v>269</v>
      </c>
      <c r="B1039" t="s">
        <v>833</v>
      </c>
    </row>
    <row r="1040" spans="1:8" hidden="1" x14ac:dyDescent="0.25">
      <c r="A1040" t="s">
        <v>272</v>
      </c>
      <c r="B1040" t="s">
        <v>273</v>
      </c>
    </row>
    <row r="1041" spans="1:8" hidden="1" x14ac:dyDescent="0.25">
      <c r="A1041" t="s">
        <v>274</v>
      </c>
      <c r="B1041" t="s">
        <v>832</v>
      </c>
    </row>
    <row r="1042" spans="1:8" hidden="1" x14ac:dyDescent="0.25">
      <c r="A1042" t="s">
        <v>276</v>
      </c>
      <c r="B1042" t="s">
        <v>277</v>
      </c>
    </row>
    <row r="1043" spans="1:8" hidden="1" x14ac:dyDescent="0.25">
      <c r="A1043" t="s">
        <v>278</v>
      </c>
      <c r="B1043" t="s">
        <v>323</v>
      </c>
    </row>
    <row r="1044" spans="1:8" hidden="1" x14ac:dyDescent="0.25">
      <c r="A1044" t="s">
        <v>853</v>
      </c>
      <c r="B1044" t="s">
        <v>850</v>
      </c>
    </row>
    <row r="1045" spans="1:8" ht="15.75" hidden="1" x14ac:dyDescent="0.25">
      <c r="A1045" s="109" t="s">
        <v>280</v>
      </c>
    </row>
    <row r="1046" spans="1:8" hidden="1" x14ac:dyDescent="0.25">
      <c r="A1046" t="s">
        <v>281</v>
      </c>
      <c r="B1046" t="s">
        <v>282</v>
      </c>
      <c r="C1046" t="s">
        <v>283</v>
      </c>
      <c r="D1046" t="s">
        <v>272</v>
      </c>
      <c r="E1046" t="s">
        <v>278</v>
      </c>
      <c r="F1046" t="s">
        <v>276</v>
      </c>
      <c r="G1046" t="s">
        <v>284</v>
      </c>
      <c r="H1046" t="s">
        <v>274</v>
      </c>
    </row>
    <row r="1047" spans="1:8" hidden="1" x14ac:dyDescent="0.25">
      <c r="A1047" t="s">
        <v>832</v>
      </c>
      <c r="B1047">
        <v>1</v>
      </c>
      <c r="C1047" t="s">
        <v>850</v>
      </c>
      <c r="D1047" t="s">
        <v>273</v>
      </c>
      <c r="E1047" t="s">
        <v>323</v>
      </c>
      <c r="F1047" t="s">
        <v>286</v>
      </c>
      <c r="G1047">
        <v>0</v>
      </c>
      <c r="H1047" t="s">
        <v>832</v>
      </c>
    </row>
    <row r="1048" spans="1:8" hidden="1" x14ac:dyDescent="0.25">
      <c r="A1048" t="s">
        <v>325</v>
      </c>
      <c r="B1048">
        <v>2.3045</v>
      </c>
      <c r="C1048" t="s">
        <v>850</v>
      </c>
      <c r="D1048" t="s">
        <v>273</v>
      </c>
      <c r="E1048" t="s">
        <v>279</v>
      </c>
      <c r="F1048" t="s">
        <v>288</v>
      </c>
      <c r="G1048">
        <v>0</v>
      </c>
      <c r="H1048" t="s">
        <v>326</v>
      </c>
    </row>
    <row r="1049" spans="1:8" hidden="1" x14ac:dyDescent="0.25">
      <c r="A1049" t="s">
        <v>74</v>
      </c>
      <c r="B1049">
        <v>2.5999999999999999E-2</v>
      </c>
      <c r="C1049" t="s">
        <v>850</v>
      </c>
      <c r="D1049" t="s">
        <v>273</v>
      </c>
      <c r="E1049" t="s">
        <v>279</v>
      </c>
      <c r="F1049" t="s">
        <v>288</v>
      </c>
      <c r="G1049">
        <v>0</v>
      </c>
      <c r="H1049" t="s">
        <v>32</v>
      </c>
    </row>
    <row r="1050" spans="1:8" hidden="1" x14ac:dyDescent="0.25">
      <c r="A1050" t="s">
        <v>756</v>
      </c>
      <c r="B1050">
        <v>2.2785000000000002</v>
      </c>
      <c r="C1050" t="s">
        <v>850</v>
      </c>
      <c r="D1050" t="s">
        <v>273</v>
      </c>
      <c r="E1050" t="s">
        <v>279</v>
      </c>
      <c r="F1050" t="s">
        <v>288</v>
      </c>
      <c r="G1050">
        <v>0</v>
      </c>
      <c r="H1050" t="s">
        <v>758</v>
      </c>
    </row>
    <row r="1051" spans="1:8" hidden="1" x14ac:dyDescent="0.25">
      <c r="A1051" t="s">
        <v>858</v>
      </c>
      <c r="B1051">
        <v>6.9135000000000002E-2</v>
      </c>
      <c r="C1051" t="s">
        <v>854</v>
      </c>
      <c r="D1051" t="s">
        <v>305</v>
      </c>
      <c r="E1051" t="s">
        <v>487</v>
      </c>
      <c r="F1051" t="s">
        <v>288</v>
      </c>
      <c r="G1051">
        <v>0</v>
      </c>
      <c r="H1051" t="s">
        <v>858</v>
      </c>
    </row>
    <row r="1052" spans="1:8" hidden="1" x14ac:dyDescent="0.25">
      <c r="A1052" t="s">
        <v>858</v>
      </c>
      <c r="B1052">
        <v>0.23044999999999999</v>
      </c>
      <c r="C1052" t="s">
        <v>854</v>
      </c>
      <c r="D1052" t="s">
        <v>305</v>
      </c>
      <c r="E1052" t="s">
        <v>487</v>
      </c>
      <c r="F1052" t="s">
        <v>288</v>
      </c>
      <c r="G1052">
        <v>0</v>
      </c>
      <c r="H1052" t="s">
        <v>858</v>
      </c>
    </row>
    <row r="1053" spans="1:8" hidden="1" x14ac:dyDescent="0.25"/>
    <row r="1054" spans="1:8" ht="15.75" hidden="1" x14ac:dyDescent="0.25">
      <c r="A1054" s="109" t="s">
        <v>265</v>
      </c>
      <c r="B1054" s="109" t="s">
        <v>759</v>
      </c>
    </row>
    <row r="1055" spans="1:8" hidden="1" x14ac:dyDescent="0.25">
      <c r="A1055" t="s">
        <v>267</v>
      </c>
      <c r="B1055" t="s">
        <v>268</v>
      </c>
    </row>
    <row r="1056" spans="1:8" hidden="1" x14ac:dyDescent="0.25">
      <c r="A1056" t="s">
        <v>269</v>
      </c>
      <c r="B1056" t="s">
        <v>834</v>
      </c>
    </row>
    <row r="1057" spans="1:8" hidden="1" x14ac:dyDescent="0.25">
      <c r="A1057" t="s">
        <v>272</v>
      </c>
      <c r="B1057" t="s">
        <v>327</v>
      </c>
    </row>
    <row r="1058" spans="1:8" hidden="1" x14ac:dyDescent="0.25">
      <c r="A1058" t="s">
        <v>274</v>
      </c>
      <c r="B1058" t="s">
        <v>758</v>
      </c>
    </row>
    <row r="1059" spans="1:8" hidden="1" x14ac:dyDescent="0.25">
      <c r="A1059" t="s">
        <v>276</v>
      </c>
      <c r="B1059" t="s">
        <v>277</v>
      </c>
    </row>
    <row r="1060" spans="1:8" hidden="1" x14ac:dyDescent="0.25">
      <c r="A1060" t="s">
        <v>278</v>
      </c>
      <c r="B1060" t="s">
        <v>279</v>
      </c>
    </row>
    <row r="1061" spans="1:8" hidden="1" x14ac:dyDescent="0.25">
      <c r="A1061" t="s">
        <v>853</v>
      </c>
      <c r="B1061" t="s">
        <v>850</v>
      </c>
    </row>
    <row r="1062" spans="1:8" ht="15.75" hidden="1" x14ac:dyDescent="0.25">
      <c r="A1062" s="109" t="s">
        <v>280</v>
      </c>
    </row>
    <row r="1063" spans="1:8" hidden="1" x14ac:dyDescent="0.25">
      <c r="A1063" t="s">
        <v>281</v>
      </c>
      <c r="B1063" t="s">
        <v>282</v>
      </c>
      <c r="C1063" t="s">
        <v>283</v>
      </c>
      <c r="D1063" t="s">
        <v>272</v>
      </c>
      <c r="E1063" t="s">
        <v>278</v>
      </c>
      <c r="F1063" t="s">
        <v>276</v>
      </c>
      <c r="G1063" t="s">
        <v>284</v>
      </c>
      <c r="H1063" t="s">
        <v>274</v>
      </c>
    </row>
    <row r="1064" spans="1:8" hidden="1" x14ac:dyDescent="0.25">
      <c r="A1064" t="s">
        <v>759</v>
      </c>
      <c r="B1064">
        <v>1</v>
      </c>
      <c r="C1064" t="s">
        <v>850</v>
      </c>
      <c r="D1064" t="s">
        <v>327</v>
      </c>
      <c r="E1064" t="s">
        <v>279</v>
      </c>
      <c r="F1064" t="s">
        <v>286</v>
      </c>
      <c r="G1064">
        <v>0</v>
      </c>
      <c r="H1064" t="s">
        <v>758</v>
      </c>
    </row>
    <row r="1065" spans="1:8" hidden="1" x14ac:dyDescent="0.25">
      <c r="A1065" t="s">
        <v>835</v>
      </c>
      <c r="B1065">
        <v>4.0000000000000001E-10</v>
      </c>
      <c r="C1065" t="s">
        <v>854</v>
      </c>
      <c r="D1065" t="s">
        <v>305</v>
      </c>
      <c r="E1065" t="s">
        <v>278</v>
      </c>
      <c r="F1065" t="s">
        <v>288</v>
      </c>
      <c r="G1065">
        <v>0</v>
      </c>
      <c r="H1065" t="s">
        <v>447</v>
      </c>
    </row>
    <row r="1066" spans="1:8" hidden="1" x14ac:dyDescent="0.25">
      <c r="A1066" t="s">
        <v>568</v>
      </c>
      <c r="B1066">
        <v>1</v>
      </c>
      <c r="C1066" t="s">
        <v>850</v>
      </c>
      <c r="D1066" t="s">
        <v>327</v>
      </c>
      <c r="E1066" t="s">
        <v>279</v>
      </c>
      <c r="F1066" t="s">
        <v>288</v>
      </c>
      <c r="G1066">
        <v>0</v>
      </c>
      <c r="H1066" t="s">
        <v>569</v>
      </c>
    </row>
    <row r="1067" spans="1:8" hidden="1" x14ac:dyDescent="0.25">
      <c r="A1067" t="s">
        <v>596</v>
      </c>
      <c r="B1067">
        <v>0.11</v>
      </c>
      <c r="C1067" t="s">
        <v>854</v>
      </c>
      <c r="D1067" t="s">
        <v>305</v>
      </c>
      <c r="E1067" t="s">
        <v>279</v>
      </c>
      <c r="F1067" t="s">
        <v>288</v>
      </c>
      <c r="G1067">
        <v>0</v>
      </c>
      <c r="H1067" t="s">
        <v>597</v>
      </c>
    </row>
    <row r="1068" spans="1:8" hidden="1" x14ac:dyDescent="0.25">
      <c r="A1068" t="s">
        <v>872</v>
      </c>
      <c r="B1068">
        <v>4.8000000000000001E-2</v>
      </c>
      <c r="C1068" t="s">
        <v>854</v>
      </c>
      <c r="D1068" t="s">
        <v>293</v>
      </c>
      <c r="E1068" t="s">
        <v>279</v>
      </c>
      <c r="F1068" t="s">
        <v>288</v>
      </c>
      <c r="G1068">
        <v>0</v>
      </c>
      <c r="H1068" t="s">
        <v>873</v>
      </c>
    </row>
    <row r="1069" spans="1:8" hidden="1" x14ac:dyDescent="0.25">
      <c r="A1069" t="s">
        <v>439</v>
      </c>
      <c r="B1069">
        <v>0.04</v>
      </c>
      <c r="C1069" t="s">
        <v>854</v>
      </c>
      <c r="D1069" t="s">
        <v>305</v>
      </c>
      <c r="E1069" t="s">
        <v>279</v>
      </c>
      <c r="F1069" t="s">
        <v>288</v>
      </c>
      <c r="G1069">
        <v>0</v>
      </c>
      <c r="H1069" t="s">
        <v>440</v>
      </c>
    </row>
    <row r="1070" spans="1:8" hidden="1" x14ac:dyDescent="0.25">
      <c r="A1070" t="s">
        <v>663</v>
      </c>
      <c r="B1070">
        <v>1.4999999999999999E-2</v>
      </c>
      <c r="C1070" t="s">
        <v>854</v>
      </c>
      <c r="D1070" t="s">
        <v>305</v>
      </c>
      <c r="E1070" t="s">
        <v>279</v>
      </c>
      <c r="F1070" t="s">
        <v>288</v>
      </c>
      <c r="G1070">
        <v>0</v>
      </c>
      <c r="H1070" t="s">
        <v>664</v>
      </c>
    </row>
    <row r="1071" spans="1:8" hidden="1" x14ac:dyDescent="0.25">
      <c r="A1071" t="s">
        <v>482</v>
      </c>
      <c r="B1071">
        <v>0.78</v>
      </c>
      <c r="C1071" t="s">
        <v>850</v>
      </c>
      <c r="D1071" t="s">
        <v>327</v>
      </c>
      <c r="E1071" t="s">
        <v>279</v>
      </c>
      <c r="F1071" t="s">
        <v>288</v>
      </c>
      <c r="G1071">
        <v>0</v>
      </c>
      <c r="H1071" t="s">
        <v>413</v>
      </c>
    </row>
    <row r="1072" spans="1:8" hidden="1" x14ac:dyDescent="0.25">
      <c r="A1072" t="s">
        <v>858</v>
      </c>
      <c r="B1072">
        <v>0.80500000000000005</v>
      </c>
      <c r="C1072" t="s">
        <v>854</v>
      </c>
      <c r="D1072" t="s">
        <v>305</v>
      </c>
      <c r="E1072" t="s">
        <v>487</v>
      </c>
      <c r="F1072" t="s">
        <v>288</v>
      </c>
      <c r="G1072">
        <v>0</v>
      </c>
      <c r="H1072" t="s">
        <v>858</v>
      </c>
    </row>
    <row r="1073" spans="1:8" hidden="1" x14ac:dyDescent="0.25"/>
    <row r="1074" spans="1:8" ht="15.75" hidden="1" x14ac:dyDescent="0.25">
      <c r="A1074" s="109" t="s">
        <v>265</v>
      </c>
      <c r="B1074" s="109" t="s">
        <v>838</v>
      </c>
    </row>
    <row r="1075" spans="1:8" hidden="1" x14ac:dyDescent="0.25">
      <c r="A1075" t="s">
        <v>267</v>
      </c>
      <c r="B1075" t="s">
        <v>268</v>
      </c>
    </row>
    <row r="1076" spans="1:8" hidden="1" x14ac:dyDescent="0.25">
      <c r="A1076" t="s">
        <v>269</v>
      </c>
      <c r="B1076" t="s">
        <v>839</v>
      </c>
    </row>
    <row r="1077" spans="1:8" hidden="1" x14ac:dyDescent="0.25">
      <c r="A1077" t="s">
        <v>272</v>
      </c>
      <c r="B1077" t="s">
        <v>293</v>
      </c>
    </row>
    <row r="1078" spans="1:8" hidden="1" x14ac:dyDescent="0.25">
      <c r="A1078" t="s">
        <v>274</v>
      </c>
      <c r="B1078" t="s">
        <v>838</v>
      </c>
    </row>
    <row r="1079" spans="1:8" hidden="1" x14ac:dyDescent="0.25">
      <c r="A1079" t="s">
        <v>276</v>
      </c>
      <c r="B1079" t="s">
        <v>277</v>
      </c>
    </row>
    <row r="1080" spans="1:8" hidden="1" x14ac:dyDescent="0.25">
      <c r="A1080" t="s">
        <v>278</v>
      </c>
      <c r="B1080" t="s">
        <v>279</v>
      </c>
    </row>
    <row r="1081" spans="1:8" hidden="1" x14ac:dyDescent="0.25">
      <c r="A1081" t="s">
        <v>853</v>
      </c>
      <c r="B1081" t="s">
        <v>850</v>
      </c>
    </row>
    <row r="1082" spans="1:8" ht="15.75" hidden="1" x14ac:dyDescent="0.25">
      <c r="A1082" s="109" t="s">
        <v>280</v>
      </c>
    </row>
    <row r="1083" spans="1:8" hidden="1" x14ac:dyDescent="0.25">
      <c r="A1083" t="s">
        <v>281</v>
      </c>
      <c r="B1083" t="s">
        <v>282</v>
      </c>
      <c r="C1083" t="s">
        <v>283</v>
      </c>
      <c r="D1083" t="s">
        <v>272</v>
      </c>
      <c r="E1083" t="s">
        <v>278</v>
      </c>
      <c r="F1083" t="s">
        <v>276</v>
      </c>
      <c r="G1083" t="s">
        <v>284</v>
      </c>
      <c r="H1083" t="s">
        <v>274</v>
      </c>
    </row>
    <row r="1084" spans="1:8" hidden="1" x14ac:dyDescent="0.25">
      <c r="A1084" t="s">
        <v>838</v>
      </c>
      <c r="B1084">
        <v>1</v>
      </c>
      <c r="C1084" t="s">
        <v>850</v>
      </c>
      <c r="D1084" t="s">
        <v>293</v>
      </c>
      <c r="E1084" t="s">
        <v>279</v>
      </c>
      <c r="F1084" t="s">
        <v>286</v>
      </c>
      <c r="G1084">
        <v>0</v>
      </c>
      <c r="H1084" t="s">
        <v>838</v>
      </c>
    </row>
    <row r="1085" spans="1:8" hidden="1" x14ac:dyDescent="0.25">
      <c r="A1085" t="s">
        <v>840</v>
      </c>
      <c r="B1085">
        <v>1</v>
      </c>
      <c r="C1085" t="s">
        <v>854</v>
      </c>
      <c r="D1085" t="s">
        <v>293</v>
      </c>
      <c r="E1085" t="s">
        <v>279</v>
      </c>
      <c r="F1085" t="s">
        <v>288</v>
      </c>
      <c r="G1085">
        <v>0</v>
      </c>
      <c r="H1085" t="s">
        <v>841</v>
      </c>
    </row>
    <row r="1086" spans="1:8" hidden="1" x14ac:dyDescent="0.25">
      <c r="A1086" t="s">
        <v>874</v>
      </c>
      <c r="B1086">
        <v>6.8</v>
      </c>
      <c r="C1086" t="s">
        <v>854</v>
      </c>
      <c r="D1086" t="s">
        <v>293</v>
      </c>
      <c r="E1086" t="s">
        <v>487</v>
      </c>
      <c r="F1086" t="s">
        <v>288</v>
      </c>
      <c r="G1086">
        <v>0</v>
      </c>
      <c r="H1086" t="s">
        <v>874</v>
      </c>
    </row>
    <row r="1087" spans="1:8" hidden="1" x14ac:dyDescent="0.25"/>
    <row r="1088" spans="1:8" ht="15.75" hidden="1" x14ac:dyDescent="0.25">
      <c r="A1088" s="109" t="s">
        <v>265</v>
      </c>
      <c r="B1088" s="109" t="s">
        <v>842</v>
      </c>
    </row>
    <row r="1089" spans="1:9" hidden="1" x14ac:dyDescent="0.25">
      <c r="A1089" t="s">
        <v>267</v>
      </c>
      <c r="B1089" t="s">
        <v>268</v>
      </c>
    </row>
    <row r="1090" spans="1:9" hidden="1" x14ac:dyDescent="0.25">
      <c r="A1090" t="s">
        <v>269</v>
      </c>
      <c r="B1090" t="s">
        <v>843</v>
      </c>
    </row>
    <row r="1091" spans="1:9" hidden="1" x14ac:dyDescent="0.25">
      <c r="A1091" t="s">
        <v>272</v>
      </c>
      <c r="B1091" t="s">
        <v>273</v>
      </c>
    </row>
    <row r="1092" spans="1:9" hidden="1" x14ac:dyDescent="0.25">
      <c r="A1092" t="s">
        <v>274</v>
      </c>
      <c r="B1092" t="s">
        <v>844</v>
      </c>
    </row>
    <row r="1093" spans="1:9" hidden="1" x14ac:dyDescent="0.25">
      <c r="A1093" t="s">
        <v>276</v>
      </c>
      <c r="B1093" t="s">
        <v>277</v>
      </c>
    </row>
    <row r="1094" spans="1:9" hidden="1" x14ac:dyDescent="0.25">
      <c r="A1094" t="s">
        <v>278</v>
      </c>
      <c r="B1094" t="s">
        <v>294</v>
      </c>
    </row>
    <row r="1095" spans="1:9" hidden="1" x14ac:dyDescent="0.25">
      <c r="A1095" t="s">
        <v>853</v>
      </c>
      <c r="B1095" t="s">
        <v>850</v>
      </c>
    </row>
    <row r="1096" spans="1:9" ht="15.75" hidden="1" x14ac:dyDescent="0.25">
      <c r="A1096" s="109" t="s">
        <v>280</v>
      </c>
    </row>
    <row r="1097" spans="1:9" hidden="1" x14ac:dyDescent="0.25">
      <c r="A1097" t="s">
        <v>281</v>
      </c>
      <c r="B1097" t="s">
        <v>282</v>
      </c>
      <c r="C1097" t="s">
        <v>283</v>
      </c>
      <c r="D1097" t="s">
        <v>272</v>
      </c>
      <c r="E1097" t="s">
        <v>278</v>
      </c>
      <c r="F1097" t="s">
        <v>311</v>
      </c>
      <c r="G1097" t="s">
        <v>276</v>
      </c>
      <c r="H1097" t="s">
        <v>284</v>
      </c>
      <c r="I1097" t="s">
        <v>274</v>
      </c>
    </row>
    <row r="1098" spans="1:9" hidden="1" x14ac:dyDescent="0.25">
      <c r="A1098" t="s">
        <v>584</v>
      </c>
      <c r="B1098">
        <v>6.4999999999999994E-5</v>
      </c>
      <c r="C1098" t="s">
        <v>313</v>
      </c>
      <c r="E1098" t="s">
        <v>279</v>
      </c>
      <c r="F1098" t="s">
        <v>314</v>
      </c>
      <c r="G1098" t="s">
        <v>315</v>
      </c>
      <c r="H1098">
        <v>0</v>
      </c>
    </row>
    <row r="1099" spans="1:9" hidden="1" x14ac:dyDescent="0.25">
      <c r="A1099" t="s">
        <v>842</v>
      </c>
      <c r="B1099">
        <v>1</v>
      </c>
      <c r="C1099" t="s">
        <v>850</v>
      </c>
      <c r="D1099" t="s">
        <v>273</v>
      </c>
      <c r="E1099" t="s">
        <v>294</v>
      </c>
      <c r="G1099" t="s">
        <v>286</v>
      </c>
      <c r="H1099">
        <v>0</v>
      </c>
      <c r="I1099" t="s">
        <v>844</v>
      </c>
    </row>
    <row r="1100" spans="1:9" hidden="1" x14ac:dyDescent="0.25">
      <c r="A1100" t="s">
        <v>845</v>
      </c>
      <c r="B1100">
        <v>1.0000000000000001E-5</v>
      </c>
      <c r="C1100" t="s">
        <v>854</v>
      </c>
      <c r="D1100" t="s">
        <v>305</v>
      </c>
      <c r="E1100" t="s">
        <v>279</v>
      </c>
      <c r="G1100" t="s">
        <v>288</v>
      </c>
      <c r="H1100">
        <v>0</v>
      </c>
      <c r="I1100" t="s">
        <v>421</v>
      </c>
    </row>
    <row r="1101" spans="1:9" hidden="1" x14ac:dyDescent="0.25">
      <c r="A1101" t="s">
        <v>296</v>
      </c>
      <c r="B1101">
        <v>11.7</v>
      </c>
      <c r="C1101" t="s">
        <v>854</v>
      </c>
      <c r="D1101" t="s">
        <v>273</v>
      </c>
      <c r="E1101" t="s">
        <v>297</v>
      </c>
      <c r="G1101" t="s">
        <v>288</v>
      </c>
      <c r="H1101">
        <v>0</v>
      </c>
      <c r="I1101" t="s">
        <v>298</v>
      </c>
    </row>
    <row r="1102" spans="1:9" hidden="1" x14ac:dyDescent="0.25">
      <c r="A1102" t="s">
        <v>732</v>
      </c>
      <c r="B1102">
        <v>3.57</v>
      </c>
      <c r="C1102" t="s">
        <v>850</v>
      </c>
      <c r="D1102" t="s">
        <v>273</v>
      </c>
      <c r="E1102" t="s">
        <v>279</v>
      </c>
      <c r="G1102" t="s">
        <v>288</v>
      </c>
      <c r="H1102">
        <v>0</v>
      </c>
      <c r="I1102" t="s">
        <v>734</v>
      </c>
    </row>
    <row r="1103" spans="1:9" hidden="1" x14ac:dyDescent="0.25"/>
    <row r="1104" spans="1:9" hidden="1" x14ac:dyDescent="0.25"/>
    <row r="1105" spans="1:2" ht="15.75" hidden="1" x14ac:dyDescent="0.25">
      <c r="A1105" s="109" t="s">
        <v>265</v>
      </c>
      <c r="B1105" s="109" t="s">
        <v>266</v>
      </c>
    </row>
    <row r="1106" spans="1:2" hidden="1" x14ac:dyDescent="0.25">
      <c r="A1106" t="s">
        <v>269</v>
      </c>
      <c r="B1106" t="s">
        <v>270</v>
      </c>
    </row>
    <row r="1107" spans="1:2" hidden="1" x14ac:dyDescent="0.25">
      <c r="A1107" t="s">
        <v>272</v>
      </c>
      <c r="B1107" t="s">
        <v>273</v>
      </c>
    </row>
    <row r="1108" spans="1:2" hidden="1" x14ac:dyDescent="0.25">
      <c r="A1108" t="s">
        <v>274</v>
      </c>
      <c r="B1108" t="s">
        <v>275</v>
      </c>
    </row>
    <row r="1109" spans="1:2" hidden="1" x14ac:dyDescent="0.25">
      <c r="A1109" t="s">
        <v>276</v>
      </c>
      <c r="B1109" t="s">
        <v>277</v>
      </c>
    </row>
    <row r="1110" spans="1:2" hidden="1" x14ac:dyDescent="0.25">
      <c r="A1110" t="s">
        <v>278</v>
      </c>
      <c r="B1110" t="s">
        <v>279</v>
      </c>
    </row>
    <row r="1111" spans="1:2" ht="15.75" hidden="1" x14ac:dyDescent="0.25">
      <c r="A1111" s="109" t="s">
        <v>280</v>
      </c>
    </row>
    <row r="1112" spans="1:2" hidden="1" x14ac:dyDescent="0.25">
      <c r="A1112" t="s">
        <v>881</v>
      </c>
    </row>
    <row r="1113" spans="1:2" hidden="1" x14ac:dyDescent="0.25"/>
    <row r="1114" spans="1:2" ht="15.75" hidden="1" x14ac:dyDescent="0.25">
      <c r="A1114" s="109" t="s">
        <v>265</v>
      </c>
      <c r="B1114" s="109" t="s">
        <v>320</v>
      </c>
    </row>
    <row r="1115" spans="1:2" hidden="1" x14ac:dyDescent="0.25">
      <c r="A1115" t="s">
        <v>269</v>
      </c>
      <c r="B1115" t="s">
        <v>321</v>
      </c>
    </row>
    <row r="1116" spans="1:2" hidden="1" x14ac:dyDescent="0.25">
      <c r="A1116" t="s">
        <v>272</v>
      </c>
      <c r="B1116" t="s">
        <v>273</v>
      </c>
    </row>
    <row r="1117" spans="1:2" hidden="1" x14ac:dyDescent="0.25">
      <c r="A1117" t="s">
        <v>274</v>
      </c>
      <c r="B1117" t="s">
        <v>322</v>
      </c>
    </row>
    <row r="1118" spans="1:2" hidden="1" x14ac:dyDescent="0.25">
      <c r="A1118" t="s">
        <v>276</v>
      </c>
      <c r="B1118" t="s">
        <v>277</v>
      </c>
    </row>
    <row r="1119" spans="1:2" hidden="1" x14ac:dyDescent="0.25">
      <c r="A1119" t="s">
        <v>278</v>
      </c>
      <c r="B1119" t="s">
        <v>323</v>
      </c>
    </row>
    <row r="1120" spans="1:2" ht="15.75" hidden="1" x14ac:dyDescent="0.25">
      <c r="A1120" s="109" t="s">
        <v>280</v>
      </c>
    </row>
    <row r="1121" spans="1:2" hidden="1" x14ac:dyDescent="0.25">
      <c r="A1121" t="s">
        <v>881</v>
      </c>
    </row>
    <row r="1122" spans="1:2" hidden="1" x14ac:dyDescent="0.25"/>
    <row r="1123" spans="1:2" ht="15.75" hidden="1" x14ac:dyDescent="0.25">
      <c r="A1123" s="109" t="s">
        <v>265</v>
      </c>
      <c r="B1123" s="109" t="s">
        <v>325</v>
      </c>
    </row>
    <row r="1124" spans="1:2" hidden="1" x14ac:dyDescent="0.25">
      <c r="A1124" t="s">
        <v>269</v>
      </c>
      <c r="B1124" t="s">
        <v>349</v>
      </c>
    </row>
    <row r="1125" spans="1:2" hidden="1" x14ac:dyDescent="0.25">
      <c r="A1125" t="s">
        <v>272</v>
      </c>
      <c r="B1125" t="s">
        <v>273</v>
      </c>
    </row>
    <row r="1126" spans="1:2" hidden="1" x14ac:dyDescent="0.25">
      <c r="A1126" t="s">
        <v>274</v>
      </c>
      <c r="B1126" t="s">
        <v>326</v>
      </c>
    </row>
    <row r="1127" spans="1:2" hidden="1" x14ac:dyDescent="0.25">
      <c r="A1127" t="s">
        <v>276</v>
      </c>
      <c r="B1127" t="s">
        <v>277</v>
      </c>
    </row>
    <row r="1128" spans="1:2" hidden="1" x14ac:dyDescent="0.25">
      <c r="A1128" t="s">
        <v>278</v>
      </c>
      <c r="B1128" t="s">
        <v>279</v>
      </c>
    </row>
    <row r="1129" spans="1:2" ht="15.75" hidden="1" x14ac:dyDescent="0.25">
      <c r="A1129" s="109" t="s">
        <v>280</v>
      </c>
    </row>
    <row r="1130" spans="1:2" hidden="1" x14ac:dyDescent="0.25">
      <c r="A1130" t="s">
        <v>881</v>
      </c>
    </row>
    <row r="1131" spans="1:2" hidden="1" x14ac:dyDescent="0.25"/>
    <row r="1132" spans="1:2" ht="15.75" hidden="1" x14ac:dyDescent="0.25">
      <c r="A1132" s="109" t="s">
        <v>265</v>
      </c>
      <c r="B1132" s="109" t="s">
        <v>351</v>
      </c>
    </row>
    <row r="1133" spans="1:2" hidden="1" x14ac:dyDescent="0.25">
      <c r="A1133" t="s">
        <v>269</v>
      </c>
      <c r="B1133" t="s">
        <v>370</v>
      </c>
    </row>
    <row r="1134" spans="1:2" hidden="1" x14ac:dyDescent="0.25">
      <c r="A1134" t="s">
        <v>272</v>
      </c>
      <c r="B1134" t="s">
        <v>371</v>
      </c>
    </row>
    <row r="1135" spans="1:2" hidden="1" x14ac:dyDescent="0.25">
      <c r="A1135" t="s">
        <v>274</v>
      </c>
      <c r="B1135" t="s">
        <v>354</v>
      </c>
    </row>
    <row r="1136" spans="1:2" hidden="1" x14ac:dyDescent="0.25">
      <c r="A1136" t="s">
        <v>276</v>
      </c>
      <c r="B1136" t="s">
        <v>277</v>
      </c>
    </row>
    <row r="1137" spans="1:2" hidden="1" x14ac:dyDescent="0.25">
      <c r="A1137" t="s">
        <v>278</v>
      </c>
      <c r="B1137" t="s">
        <v>279</v>
      </c>
    </row>
    <row r="1138" spans="1:2" ht="15.75" hidden="1" x14ac:dyDescent="0.25">
      <c r="A1138" s="109" t="s">
        <v>280</v>
      </c>
    </row>
    <row r="1139" spans="1:2" hidden="1" x14ac:dyDescent="0.25">
      <c r="A1139" t="s">
        <v>881</v>
      </c>
    </row>
    <row r="1140" spans="1:2" hidden="1" x14ac:dyDescent="0.25"/>
    <row r="1141" spans="1:2" ht="15.75" hidden="1" x14ac:dyDescent="0.25">
      <c r="A1141" s="109" t="s">
        <v>265</v>
      </c>
      <c r="B1141" s="109" t="s">
        <v>372</v>
      </c>
    </row>
    <row r="1142" spans="1:2" hidden="1" x14ac:dyDescent="0.25">
      <c r="A1142" t="s">
        <v>269</v>
      </c>
      <c r="B1142" t="s">
        <v>373</v>
      </c>
    </row>
    <row r="1143" spans="1:2" hidden="1" x14ac:dyDescent="0.25">
      <c r="A1143" t="s">
        <v>272</v>
      </c>
      <c r="B1143" t="s">
        <v>273</v>
      </c>
    </row>
    <row r="1144" spans="1:2" hidden="1" x14ac:dyDescent="0.25">
      <c r="A1144" t="s">
        <v>274</v>
      </c>
      <c r="B1144" t="s">
        <v>374</v>
      </c>
    </row>
    <row r="1145" spans="1:2" hidden="1" x14ac:dyDescent="0.25">
      <c r="A1145" t="s">
        <v>276</v>
      </c>
      <c r="B1145" t="s">
        <v>277</v>
      </c>
    </row>
    <row r="1146" spans="1:2" hidden="1" x14ac:dyDescent="0.25">
      <c r="A1146" t="s">
        <v>278</v>
      </c>
      <c r="B1146" t="s">
        <v>279</v>
      </c>
    </row>
    <row r="1147" spans="1:2" ht="15.75" hidden="1" x14ac:dyDescent="0.25">
      <c r="A1147" s="109" t="s">
        <v>280</v>
      </c>
    </row>
    <row r="1148" spans="1:2" hidden="1" x14ac:dyDescent="0.25">
      <c r="A1148" t="s">
        <v>881</v>
      </c>
    </row>
    <row r="1149" spans="1:2" hidden="1" x14ac:dyDescent="0.25"/>
    <row r="1150" spans="1:2" ht="15.75" hidden="1" x14ac:dyDescent="0.25">
      <c r="A1150" s="109" t="s">
        <v>265</v>
      </c>
      <c r="B1150" s="109" t="s">
        <v>74</v>
      </c>
    </row>
    <row r="1151" spans="1:2" hidden="1" x14ac:dyDescent="0.25">
      <c r="A1151" t="s">
        <v>269</v>
      </c>
      <c r="B1151" t="s">
        <v>391</v>
      </c>
    </row>
    <row r="1152" spans="1:2" hidden="1" x14ac:dyDescent="0.25">
      <c r="A1152" t="s">
        <v>272</v>
      </c>
      <c r="B1152" t="s">
        <v>273</v>
      </c>
    </row>
    <row r="1153" spans="1:2" hidden="1" x14ac:dyDescent="0.25">
      <c r="A1153" t="s">
        <v>274</v>
      </c>
      <c r="B1153" t="s">
        <v>32</v>
      </c>
    </row>
    <row r="1154" spans="1:2" hidden="1" x14ac:dyDescent="0.25">
      <c r="A1154" t="s">
        <v>276</v>
      </c>
      <c r="B1154" t="s">
        <v>277</v>
      </c>
    </row>
    <row r="1155" spans="1:2" hidden="1" x14ac:dyDescent="0.25">
      <c r="A1155" t="s">
        <v>278</v>
      </c>
      <c r="B1155" t="s">
        <v>279</v>
      </c>
    </row>
    <row r="1156" spans="1:2" ht="15.75" hidden="1" x14ac:dyDescent="0.25">
      <c r="A1156" s="109" t="s">
        <v>280</v>
      </c>
    </row>
    <row r="1157" spans="1:2" hidden="1" x14ac:dyDescent="0.25">
      <c r="A1157" t="s">
        <v>881</v>
      </c>
    </row>
    <row r="1158" spans="1:2" hidden="1" x14ac:dyDescent="0.25"/>
    <row r="1160" spans="1:2" ht="15.75" x14ac:dyDescent="0.25">
      <c r="A1160" s="109" t="s">
        <v>265</v>
      </c>
      <c r="B1160" s="109" t="s">
        <v>394</v>
      </c>
    </row>
    <row r="1161" spans="1:2" x14ac:dyDescent="0.25">
      <c r="A1161" t="s">
        <v>269</v>
      </c>
      <c r="B1161" t="s">
        <v>395</v>
      </c>
    </row>
    <row r="1162" spans="1:2" x14ac:dyDescent="0.25">
      <c r="A1162" t="s">
        <v>272</v>
      </c>
      <c r="B1162" t="s">
        <v>273</v>
      </c>
    </row>
    <row r="1163" spans="1:2" x14ac:dyDescent="0.25">
      <c r="A1163" t="s">
        <v>274</v>
      </c>
      <c r="B1163" t="s">
        <v>396</v>
      </c>
    </row>
    <row r="1164" spans="1:2" x14ac:dyDescent="0.25">
      <c r="A1164" t="s">
        <v>276</v>
      </c>
      <c r="B1164" t="s">
        <v>277</v>
      </c>
    </row>
    <row r="1165" spans="1:2" x14ac:dyDescent="0.25">
      <c r="A1165" t="s">
        <v>278</v>
      </c>
      <c r="B1165" t="s">
        <v>279</v>
      </c>
    </row>
    <row r="1166" spans="1:2" ht="15.75" x14ac:dyDescent="0.25">
      <c r="A1166" s="109" t="s">
        <v>280</v>
      </c>
    </row>
    <row r="1167" spans="1:2" x14ac:dyDescent="0.25">
      <c r="A1167" t="s">
        <v>881</v>
      </c>
    </row>
    <row r="1169" spans="1:2" ht="15.75" x14ac:dyDescent="0.25">
      <c r="A1169" s="109" t="s">
        <v>265</v>
      </c>
      <c r="B1169" s="109" t="s">
        <v>406</v>
      </c>
    </row>
    <row r="1170" spans="1:2" x14ac:dyDescent="0.25">
      <c r="A1170" t="s">
        <v>269</v>
      </c>
      <c r="B1170" t="s">
        <v>407</v>
      </c>
    </row>
    <row r="1171" spans="1:2" x14ac:dyDescent="0.25">
      <c r="A1171" t="s">
        <v>272</v>
      </c>
      <c r="B1171" t="s">
        <v>273</v>
      </c>
    </row>
    <row r="1172" spans="1:2" x14ac:dyDescent="0.25">
      <c r="A1172" t="s">
        <v>274</v>
      </c>
      <c r="B1172" t="s">
        <v>408</v>
      </c>
    </row>
    <row r="1173" spans="1:2" x14ac:dyDescent="0.25">
      <c r="A1173" t="s">
        <v>276</v>
      </c>
      <c r="B1173" t="s">
        <v>277</v>
      </c>
    </row>
    <row r="1174" spans="1:2" x14ac:dyDescent="0.25">
      <c r="A1174" t="s">
        <v>278</v>
      </c>
      <c r="B1174" t="s">
        <v>323</v>
      </c>
    </row>
    <row r="1175" spans="1:2" ht="15.75" x14ac:dyDescent="0.25">
      <c r="A1175" s="109" t="s">
        <v>280</v>
      </c>
    </row>
    <row r="1176" spans="1:2" x14ac:dyDescent="0.25">
      <c r="A1176" t="s">
        <v>881</v>
      </c>
    </row>
    <row r="1178" spans="1:2" ht="15.75" x14ac:dyDescent="0.25">
      <c r="A1178" s="109" t="s">
        <v>265</v>
      </c>
      <c r="B1178" s="109" t="s">
        <v>418</v>
      </c>
    </row>
    <row r="1179" spans="1:2" x14ac:dyDescent="0.25">
      <c r="A1179" t="s">
        <v>269</v>
      </c>
      <c r="B1179" t="s">
        <v>419</v>
      </c>
    </row>
    <row r="1180" spans="1:2" x14ac:dyDescent="0.25">
      <c r="A1180" t="s">
        <v>272</v>
      </c>
      <c r="B1180" t="s">
        <v>305</v>
      </c>
    </row>
    <row r="1181" spans="1:2" x14ac:dyDescent="0.25">
      <c r="A1181" t="s">
        <v>274</v>
      </c>
      <c r="B1181" t="s">
        <v>420</v>
      </c>
    </row>
    <row r="1182" spans="1:2" x14ac:dyDescent="0.25">
      <c r="A1182" t="s">
        <v>276</v>
      </c>
      <c r="B1182" t="s">
        <v>277</v>
      </c>
    </row>
    <row r="1183" spans="1:2" x14ac:dyDescent="0.25">
      <c r="A1183" t="s">
        <v>278</v>
      </c>
      <c r="B1183" t="s">
        <v>278</v>
      </c>
    </row>
    <row r="1184" spans="1:2" ht="15.75" x14ac:dyDescent="0.25">
      <c r="A1184" s="109" t="s">
        <v>280</v>
      </c>
    </row>
    <row r="1185" spans="1:2" x14ac:dyDescent="0.25">
      <c r="A1185" t="s">
        <v>881</v>
      </c>
    </row>
    <row r="1187" spans="1:2" ht="15.75" x14ac:dyDescent="0.25">
      <c r="A1187" s="109" t="s">
        <v>265</v>
      </c>
      <c r="B1187" s="109" t="s">
        <v>454</v>
      </c>
    </row>
    <row r="1188" spans="1:2" x14ac:dyDescent="0.25">
      <c r="A1188" t="s">
        <v>269</v>
      </c>
      <c r="B1188" t="s">
        <v>455</v>
      </c>
    </row>
    <row r="1189" spans="1:2" x14ac:dyDescent="0.25">
      <c r="A1189" t="s">
        <v>272</v>
      </c>
      <c r="B1189" t="s">
        <v>356</v>
      </c>
    </row>
    <row r="1190" spans="1:2" x14ac:dyDescent="0.25">
      <c r="A1190" t="s">
        <v>274</v>
      </c>
      <c r="B1190" t="s">
        <v>456</v>
      </c>
    </row>
    <row r="1191" spans="1:2" x14ac:dyDescent="0.25">
      <c r="A1191" t="s">
        <v>276</v>
      </c>
      <c r="B1191" t="s">
        <v>277</v>
      </c>
    </row>
    <row r="1192" spans="1:2" x14ac:dyDescent="0.25">
      <c r="A1192" t="s">
        <v>278</v>
      </c>
      <c r="B1192" t="s">
        <v>279</v>
      </c>
    </row>
    <row r="1193" spans="1:2" ht="15.75" x14ac:dyDescent="0.25">
      <c r="A1193" s="109" t="s">
        <v>280</v>
      </c>
    </row>
    <row r="1194" spans="1:2" x14ac:dyDescent="0.25">
      <c r="A1194" t="s">
        <v>881</v>
      </c>
    </row>
    <row r="1196" spans="1:2" ht="15.75" x14ac:dyDescent="0.25">
      <c r="A1196" s="109" t="s">
        <v>265</v>
      </c>
      <c r="B1196" s="109" t="s">
        <v>461</v>
      </c>
    </row>
    <row r="1197" spans="1:2" x14ac:dyDescent="0.25">
      <c r="A1197" t="s">
        <v>269</v>
      </c>
      <c r="B1197" t="s">
        <v>462</v>
      </c>
    </row>
    <row r="1198" spans="1:2" x14ac:dyDescent="0.25">
      <c r="A1198" t="s">
        <v>272</v>
      </c>
      <c r="B1198" t="s">
        <v>356</v>
      </c>
    </row>
    <row r="1199" spans="1:2" x14ac:dyDescent="0.25">
      <c r="A1199" t="s">
        <v>274</v>
      </c>
      <c r="B1199" t="s">
        <v>463</v>
      </c>
    </row>
    <row r="1200" spans="1:2" x14ac:dyDescent="0.25">
      <c r="A1200" t="s">
        <v>276</v>
      </c>
      <c r="B1200" t="s">
        <v>277</v>
      </c>
    </row>
    <row r="1201" spans="1:2" x14ac:dyDescent="0.25">
      <c r="A1201" t="s">
        <v>278</v>
      </c>
      <c r="B1201" t="s">
        <v>279</v>
      </c>
    </row>
    <row r="1202" spans="1:2" ht="15.75" x14ac:dyDescent="0.25">
      <c r="A1202" s="109" t="s">
        <v>280</v>
      </c>
    </row>
    <row r="1203" spans="1:2" x14ac:dyDescent="0.25">
      <c r="A1203" t="s">
        <v>881</v>
      </c>
    </row>
    <row r="1205" spans="1:2" ht="15.75" x14ac:dyDescent="0.25">
      <c r="A1205" s="109" t="s">
        <v>265</v>
      </c>
      <c r="B1205" s="109" t="s">
        <v>489</v>
      </c>
    </row>
    <row r="1206" spans="1:2" x14ac:dyDescent="0.25">
      <c r="A1206" t="s">
        <v>269</v>
      </c>
      <c r="B1206" t="s">
        <v>490</v>
      </c>
    </row>
    <row r="1207" spans="1:2" x14ac:dyDescent="0.25">
      <c r="A1207" t="s">
        <v>272</v>
      </c>
      <c r="B1207" t="s">
        <v>353</v>
      </c>
    </row>
    <row r="1208" spans="1:2" x14ac:dyDescent="0.25">
      <c r="A1208" t="s">
        <v>274</v>
      </c>
      <c r="B1208" t="s">
        <v>491</v>
      </c>
    </row>
    <row r="1209" spans="1:2" x14ac:dyDescent="0.25">
      <c r="A1209" t="s">
        <v>276</v>
      </c>
      <c r="B1209" t="s">
        <v>277</v>
      </c>
    </row>
    <row r="1210" spans="1:2" x14ac:dyDescent="0.25">
      <c r="A1210" t="s">
        <v>278</v>
      </c>
      <c r="B1210" t="s">
        <v>279</v>
      </c>
    </row>
    <row r="1211" spans="1:2" ht="15.75" x14ac:dyDescent="0.25">
      <c r="A1211" s="109" t="s">
        <v>280</v>
      </c>
    </row>
    <row r="1212" spans="1:2" x14ac:dyDescent="0.25">
      <c r="A1212" t="s">
        <v>881</v>
      </c>
    </row>
    <row r="1214" spans="1:2" ht="15.75" x14ac:dyDescent="0.25">
      <c r="A1214" s="109" t="s">
        <v>265</v>
      </c>
      <c r="B1214" s="109" t="s">
        <v>489</v>
      </c>
    </row>
    <row r="1215" spans="1:2" x14ac:dyDescent="0.25">
      <c r="A1215" t="s">
        <v>269</v>
      </c>
      <c r="B1215" t="s">
        <v>494</v>
      </c>
    </row>
    <row r="1216" spans="1:2" x14ac:dyDescent="0.25">
      <c r="A1216" t="s">
        <v>272</v>
      </c>
      <c r="B1216" t="s">
        <v>495</v>
      </c>
    </row>
    <row r="1217" spans="1:2" x14ac:dyDescent="0.25">
      <c r="A1217" t="s">
        <v>274</v>
      </c>
      <c r="B1217" t="s">
        <v>491</v>
      </c>
    </row>
    <row r="1218" spans="1:2" x14ac:dyDescent="0.25">
      <c r="A1218" t="s">
        <v>276</v>
      </c>
      <c r="B1218" t="s">
        <v>277</v>
      </c>
    </row>
    <row r="1219" spans="1:2" x14ac:dyDescent="0.25">
      <c r="A1219" t="s">
        <v>278</v>
      </c>
      <c r="B1219" t="s">
        <v>279</v>
      </c>
    </row>
    <row r="1220" spans="1:2" ht="15.75" x14ac:dyDescent="0.25">
      <c r="A1220" s="109" t="s">
        <v>280</v>
      </c>
    </row>
    <row r="1221" spans="1:2" x14ac:dyDescent="0.25">
      <c r="A1221" t="s">
        <v>881</v>
      </c>
    </row>
    <row r="1223" spans="1:2" ht="15.75" x14ac:dyDescent="0.25">
      <c r="A1223" s="109" t="s">
        <v>265</v>
      </c>
      <c r="B1223" s="109" t="s">
        <v>223</v>
      </c>
    </row>
    <row r="1224" spans="1:2" x14ac:dyDescent="0.25">
      <c r="A1224" t="s">
        <v>269</v>
      </c>
      <c r="B1224" t="s">
        <v>496</v>
      </c>
    </row>
    <row r="1225" spans="1:2" x14ac:dyDescent="0.25">
      <c r="A1225" t="s">
        <v>272</v>
      </c>
      <c r="B1225" t="s">
        <v>273</v>
      </c>
    </row>
    <row r="1226" spans="1:2" x14ac:dyDescent="0.25">
      <c r="A1226" t="s">
        <v>274</v>
      </c>
      <c r="B1226" t="s">
        <v>497</v>
      </c>
    </row>
    <row r="1227" spans="1:2" x14ac:dyDescent="0.25">
      <c r="A1227" t="s">
        <v>276</v>
      </c>
      <c r="B1227" t="s">
        <v>277</v>
      </c>
    </row>
    <row r="1228" spans="1:2" x14ac:dyDescent="0.25">
      <c r="A1228" t="s">
        <v>278</v>
      </c>
      <c r="B1228" t="s">
        <v>310</v>
      </c>
    </row>
    <row r="1229" spans="1:2" ht="15.75" x14ac:dyDescent="0.25">
      <c r="A1229" s="109" t="s">
        <v>280</v>
      </c>
    </row>
    <row r="1230" spans="1:2" x14ac:dyDescent="0.25">
      <c r="A1230" t="s">
        <v>881</v>
      </c>
    </row>
    <row r="1232" spans="1:2" ht="15.75" x14ac:dyDescent="0.25">
      <c r="A1232" s="109" t="s">
        <v>265</v>
      </c>
      <c r="B1232" s="109" t="s">
        <v>355</v>
      </c>
    </row>
    <row r="1233" spans="1:2" x14ac:dyDescent="0.25">
      <c r="A1233" t="s">
        <v>269</v>
      </c>
      <c r="B1233" t="s">
        <v>505</v>
      </c>
    </row>
    <row r="1234" spans="1:2" x14ac:dyDescent="0.25">
      <c r="A1234" t="s">
        <v>272</v>
      </c>
      <c r="B1234" t="s">
        <v>356</v>
      </c>
    </row>
    <row r="1235" spans="1:2" x14ac:dyDescent="0.25">
      <c r="A1235" t="s">
        <v>274</v>
      </c>
      <c r="B1235" t="s">
        <v>357</v>
      </c>
    </row>
    <row r="1236" spans="1:2" x14ac:dyDescent="0.25">
      <c r="A1236" t="s">
        <v>276</v>
      </c>
      <c r="B1236" t="s">
        <v>277</v>
      </c>
    </row>
    <row r="1237" spans="1:2" x14ac:dyDescent="0.25">
      <c r="A1237" t="s">
        <v>278</v>
      </c>
      <c r="B1237" t="s">
        <v>279</v>
      </c>
    </row>
    <row r="1238" spans="1:2" ht="15.75" x14ac:dyDescent="0.25">
      <c r="A1238" s="109" t="s">
        <v>280</v>
      </c>
    </row>
    <row r="1239" spans="1:2" x14ac:dyDescent="0.25">
      <c r="A1239" t="s">
        <v>881</v>
      </c>
    </row>
    <row r="1241" spans="1:2" ht="15.75" x14ac:dyDescent="0.25">
      <c r="A1241" s="109" t="s">
        <v>265</v>
      </c>
      <c r="B1241" s="109" t="s">
        <v>355</v>
      </c>
    </row>
    <row r="1242" spans="1:2" x14ac:dyDescent="0.25">
      <c r="A1242" t="s">
        <v>269</v>
      </c>
      <c r="B1242" t="s">
        <v>506</v>
      </c>
    </row>
    <row r="1243" spans="1:2" x14ac:dyDescent="0.25">
      <c r="A1243" t="s">
        <v>272</v>
      </c>
      <c r="B1243" t="s">
        <v>327</v>
      </c>
    </row>
    <row r="1244" spans="1:2" x14ac:dyDescent="0.25">
      <c r="A1244" t="s">
        <v>274</v>
      </c>
      <c r="B1244" t="s">
        <v>357</v>
      </c>
    </row>
    <row r="1245" spans="1:2" x14ac:dyDescent="0.25">
      <c r="A1245" t="s">
        <v>276</v>
      </c>
      <c r="B1245" t="s">
        <v>277</v>
      </c>
    </row>
    <row r="1246" spans="1:2" x14ac:dyDescent="0.25">
      <c r="A1246" t="s">
        <v>278</v>
      </c>
      <c r="B1246" t="s">
        <v>279</v>
      </c>
    </row>
    <row r="1247" spans="1:2" ht="15.75" x14ac:dyDescent="0.25">
      <c r="A1247" s="109" t="s">
        <v>280</v>
      </c>
    </row>
    <row r="1248" spans="1:2" x14ac:dyDescent="0.25">
      <c r="A1248" t="s">
        <v>881</v>
      </c>
    </row>
    <row r="1250" spans="1:2" ht="15.75" x14ac:dyDescent="0.25">
      <c r="A1250" s="109" t="s">
        <v>265</v>
      </c>
      <c r="B1250" s="109" t="s">
        <v>507</v>
      </c>
    </row>
    <row r="1251" spans="1:2" x14ac:dyDescent="0.25">
      <c r="A1251" t="s">
        <v>269</v>
      </c>
      <c r="B1251" t="s">
        <v>508</v>
      </c>
    </row>
    <row r="1252" spans="1:2" x14ac:dyDescent="0.25">
      <c r="A1252" t="s">
        <v>272</v>
      </c>
      <c r="B1252" t="s">
        <v>273</v>
      </c>
    </row>
    <row r="1253" spans="1:2" x14ac:dyDescent="0.25">
      <c r="A1253" t="s">
        <v>274</v>
      </c>
      <c r="B1253" t="s">
        <v>509</v>
      </c>
    </row>
    <row r="1254" spans="1:2" x14ac:dyDescent="0.25">
      <c r="A1254" t="s">
        <v>276</v>
      </c>
      <c r="B1254" t="s">
        <v>277</v>
      </c>
    </row>
    <row r="1255" spans="1:2" x14ac:dyDescent="0.25">
      <c r="A1255" t="s">
        <v>278</v>
      </c>
      <c r="B1255" t="s">
        <v>310</v>
      </c>
    </row>
    <row r="1256" spans="1:2" ht="15.75" x14ac:dyDescent="0.25">
      <c r="A1256" s="109" t="s">
        <v>280</v>
      </c>
    </row>
    <row r="1257" spans="1:2" x14ac:dyDescent="0.25">
      <c r="A1257" t="s">
        <v>881</v>
      </c>
    </row>
    <row r="1259" spans="1:2" ht="15.75" x14ac:dyDescent="0.25">
      <c r="A1259" s="109" t="s">
        <v>265</v>
      </c>
      <c r="B1259" s="109" t="s">
        <v>510</v>
      </c>
    </row>
    <row r="1260" spans="1:2" x14ac:dyDescent="0.25">
      <c r="A1260" t="s">
        <v>269</v>
      </c>
      <c r="B1260" t="s">
        <v>511</v>
      </c>
    </row>
    <row r="1261" spans="1:2" x14ac:dyDescent="0.25">
      <c r="A1261" t="s">
        <v>272</v>
      </c>
      <c r="B1261" t="s">
        <v>273</v>
      </c>
    </row>
    <row r="1262" spans="1:2" x14ac:dyDescent="0.25">
      <c r="A1262" t="s">
        <v>274</v>
      </c>
      <c r="B1262" t="s">
        <v>512</v>
      </c>
    </row>
    <row r="1263" spans="1:2" x14ac:dyDescent="0.25">
      <c r="A1263" t="s">
        <v>276</v>
      </c>
      <c r="B1263" t="s">
        <v>277</v>
      </c>
    </row>
    <row r="1264" spans="1:2" x14ac:dyDescent="0.25">
      <c r="A1264" t="s">
        <v>278</v>
      </c>
      <c r="B1264" t="s">
        <v>310</v>
      </c>
    </row>
    <row r="1265" spans="1:2" ht="15.75" x14ac:dyDescent="0.25">
      <c r="A1265" s="109" t="s">
        <v>280</v>
      </c>
    </row>
    <row r="1266" spans="1:2" x14ac:dyDescent="0.25">
      <c r="A1266" t="s">
        <v>881</v>
      </c>
    </row>
    <row r="1268" spans="1:2" ht="15.75" x14ac:dyDescent="0.25">
      <c r="A1268" s="109" t="s">
        <v>265</v>
      </c>
      <c r="B1268" s="109" t="s">
        <v>520</v>
      </c>
    </row>
    <row r="1269" spans="1:2" x14ac:dyDescent="0.25">
      <c r="A1269" t="s">
        <v>269</v>
      </c>
      <c r="B1269" t="s">
        <v>521</v>
      </c>
    </row>
    <row r="1270" spans="1:2" x14ac:dyDescent="0.25">
      <c r="A1270" t="s">
        <v>272</v>
      </c>
      <c r="B1270" t="s">
        <v>384</v>
      </c>
    </row>
    <row r="1271" spans="1:2" x14ac:dyDescent="0.25">
      <c r="A1271" t="s">
        <v>274</v>
      </c>
      <c r="B1271" t="s">
        <v>522</v>
      </c>
    </row>
    <row r="1272" spans="1:2" x14ac:dyDescent="0.25">
      <c r="A1272" t="s">
        <v>276</v>
      </c>
      <c r="B1272" t="s">
        <v>277</v>
      </c>
    </row>
    <row r="1273" spans="1:2" x14ac:dyDescent="0.25">
      <c r="A1273" t="s">
        <v>278</v>
      </c>
      <c r="B1273" t="s">
        <v>279</v>
      </c>
    </row>
    <row r="1274" spans="1:2" ht="15.75" x14ac:dyDescent="0.25">
      <c r="A1274" s="109" t="s">
        <v>280</v>
      </c>
    </row>
    <row r="1275" spans="1:2" x14ac:dyDescent="0.25">
      <c r="A1275" t="s">
        <v>881</v>
      </c>
    </row>
    <row r="1277" spans="1:2" ht="15.75" x14ac:dyDescent="0.25">
      <c r="A1277" s="109" t="s">
        <v>265</v>
      </c>
      <c r="B1277" s="109" t="s">
        <v>541</v>
      </c>
    </row>
    <row r="1278" spans="1:2" x14ac:dyDescent="0.25">
      <c r="A1278" t="s">
        <v>269</v>
      </c>
      <c r="B1278" t="s">
        <v>542</v>
      </c>
    </row>
    <row r="1279" spans="1:2" x14ac:dyDescent="0.25">
      <c r="A1279" t="s">
        <v>272</v>
      </c>
      <c r="B1279" t="s">
        <v>273</v>
      </c>
    </row>
    <row r="1280" spans="1:2" x14ac:dyDescent="0.25">
      <c r="A1280" t="s">
        <v>274</v>
      </c>
      <c r="B1280" t="s">
        <v>543</v>
      </c>
    </row>
    <row r="1281" spans="1:2" x14ac:dyDescent="0.25">
      <c r="A1281" t="s">
        <v>276</v>
      </c>
      <c r="B1281" t="s">
        <v>277</v>
      </c>
    </row>
    <row r="1282" spans="1:2" x14ac:dyDescent="0.25">
      <c r="A1282" t="s">
        <v>278</v>
      </c>
      <c r="B1282" t="s">
        <v>279</v>
      </c>
    </row>
    <row r="1283" spans="1:2" ht="15.75" x14ac:dyDescent="0.25">
      <c r="A1283" s="109" t="s">
        <v>280</v>
      </c>
    </row>
    <row r="1284" spans="1:2" x14ac:dyDescent="0.25">
      <c r="A1284" t="s">
        <v>881</v>
      </c>
    </row>
    <row r="1286" spans="1:2" ht="15.75" x14ac:dyDescent="0.25">
      <c r="A1286" s="109" t="s">
        <v>265</v>
      </c>
      <c r="B1286" s="109" t="s">
        <v>515</v>
      </c>
    </row>
    <row r="1287" spans="1:2" x14ac:dyDescent="0.25">
      <c r="A1287" t="s">
        <v>269</v>
      </c>
      <c r="B1287" t="s">
        <v>545</v>
      </c>
    </row>
    <row r="1288" spans="1:2" x14ac:dyDescent="0.25">
      <c r="A1288" t="s">
        <v>272</v>
      </c>
      <c r="B1288" t="s">
        <v>273</v>
      </c>
    </row>
    <row r="1289" spans="1:2" x14ac:dyDescent="0.25">
      <c r="A1289" t="s">
        <v>274</v>
      </c>
      <c r="B1289" t="s">
        <v>516</v>
      </c>
    </row>
    <row r="1290" spans="1:2" x14ac:dyDescent="0.25">
      <c r="A1290" t="s">
        <v>276</v>
      </c>
      <c r="B1290" t="s">
        <v>277</v>
      </c>
    </row>
    <row r="1291" spans="1:2" x14ac:dyDescent="0.25">
      <c r="A1291" t="s">
        <v>278</v>
      </c>
      <c r="B1291" t="s">
        <v>279</v>
      </c>
    </row>
    <row r="1292" spans="1:2" ht="15.75" x14ac:dyDescent="0.25">
      <c r="A1292" s="109" t="s">
        <v>280</v>
      </c>
    </row>
    <row r="1293" spans="1:2" x14ac:dyDescent="0.25">
      <c r="A1293" t="s">
        <v>881</v>
      </c>
    </row>
    <row r="1295" spans="1:2" ht="15.75" x14ac:dyDescent="0.25">
      <c r="A1295" s="109" t="s">
        <v>265</v>
      </c>
      <c r="B1295" s="109" t="s">
        <v>546</v>
      </c>
    </row>
    <row r="1296" spans="1:2" x14ac:dyDescent="0.25">
      <c r="A1296" t="s">
        <v>269</v>
      </c>
      <c r="B1296" t="s">
        <v>547</v>
      </c>
    </row>
    <row r="1297" spans="1:2" x14ac:dyDescent="0.25">
      <c r="A1297" t="s">
        <v>272</v>
      </c>
      <c r="B1297" t="s">
        <v>273</v>
      </c>
    </row>
    <row r="1298" spans="1:2" x14ac:dyDescent="0.25">
      <c r="A1298" t="s">
        <v>274</v>
      </c>
      <c r="B1298" t="s">
        <v>548</v>
      </c>
    </row>
    <row r="1299" spans="1:2" x14ac:dyDescent="0.25">
      <c r="A1299" t="s">
        <v>276</v>
      </c>
      <c r="B1299" t="s">
        <v>277</v>
      </c>
    </row>
    <row r="1300" spans="1:2" x14ac:dyDescent="0.25">
      <c r="A1300" t="s">
        <v>278</v>
      </c>
      <c r="B1300" t="s">
        <v>279</v>
      </c>
    </row>
    <row r="1301" spans="1:2" ht="15.75" x14ac:dyDescent="0.25">
      <c r="A1301" s="109" t="s">
        <v>280</v>
      </c>
    </row>
    <row r="1302" spans="1:2" x14ac:dyDescent="0.25">
      <c r="A1302" t="s">
        <v>881</v>
      </c>
    </row>
    <row r="1304" spans="1:2" ht="15.75" x14ac:dyDescent="0.25">
      <c r="A1304" s="109" t="s">
        <v>265</v>
      </c>
      <c r="B1304" s="109" t="s">
        <v>549</v>
      </c>
    </row>
    <row r="1305" spans="1:2" x14ac:dyDescent="0.25">
      <c r="A1305" t="s">
        <v>269</v>
      </c>
      <c r="B1305" t="s">
        <v>550</v>
      </c>
    </row>
    <row r="1306" spans="1:2" x14ac:dyDescent="0.25">
      <c r="A1306" t="s">
        <v>272</v>
      </c>
      <c r="B1306" t="s">
        <v>273</v>
      </c>
    </row>
    <row r="1307" spans="1:2" x14ac:dyDescent="0.25">
      <c r="A1307" t="s">
        <v>274</v>
      </c>
      <c r="B1307" t="s">
        <v>291</v>
      </c>
    </row>
    <row r="1308" spans="1:2" x14ac:dyDescent="0.25">
      <c r="A1308" t="s">
        <v>276</v>
      </c>
      <c r="B1308" t="s">
        <v>277</v>
      </c>
    </row>
    <row r="1309" spans="1:2" x14ac:dyDescent="0.25">
      <c r="A1309" t="s">
        <v>278</v>
      </c>
      <c r="B1309" t="s">
        <v>279</v>
      </c>
    </row>
    <row r="1310" spans="1:2" ht="15.75" x14ac:dyDescent="0.25">
      <c r="A1310" s="109" t="s">
        <v>280</v>
      </c>
    </row>
    <row r="1311" spans="1:2" x14ac:dyDescent="0.25">
      <c r="A1311" t="s">
        <v>881</v>
      </c>
    </row>
    <row r="1313" spans="1:2" ht="15.75" x14ac:dyDescent="0.25">
      <c r="A1313" s="109" t="s">
        <v>265</v>
      </c>
      <c r="B1313" s="109" t="s">
        <v>875</v>
      </c>
    </row>
    <row r="1314" spans="1:2" x14ac:dyDescent="0.25">
      <c r="A1314" t="s">
        <v>269</v>
      </c>
      <c r="B1314" t="s">
        <v>882</v>
      </c>
    </row>
    <row r="1315" spans="1:2" x14ac:dyDescent="0.25">
      <c r="A1315" t="s">
        <v>272</v>
      </c>
      <c r="B1315" t="s">
        <v>273</v>
      </c>
    </row>
    <row r="1316" spans="1:2" x14ac:dyDescent="0.25">
      <c r="A1316" t="s">
        <v>274</v>
      </c>
      <c r="B1316" t="s">
        <v>883</v>
      </c>
    </row>
    <row r="1317" spans="1:2" x14ac:dyDescent="0.25">
      <c r="A1317" t="s">
        <v>276</v>
      </c>
      <c r="B1317" t="s">
        <v>277</v>
      </c>
    </row>
    <row r="1318" spans="1:2" x14ac:dyDescent="0.25">
      <c r="A1318" t="s">
        <v>278</v>
      </c>
      <c r="B1318" t="s">
        <v>279</v>
      </c>
    </row>
    <row r="1319" spans="1:2" ht="15.75" x14ac:dyDescent="0.25">
      <c r="A1319" s="109" t="s">
        <v>280</v>
      </c>
    </row>
    <row r="1320" spans="1:2" x14ac:dyDescent="0.25">
      <c r="A1320" t="s">
        <v>881</v>
      </c>
    </row>
    <row r="1322" spans="1:2" ht="15.75" x14ac:dyDescent="0.25">
      <c r="A1322" s="109" t="s">
        <v>265</v>
      </c>
      <c r="B1322" s="109" t="s">
        <v>553</v>
      </c>
    </row>
    <row r="1323" spans="1:2" x14ac:dyDescent="0.25">
      <c r="A1323" t="s">
        <v>269</v>
      </c>
      <c r="B1323" t="s">
        <v>554</v>
      </c>
    </row>
    <row r="1324" spans="1:2" x14ac:dyDescent="0.25">
      <c r="A1324" t="s">
        <v>272</v>
      </c>
      <c r="B1324" t="s">
        <v>384</v>
      </c>
    </row>
    <row r="1325" spans="1:2" x14ac:dyDescent="0.25">
      <c r="A1325" t="s">
        <v>274</v>
      </c>
      <c r="B1325" t="s">
        <v>555</v>
      </c>
    </row>
    <row r="1326" spans="1:2" x14ac:dyDescent="0.25">
      <c r="A1326" t="s">
        <v>276</v>
      </c>
      <c r="B1326" t="s">
        <v>277</v>
      </c>
    </row>
    <row r="1327" spans="1:2" x14ac:dyDescent="0.25">
      <c r="A1327" t="s">
        <v>278</v>
      </c>
      <c r="B1327" t="s">
        <v>279</v>
      </c>
    </row>
    <row r="1328" spans="1:2" ht="15.75" x14ac:dyDescent="0.25">
      <c r="A1328" s="109" t="s">
        <v>280</v>
      </c>
    </row>
    <row r="1329" spans="1:2" x14ac:dyDescent="0.25">
      <c r="A1329" t="s">
        <v>881</v>
      </c>
    </row>
    <row r="1331" spans="1:2" ht="15.75" x14ac:dyDescent="0.25">
      <c r="A1331" s="109" t="s">
        <v>265</v>
      </c>
      <c r="B1331" s="109" t="s">
        <v>517</v>
      </c>
    </row>
    <row r="1332" spans="1:2" x14ac:dyDescent="0.25">
      <c r="A1332" t="s">
        <v>269</v>
      </c>
      <c r="B1332" t="s">
        <v>556</v>
      </c>
    </row>
    <row r="1333" spans="1:2" x14ac:dyDescent="0.25">
      <c r="A1333" t="s">
        <v>272</v>
      </c>
      <c r="B1333" t="s">
        <v>273</v>
      </c>
    </row>
    <row r="1334" spans="1:2" x14ac:dyDescent="0.25">
      <c r="A1334" t="s">
        <v>274</v>
      </c>
      <c r="B1334" t="s">
        <v>518</v>
      </c>
    </row>
    <row r="1335" spans="1:2" x14ac:dyDescent="0.25">
      <c r="A1335" t="s">
        <v>276</v>
      </c>
      <c r="B1335" t="s">
        <v>277</v>
      </c>
    </row>
    <row r="1336" spans="1:2" x14ac:dyDescent="0.25">
      <c r="A1336" t="s">
        <v>278</v>
      </c>
      <c r="B1336" t="s">
        <v>279</v>
      </c>
    </row>
    <row r="1337" spans="1:2" ht="15.75" x14ac:dyDescent="0.25">
      <c r="A1337" s="109" t="s">
        <v>280</v>
      </c>
    </row>
    <row r="1338" spans="1:2" x14ac:dyDescent="0.25">
      <c r="A1338" t="s">
        <v>881</v>
      </c>
    </row>
    <row r="1340" spans="1:2" ht="15.75" x14ac:dyDescent="0.25">
      <c r="A1340" s="109" t="s">
        <v>265</v>
      </c>
      <c r="B1340" s="109" t="s">
        <v>551</v>
      </c>
    </row>
    <row r="1341" spans="1:2" x14ac:dyDescent="0.25">
      <c r="A1341" t="s">
        <v>269</v>
      </c>
      <c r="B1341" t="s">
        <v>565</v>
      </c>
    </row>
    <row r="1342" spans="1:2" x14ac:dyDescent="0.25">
      <c r="A1342" t="s">
        <v>272</v>
      </c>
      <c r="B1342" t="s">
        <v>273</v>
      </c>
    </row>
    <row r="1343" spans="1:2" x14ac:dyDescent="0.25">
      <c r="A1343" t="s">
        <v>274</v>
      </c>
      <c r="B1343" t="s">
        <v>552</v>
      </c>
    </row>
    <row r="1344" spans="1:2" x14ac:dyDescent="0.25">
      <c r="A1344" t="s">
        <v>276</v>
      </c>
      <c r="B1344" t="s">
        <v>277</v>
      </c>
    </row>
    <row r="1345" spans="1:2" x14ac:dyDescent="0.25">
      <c r="A1345" t="s">
        <v>278</v>
      </c>
      <c r="B1345" t="s">
        <v>279</v>
      </c>
    </row>
    <row r="1346" spans="1:2" ht="15.75" x14ac:dyDescent="0.25">
      <c r="A1346" s="109" t="s">
        <v>280</v>
      </c>
    </row>
    <row r="1347" spans="1:2" x14ac:dyDescent="0.25">
      <c r="A1347" t="s">
        <v>881</v>
      </c>
    </row>
    <row r="1349" spans="1:2" ht="15.75" x14ac:dyDescent="0.25">
      <c r="A1349" s="109" t="s">
        <v>265</v>
      </c>
      <c r="B1349" s="109" t="s">
        <v>884</v>
      </c>
    </row>
    <row r="1350" spans="1:2" x14ac:dyDescent="0.25">
      <c r="A1350" t="s">
        <v>269</v>
      </c>
      <c r="B1350" t="s">
        <v>885</v>
      </c>
    </row>
    <row r="1351" spans="1:2" x14ac:dyDescent="0.25">
      <c r="A1351" t="s">
        <v>272</v>
      </c>
      <c r="B1351" t="s">
        <v>273</v>
      </c>
    </row>
    <row r="1352" spans="1:2" x14ac:dyDescent="0.25">
      <c r="A1352" t="s">
        <v>274</v>
      </c>
      <c r="B1352" t="s">
        <v>552</v>
      </c>
    </row>
    <row r="1353" spans="1:2" x14ac:dyDescent="0.25">
      <c r="A1353" t="s">
        <v>276</v>
      </c>
      <c r="B1353" t="s">
        <v>277</v>
      </c>
    </row>
    <row r="1354" spans="1:2" x14ac:dyDescent="0.25">
      <c r="A1354" t="s">
        <v>278</v>
      </c>
      <c r="B1354" t="s">
        <v>279</v>
      </c>
    </row>
    <row r="1355" spans="1:2" ht="15.75" x14ac:dyDescent="0.25">
      <c r="A1355" s="109" t="s">
        <v>280</v>
      </c>
    </row>
    <row r="1356" spans="1:2" x14ac:dyDescent="0.25">
      <c r="A1356" t="s">
        <v>881</v>
      </c>
    </row>
    <row r="1358" spans="1:2" ht="15.75" x14ac:dyDescent="0.25">
      <c r="A1358" s="109" t="s">
        <v>265</v>
      </c>
      <c r="B1358" s="109" t="s">
        <v>581</v>
      </c>
    </row>
    <row r="1359" spans="1:2" x14ac:dyDescent="0.25">
      <c r="A1359" t="s">
        <v>269</v>
      </c>
      <c r="B1359" t="s">
        <v>582</v>
      </c>
    </row>
    <row r="1360" spans="1:2" x14ac:dyDescent="0.25">
      <c r="A1360" t="s">
        <v>272</v>
      </c>
      <c r="B1360" t="s">
        <v>273</v>
      </c>
    </row>
    <row r="1361" spans="1:2" x14ac:dyDescent="0.25">
      <c r="A1361" t="s">
        <v>274</v>
      </c>
      <c r="B1361" t="s">
        <v>583</v>
      </c>
    </row>
    <row r="1362" spans="1:2" x14ac:dyDescent="0.25">
      <c r="A1362" t="s">
        <v>276</v>
      </c>
      <c r="B1362" t="s">
        <v>277</v>
      </c>
    </row>
    <row r="1363" spans="1:2" x14ac:dyDescent="0.25">
      <c r="A1363" t="s">
        <v>278</v>
      </c>
      <c r="B1363" t="s">
        <v>310</v>
      </c>
    </row>
    <row r="1364" spans="1:2" ht="15.75" x14ac:dyDescent="0.25">
      <c r="A1364" s="109" t="s">
        <v>280</v>
      </c>
    </row>
    <row r="1365" spans="1:2" x14ac:dyDescent="0.25">
      <c r="A1365" t="s">
        <v>881</v>
      </c>
    </row>
    <row r="1367" spans="1:2" ht="15.75" x14ac:dyDescent="0.25">
      <c r="A1367" s="109" t="s">
        <v>265</v>
      </c>
      <c r="B1367" s="109" t="s">
        <v>585</v>
      </c>
    </row>
    <row r="1368" spans="1:2" x14ac:dyDescent="0.25">
      <c r="A1368" t="s">
        <v>269</v>
      </c>
      <c r="B1368" t="s">
        <v>586</v>
      </c>
    </row>
    <row r="1369" spans="1:2" x14ac:dyDescent="0.25">
      <c r="A1369" t="s">
        <v>272</v>
      </c>
      <c r="B1369" t="s">
        <v>273</v>
      </c>
    </row>
    <row r="1370" spans="1:2" x14ac:dyDescent="0.25">
      <c r="A1370" t="s">
        <v>274</v>
      </c>
      <c r="B1370" t="s">
        <v>587</v>
      </c>
    </row>
    <row r="1371" spans="1:2" x14ac:dyDescent="0.25">
      <c r="A1371" t="s">
        <v>276</v>
      </c>
      <c r="B1371" t="s">
        <v>277</v>
      </c>
    </row>
    <row r="1372" spans="1:2" x14ac:dyDescent="0.25">
      <c r="A1372" t="s">
        <v>278</v>
      </c>
      <c r="B1372" t="s">
        <v>310</v>
      </c>
    </row>
    <row r="1373" spans="1:2" ht="15.75" x14ac:dyDescent="0.25">
      <c r="A1373" s="109" t="s">
        <v>280</v>
      </c>
    </row>
    <row r="1374" spans="1:2" x14ac:dyDescent="0.25">
      <c r="A1374" t="s">
        <v>881</v>
      </c>
    </row>
    <row r="1376" spans="1:2" ht="15.75" x14ac:dyDescent="0.25">
      <c r="A1376" s="109" t="s">
        <v>265</v>
      </c>
      <c r="B1376" s="109" t="s">
        <v>588</v>
      </c>
    </row>
    <row r="1377" spans="1:2" x14ac:dyDescent="0.25">
      <c r="A1377" t="s">
        <v>269</v>
      </c>
      <c r="B1377" t="s">
        <v>589</v>
      </c>
    </row>
    <row r="1378" spans="1:2" x14ac:dyDescent="0.25">
      <c r="A1378" t="s">
        <v>272</v>
      </c>
      <c r="B1378" t="s">
        <v>273</v>
      </c>
    </row>
    <row r="1379" spans="1:2" x14ac:dyDescent="0.25">
      <c r="A1379" t="s">
        <v>274</v>
      </c>
      <c r="B1379" t="s">
        <v>590</v>
      </c>
    </row>
    <row r="1380" spans="1:2" x14ac:dyDescent="0.25">
      <c r="A1380" t="s">
        <v>276</v>
      </c>
      <c r="B1380" t="s">
        <v>277</v>
      </c>
    </row>
    <row r="1381" spans="1:2" x14ac:dyDescent="0.25">
      <c r="A1381" t="s">
        <v>278</v>
      </c>
      <c r="B1381" t="s">
        <v>310</v>
      </c>
    </row>
    <row r="1382" spans="1:2" ht="15.75" x14ac:dyDescent="0.25">
      <c r="A1382" s="109" t="s">
        <v>280</v>
      </c>
    </row>
    <row r="1383" spans="1:2" x14ac:dyDescent="0.25">
      <c r="A1383" t="s">
        <v>881</v>
      </c>
    </row>
    <row r="1385" spans="1:2" ht="15.75" x14ac:dyDescent="0.25">
      <c r="A1385" s="109" t="s">
        <v>265</v>
      </c>
      <c r="B1385" s="109" t="s">
        <v>591</v>
      </c>
    </row>
    <row r="1386" spans="1:2" x14ac:dyDescent="0.25">
      <c r="A1386" t="s">
        <v>269</v>
      </c>
      <c r="B1386" t="s">
        <v>592</v>
      </c>
    </row>
    <row r="1387" spans="1:2" x14ac:dyDescent="0.25">
      <c r="A1387" t="s">
        <v>272</v>
      </c>
      <c r="B1387" t="s">
        <v>353</v>
      </c>
    </row>
    <row r="1388" spans="1:2" x14ac:dyDescent="0.25">
      <c r="A1388" t="s">
        <v>274</v>
      </c>
      <c r="B1388" t="s">
        <v>593</v>
      </c>
    </row>
    <row r="1389" spans="1:2" x14ac:dyDescent="0.25">
      <c r="A1389" t="s">
        <v>276</v>
      </c>
      <c r="B1389" t="s">
        <v>277</v>
      </c>
    </row>
    <row r="1390" spans="1:2" x14ac:dyDescent="0.25">
      <c r="A1390" t="s">
        <v>278</v>
      </c>
      <c r="B1390" t="s">
        <v>279</v>
      </c>
    </row>
    <row r="1391" spans="1:2" ht="15.75" x14ac:dyDescent="0.25">
      <c r="A1391" s="109" t="s">
        <v>280</v>
      </c>
    </row>
    <row r="1392" spans="1:2" x14ac:dyDescent="0.25">
      <c r="A1392" t="s">
        <v>881</v>
      </c>
    </row>
    <row r="1394" spans="1:2" ht="15.75" x14ac:dyDescent="0.25">
      <c r="A1394" s="109" t="s">
        <v>265</v>
      </c>
      <c r="B1394" s="109" t="s">
        <v>604</v>
      </c>
    </row>
    <row r="1395" spans="1:2" x14ac:dyDescent="0.25">
      <c r="A1395" t="s">
        <v>269</v>
      </c>
      <c r="B1395" t="s">
        <v>605</v>
      </c>
    </row>
    <row r="1396" spans="1:2" x14ac:dyDescent="0.25">
      <c r="A1396" t="s">
        <v>272</v>
      </c>
      <c r="B1396" t="s">
        <v>384</v>
      </c>
    </row>
    <row r="1397" spans="1:2" x14ac:dyDescent="0.25">
      <c r="A1397" t="s">
        <v>274</v>
      </c>
      <c r="B1397" t="s">
        <v>606</v>
      </c>
    </row>
    <row r="1398" spans="1:2" x14ac:dyDescent="0.25">
      <c r="A1398" t="s">
        <v>276</v>
      </c>
      <c r="B1398" t="s">
        <v>277</v>
      </c>
    </row>
    <row r="1399" spans="1:2" x14ac:dyDescent="0.25">
      <c r="A1399" t="s">
        <v>278</v>
      </c>
      <c r="B1399" t="s">
        <v>279</v>
      </c>
    </row>
    <row r="1400" spans="1:2" ht="15.75" x14ac:dyDescent="0.25">
      <c r="A1400" s="109" t="s">
        <v>280</v>
      </c>
    </row>
    <row r="1401" spans="1:2" x14ac:dyDescent="0.25">
      <c r="A1401" t="s">
        <v>881</v>
      </c>
    </row>
    <row r="1403" spans="1:2" ht="15.75" x14ac:dyDescent="0.25">
      <c r="A1403" s="109" t="s">
        <v>265</v>
      </c>
      <c r="B1403" s="109" t="s">
        <v>568</v>
      </c>
    </row>
    <row r="1404" spans="1:2" x14ac:dyDescent="0.25">
      <c r="A1404" t="s">
        <v>269</v>
      </c>
      <c r="B1404" t="s">
        <v>609</v>
      </c>
    </row>
    <row r="1405" spans="1:2" x14ac:dyDescent="0.25">
      <c r="A1405" t="s">
        <v>272</v>
      </c>
      <c r="B1405" t="s">
        <v>327</v>
      </c>
    </row>
    <row r="1406" spans="1:2" x14ac:dyDescent="0.25">
      <c r="A1406" t="s">
        <v>274</v>
      </c>
      <c r="B1406" t="s">
        <v>569</v>
      </c>
    </row>
    <row r="1407" spans="1:2" x14ac:dyDescent="0.25">
      <c r="A1407" t="s">
        <v>276</v>
      </c>
      <c r="B1407" t="s">
        <v>277</v>
      </c>
    </row>
    <row r="1408" spans="1:2" x14ac:dyDescent="0.25">
      <c r="A1408" t="s">
        <v>278</v>
      </c>
      <c r="B1408" t="s">
        <v>279</v>
      </c>
    </row>
    <row r="1409" spans="1:2" ht="15.75" x14ac:dyDescent="0.25">
      <c r="A1409" s="109" t="s">
        <v>280</v>
      </c>
    </row>
    <row r="1410" spans="1:2" x14ac:dyDescent="0.25">
      <c r="A1410" t="s">
        <v>881</v>
      </c>
    </row>
    <row r="1412" spans="1:2" ht="15.75" x14ac:dyDescent="0.25">
      <c r="A1412" s="109" t="s">
        <v>265</v>
      </c>
      <c r="B1412" s="109" t="s">
        <v>568</v>
      </c>
    </row>
    <row r="1413" spans="1:2" x14ac:dyDescent="0.25">
      <c r="A1413" t="s">
        <v>269</v>
      </c>
      <c r="B1413" t="s">
        <v>611</v>
      </c>
    </row>
    <row r="1414" spans="1:2" x14ac:dyDescent="0.25">
      <c r="A1414" t="s">
        <v>272</v>
      </c>
      <c r="B1414" t="s">
        <v>353</v>
      </c>
    </row>
    <row r="1415" spans="1:2" x14ac:dyDescent="0.25">
      <c r="A1415" t="s">
        <v>274</v>
      </c>
      <c r="B1415" t="s">
        <v>569</v>
      </c>
    </row>
    <row r="1416" spans="1:2" x14ac:dyDescent="0.25">
      <c r="A1416" t="s">
        <v>276</v>
      </c>
      <c r="B1416" t="s">
        <v>277</v>
      </c>
    </row>
    <row r="1417" spans="1:2" x14ac:dyDescent="0.25">
      <c r="A1417" t="s">
        <v>278</v>
      </c>
      <c r="B1417" t="s">
        <v>279</v>
      </c>
    </row>
    <row r="1418" spans="1:2" ht="15.75" x14ac:dyDescent="0.25">
      <c r="A1418" s="109" t="s">
        <v>280</v>
      </c>
    </row>
    <row r="1419" spans="1:2" x14ac:dyDescent="0.25">
      <c r="A1419" t="s">
        <v>881</v>
      </c>
    </row>
    <row r="1421" spans="1:2" ht="15.75" x14ac:dyDescent="0.25">
      <c r="A1421" s="109" t="s">
        <v>265</v>
      </c>
      <c r="B1421" s="109" t="s">
        <v>568</v>
      </c>
    </row>
    <row r="1422" spans="1:2" x14ac:dyDescent="0.25">
      <c r="A1422" t="s">
        <v>269</v>
      </c>
      <c r="B1422" t="s">
        <v>612</v>
      </c>
    </row>
    <row r="1423" spans="1:2" x14ac:dyDescent="0.25">
      <c r="A1423" t="s">
        <v>272</v>
      </c>
      <c r="B1423" t="s">
        <v>371</v>
      </c>
    </row>
    <row r="1424" spans="1:2" x14ac:dyDescent="0.25">
      <c r="A1424" t="s">
        <v>274</v>
      </c>
      <c r="B1424" t="s">
        <v>569</v>
      </c>
    </row>
    <row r="1425" spans="1:2" x14ac:dyDescent="0.25">
      <c r="A1425" t="s">
        <v>276</v>
      </c>
      <c r="B1425" t="s">
        <v>277</v>
      </c>
    </row>
    <row r="1426" spans="1:2" x14ac:dyDescent="0.25">
      <c r="A1426" t="s">
        <v>278</v>
      </c>
      <c r="B1426" t="s">
        <v>279</v>
      </c>
    </row>
    <row r="1427" spans="1:2" ht="15.75" x14ac:dyDescent="0.25">
      <c r="A1427" s="109" t="s">
        <v>280</v>
      </c>
    </row>
    <row r="1428" spans="1:2" x14ac:dyDescent="0.25">
      <c r="A1428" t="s">
        <v>881</v>
      </c>
    </row>
    <row r="1430" spans="1:2" ht="15.75" x14ac:dyDescent="0.25">
      <c r="A1430" s="109" t="s">
        <v>265</v>
      </c>
      <c r="B1430" s="109" t="s">
        <v>409</v>
      </c>
    </row>
    <row r="1431" spans="1:2" x14ac:dyDescent="0.25">
      <c r="A1431" t="s">
        <v>269</v>
      </c>
      <c r="B1431" t="s">
        <v>613</v>
      </c>
    </row>
    <row r="1432" spans="1:2" x14ac:dyDescent="0.25">
      <c r="A1432" t="s">
        <v>272</v>
      </c>
      <c r="B1432" t="s">
        <v>273</v>
      </c>
    </row>
    <row r="1433" spans="1:2" x14ac:dyDescent="0.25">
      <c r="A1433" t="s">
        <v>274</v>
      </c>
      <c r="B1433" t="s">
        <v>409</v>
      </c>
    </row>
    <row r="1434" spans="1:2" x14ac:dyDescent="0.25">
      <c r="A1434" t="s">
        <v>276</v>
      </c>
      <c r="B1434" t="s">
        <v>277</v>
      </c>
    </row>
    <row r="1435" spans="1:2" x14ac:dyDescent="0.25">
      <c r="A1435" t="s">
        <v>278</v>
      </c>
      <c r="B1435" t="s">
        <v>279</v>
      </c>
    </row>
    <row r="1436" spans="1:2" ht="15.75" x14ac:dyDescent="0.25">
      <c r="A1436" s="109" t="s">
        <v>280</v>
      </c>
    </row>
    <row r="1437" spans="1:2" x14ac:dyDescent="0.25">
      <c r="A1437" t="s">
        <v>881</v>
      </c>
    </row>
    <row r="1439" spans="1:2" ht="15.75" x14ac:dyDescent="0.25">
      <c r="A1439" s="109" t="s">
        <v>265</v>
      </c>
      <c r="B1439" s="109" t="s">
        <v>614</v>
      </c>
    </row>
    <row r="1440" spans="1:2" x14ac:dyDescent="0.25">
      <c r="A1440" t="s">
        <v>269</v>
      </c>
      <c r="B1440" t="s">
        <v>615</v>
      </c>
    </row>
    <row r="1441" spans="1:2" x14ac:dyDescent="0.25">
      <c r="A1441" t="s">
        <v>272</v>
      </c>
      <c r="B1441" t="s">
        <v>384</v>
      </c>
    </row>
    <row r="1442" spans="1:2" x14ac:dyDescent="0.25">
      <c r="A1442" t="s">
        <v>274</v>
      </c>
      <c r="B1442" t="s">
        <v>409</v>
      </c>
    </row>
    <row r="1443" spans="1:2" x14ac:dyDescent="0.25">
      <c r="A1443" t="s">
        <v>276</v>
      </c>
      <c r="B1443" t="s">
        <v>277</v>
      </c>
    </row>
    <row r="1444" spans="1:2" x14ac:dyDescent="0.25">
      <c r="A1444" t="s">
        <v>278</v>
      </c>
      <c r="B1444" t="s">
        <v>279</v>
      </c>
    </row>
    <row r="1445" spans="1:2" ht="15.75" x14ac:dyDescent="0.25">
      <c r="A1445" s="109" t="s">
        <v>280</v>
      </c>
    </row>
    <row r="1446" spans="1:2" x14ac:dyDescent="0.25">
      <c r="A1446" t="s">
        <v>881</v>
      </c>
    </row>
    <row r="1448" spans="1:2" ht="15.75" x14ac:dyDescent="0.25">
      <c r="A1448" s="109" t="s">
        <v>265</v>
      </c>
      <c r="B1448" s="109" t="s">
        <v>358</v>
      </c>
    </row>
    <row r="1449" spans="1:2" x14ac:dyDescent="0.25">
      <c r="A1449" t="s">
        <v>269</v>
      </c>
      <c r="B1449" t="s">
        <v>619</v>
      </c>
    </row>
    <row r="1450" spans="1:2" x14ac:dyDescent="0.25">
      <c r="A1450" t="s">
        <v>272</v>
      </c>
      <c r="B1450" t="s">
        <v>384</v>
      </c>
    </row>
    <row r="1451" spans="1:2" x14ac:dyDescent="0.25">
      <c r="A1451" t="s">
        <v>274</v>
      </c>
      <c r="B1451" t="s">
        <v>359</v>
      </c>
    </row>
    <row r="1452" spans="1:2" x14ac:dyDescent="0.25">
      <c r="A1452" t="s">
        <v>276</v>
      </c>
      <c r="B1452" t="s">
        <v>277</v>
      </c>
    </row>
    <row r="1453" spans="1:2" x14ac:dyDescent="0.25">
      <c r="A1453" t="s">
        <v>278</v>
      </c>
      <c r="B1453" t="s">
        <v>279</v>
      </c>
    </row>
    <row r="1454" spans="1:2" ht="15.75" x14ac:dyDescent="0.25">
      <c r="A1454" s="109" t="s">
        <v>280</v>
      </c>
    </row>
    <row r="1455" spans="1:2" x14ac:dyDescent="0.25">
      <c r="A1455" t="s">
        <v>881</v>
      </c>
    </row>
    <row r="1457" spans="1:2" ht="15.75" x14ac:dyDescent="0.25">
      <c r="A1457" s="109" t="s">
        <v>265</v>
      </c>
      <c r="B1457" s="109" t="s">
        <v>472</v>
      </c>
    </row>
    <row r="1458" spans="1:2" x14ac:dyDescent="0.25">
      <c r="A1458" t="s">
        <v>269</v>
      </c>
      <c r="B1458" t="s">
        <v>620</v>
      </c>
    </row>
    <row r="1459" spans="1:2" x14ac:dyDescent="0.25">
      <c r="A1459" t="s">
        <v>272</v>
      </c>
      <c r="B1459" t="s">
        <v>384</v>
      </c>
    </row>
    <row r="1460" spans="1:2" x14ac:dyDescent="0.25">
      <c r="A1460" t="s">
        <v>274</v>
      </c>
      <c r="B1460" t="s">
        <v>322</v>
      </c>
    </row>
    <row r="1461" spans="1:2" x14ac:dyDescent="0.25">
      <c r="A1461" t="s">
        <v>276</v>
      </c>
      <c r="B1461" t="s">
        <v>277</v>
      </c>
    </row>
    <row r="1462" spans="1:2" x14ac:dyDescent="0.25">
      <c r="A1462" t="s">
        <v>278</v>
      </c>
      <c r="B1462" t="s">
        <v>323</v>
      </c>
    </row>
    <row r="1463" spans="1:2" ht="15.75" x14ac:dyDescent="0.25">
      <c r="A1463" s="109" t="s">
        <v>280</v>
      </c>
    </row>
    <row r="1464" spans="1:2" x14ac:dyDescent="0.25">
      <c r="A1464" t="s">
        <v>881</v>
      </c>
    </row>
    <row r="1466" spans="1:2" ht="15.75" x14ac:dyDescent="0.25">
      <c r="A1466" s="109" t="s">
        <v>265</v>
      </c>
      <c r="B1466" s="109" t="s">
        <v>360</v>
      </c>
    </row>
    <row r="1467" spans="1:2" x14ac:dyDescent="0.25">
      <c r="A1467" t="s">
        <v>269</v>
      </c>
      <c r="B1467" t="s">
        <v>621</v>
      </c>
    </row>
    <row r="1468" spans="1:2" x14ac:dyDescent="0.25">
      <c r="A1468" t="s">
        <v>272</v>
      </c>
      <c r="B1468" t="s">
        <v>273</v>
      </c>
    </row>
    <row r="1469" spans="1:2" x14ac:dyDescent="0.25">
      <c r="A1469" t="s">
        <v>274</v>
      </c>
      <c r="B1469" t="s">
        <v>361</v>
      </c>
    </row>
    <row r="1470" spans="1:2" x14ac:dyDescent="0.25">
      <c r="A1470" t="s">
        <v>276</v>
      </c>
      <c r="B1470" t="s">
        <v>277</v>
      </c>
    </row>
    <row r="1471" spans="1:2" x14ac:dyDescent="0.25">
      <c r="A1471" t="s">
        <v>278</v>
      </c>
      <c r="B1471" t="s">
        <v>279</v>
      </c>
    </row>
    <row r="1472" spans="1:2" ht="15.75" x14ac:dyDescent="0.25">
      <c r="A1472" s="109" t="s">
        <v>280</v>
      </c>
    </row>
    <row r="1473" spans="1:2" x14ac:dyDescent="0.25">
      <c r="A1473" t="s">
        <v>881</v>
      </c>
    </row>
    <row r="1475" spans="1:2" ht="15.75" x14ac:dyDescent="0.25">
      <c r="A1475" s="109" t="s">
        <v>265</v>
      </c>
      <c r="B1475" s="109" t="s">
        <v>360</v>
      </c>
    </row>
    <row r="1476" spans="1:2" x14ac:dyDescent="0.25">
      <c r="A1476" t="s">
        <v>269</v>
      </c>
      <c r="B1476" t="s">
        <v>623</v>
      </c>
    </row>
    <row r="1477" spans="1:2" x14ac:dyDescent="0.25">
      <c r="A1477" t="s">
        <v>272</v>
      </c>
      <c r="B1477" t="s">
        <v>353</v>
      </c>
    </row>
    <row r="1478" spans="1:2" x14ac:dyDescent="0.25">
      <c r="A1478" t="s">
        <v>274</v>
      </c>
      <c r="B1478" t="s">
        <v>361</v>
      </c>
    </row>
    <row r="1479" spans="1:2" x14ac:dyDescent="0.25">
      <c r="A1479" t="s">
        <v>276</v>
      </c>
      <c r="B1479" t="s">
        <v>277</v>
      </c>
    </row>
    <row r="1480" spans="1:2" x14ac:dyDescent="0.25">
      <c r="A1480" t="s">
        <v>278</v>
      </c>
      <c r="B1480" t="s">
        <v>279</v>
      </c>
    </row>
    <row r="1481" spans="1:2" ht="15.75" x14ac:dyDescent="0.25">
      <c r="A1481" s="109" t="s">
        <v>280</v>
      </c>
    </row>
    <row r="1482" spans="1:2" x14ac:dyDescent="0.25">
      <c r="A1482" t="s">
        <v>881</v>
      </c>
    </row>
    <row r="1484" spans="1:2" ht="15.75" x14ac:dyDescent="0.25">
      <c r="A1484" s="109" t="s">
        <v>265</v>
      </c>
      <c r="B1484" s="109" t="s">
        <v>360</v>
      </c>
    </row>
    <row r="1485" spans="1:2" x14ac:dyDescent="0.25">
      <c r="A1485" t="s">
        <v>269</v>
      </c>
      <c r="B1485" t="s">
        <v>624</v>
      </c>
    </row>
    <row r="1486" spans="1:2" x14ac:dyDescent="0.25">
      <c r="A1486" t="s">
        <v>272</v>
      </c>
      <c r="B1486" t="s">
        <v>495</v>
      </c>
    </row>
    <row r="1487" spans="1:2" x14ac:dyDescent="0.25">
      <c r="A1487" t="s">
        <v>274</v>
      </c>
      <c r="B1487" t="s">
        <v>361</v>
      </c>
    </row>
    <row r="1488" spans="1:2" x14ac:dyDescent="0.25">
      <c r="A1488" t="s">
        <v>276</v>
      </c>
      <c r="B1488" t="s">
        <v>277</v>
      </c>
    </row>
    <row r="1489" spans="1:2" x14ac:dyDescent="0.25">
      <c r="A1489" t="s">
        <v>278</v>
      </c>
      <c r="B1489" t="s">
        <v>279</v>
      </c>
    </row>
    <row r="1490" spans="1:2" ht="15.75" x14ac:dyDescent="0.25">
      <c r="A1490" s="109" t="s">
        <v>280</v>
      </c>
    </row>
    <row r="1491" spans="1:2" x14ac:dyDescent="0.25">
      <c r="A1491" t="s">
        <v>881</v>
      </c>
    </row>
    <row r="1493" spans="1:2" ht="15.75" x14ac:dyDescent="0.25">
      <c r="A1493" s="109" t="s">
        <v>265</v>
      </c>
      <c r="B1493" s="109" t="s">
        <v>360</v>
      </c>
    </row>
    <row r="1494" spans="1:2" x14ac:dyDescent="0.25">
      <c r="A1494" t="s">
        <v>269</v>
      </c>
      <c r="B1494" t="s">
        <v>625</v>
      </c>
    </row>
    <row r="1495" spans="1:2" x14ac:dyDescent="0.25">
      <c r="A1495" t="s">
        <v>272</v>
      </c>
      <c r="B1495" t="s">
        <v>371</v>
      </c>
    </row>
    <row r="1496" spans="1:2" x14ac:dyDescent="0.25">
      <c r="A1496" t="s">
        <v>274</v>
      </c>
      <c r="B1496" t="s">
        <v>361</v>
      </c>
    </row>
    <row r="1497" spans="1:2" x14ac:dyDescent="0.25">
      <c r="A1497" t="s">
        <v>276</v>
      </c>
      <c r="B1497" t="s">
        <v>277</v>
      </c>
    </row>
    <row r="1498" spans="1:2" x14ac:dyDescent="0.25">
      <c r="A1498" t="s">
        <v>278</v>
      </c>
      <c r="B1498" t="s">
        <v>279</v>
      </c>
    </row>
    <row r="1499" spans="1:2" ht="15.75" x14ac:dyDescent="0.25">
      <c r="A1499" s="109" t="s">
        <v>280</v>
      </c>
    </row>
    <row r="1500" spans="1:2" x14ac:dyDescent="0.25">
      <c r="A1500" t="s">
        <v>881</v>
      </c>
    </row>
    <row r="1502" spans="1:2" ht="15.75" x14ac:dyDescent="0.25">
      <c r="A1502" s="109" t="s">
        <v>265</v>
      </c>
      <c r="B1502" s="109" t="s">
        <v>362</v>
      </c>
    </row>
    <row r="1503" spans="1:2" x14ac:dyDescent="0.25">
      <c r="A1503" t="s">
        <v>269</v>
      </c>
      <c r="B1503" t="s">
        <v>626</v>
      </c>
    </row>
    <row r="1504" spans="1:2" x14ac:dyDescent="0.25">
      <c r="A1504" t="s">
        <v>272</v>
      </c>
      <c r="B1504" t="s">
        <v>273</v>
      </c>
    </row>
    <row r="1505" spans="1:2" x14ac:dyDescent="0.25">
      <c r="A1505" t="s">
        <v>274</v>
      </c>
      <c r="B1505" t="s">
        <v>363</v>
      </c>
    </row>
    <row r="1506" spans="1:2" x14ac:dyDescent="0.25">
      <c r="A1506" t="s">
        <v>276</v>
      </c>
      <c r="B1506" t="s">
        <v>277</v>
      </c>
    </row>
    <row r="1507" spans="1:2" x14ac:dyDescent="0.25">
      <c r="A1507" t="s">
        <v>278</v>
      </c>
      <c r="B1507" t="s">
        <v>279</v>
      </c>
    </row>
    <row r="1508" spans="1:2" ht="15.75" x14ac:dyDescent="0.25">
      <c r="A1508" s="109" t="s">
        <v>280</v>
      </c>
    </row>
    <row r="1509" spans="1:2" x14ac:dyDescent="0.25">
      <c r="A1509" t="s">
        <v>881</v>
      </c>
    </row>
    <row r="1511" spans="1:2" ht="15.75" x14ac:dyDescent="0.25">
      <c r="A1511" s="109" t="s">
        <v>265</v>
      </c>
      <c r="B1511" s="109" t="s">
        <v>362</v>
      </c>
    </row>
    <row r="1512" spans="1:2" x14ac:dyDescent="0.25">
      <c r="A1512" t="s">
        <v>269</v>
      </c>
      <c r="B1512" t="s">
        <v>627</v>
      </c>
    </row>
    <row r="1513" spans="1:2" x14ac:dyDescent="0.25">
      <c r="A1513" t="s">
        <v>272</v>
      </c>
      <c r="B1513" t="s">
        <v>353</v>
      </c>
    </row>
    <row r="1514" spans="1:2" x14ac:dyDescent="0.25">
      <c r="A1514" t="s">
        <v>274</v>
      </c>
      <c r="B1514" t="s">
        <v>363</v>
      </c>
    </row>
    <row r="1515" spans="1:2" x14ac:dyDescent="0.25">
      <c r="A1515" t="s">
        <v>276</v>
      </c>
      <c r="B1515" t="s">
        <v>277</v>
      </c>
    </row>
    <row r="1516" spans="1:2" x14ac:dyDescent="0.25">
      <c r="A1516" t="s">
        <v>278</v>
      </c>
      <c r="B1516" t="s">
        <v>279</v>
      </c>
    </row>
    <row r="1517" spans="1:2" ht="15.75" x14ac:dyDescent="0.25">
      <c r="A1517" s="109" t="s">
        <v>280</v>
      </c>
    </row>
    <row r="1518" spans="1:2" x14ac:dyDescent="0.25">
      <c r="A1518" t="s">
        <v>881</v>
      </c>
    </row>
    <row r="1520" spans="1:2" ht="15.75" x14ac:dyDescent="0.25">
      <c r="A1520" s="109" t="s">
        <v>265</v>
      </c>
      <c r="B1520" s="109" t="s">
        <v>362</v>
      </c>
    </row>
    <row r="1521" spans="1:2" x14ac:dyDescent="0.25">
      <c r="A1521" t="s">
        <v>269</v>
      </c>
      <c r="B1521" t="s">
        <v>628</v>
      </c>
    </row>
    <row r="1522" spans="1:2" x14ac:dyDescent="0.25">
      <c r="A1522" t="s">
        <v>272</v>
      </c>
      <c r="B1522" t="s">
        <v>495</v>
      </c>
    </row>
    <row r="1523" spans="1:2" x14ac:dyDescent="0.25">
      <c r="A1523" t="s">
        <v>274</v>
      </c>
      <c r="B1523" t="s">
        <v>363</v>
      </c>
    </row>
    <row r="1524" spans="1:2" x14ac:dyDescent="0.25">
      <c r="A1524" t="s">
        <v>276</v>
      </c>
      <c r="B1524" t="s">
        <v>277</v>
      </c>
    </row>
    <row r="1525" spans="1:2" x14ac:dyDescent="0.25">
      <c r="A1525" t="s">
        <v>278</v>
      </c>
      <c r="B1525" t="s">
        <v>279</v>
      </c>
    </row>
    <row r="1526" spans="1:2" ht="15.75" x14ac:dyDescent="0.25">
      <c r="A1526" s="109" t="s">
        <v>280</v>
      </c>
    </row>
    <row r="1527" spans="1:2" x14ac:dyDescent="0.25">
      <c r="A1527" t="s">
        <v>881</v>
      </c>
    </row>
    <row r="1529" spans="1:2" ht="15.75" x14ac:dyDescent="0.25">
      <c r="A1529" s="109" t="s">
        <v>265</v>
      </c>
      <c r="B1529" s="109" t="s">
        <v>381</v>
      </c>
    </row>
    <row r="1530" spans="1:2" x14ac:dyDescent="0.25">
      <c r="A1530" t="s">
        <v>269</v>
      </c>
      <c r="B1530" t="s">
        <v>632</v>
      </c>
    </row>
    <row r="1531" spans="1:2" x14ac:dyDescent="0.25">
      <c r="A1531" t="s">
        <v>272</v>
      </c>
      <c r="B1531" t="s">
        <v>273</v>
      </c>
    </row>
    <row r="1532" spans="1:2" x14ac:dyDescent="0.25">
      <c r="A1532" t="s">
        <v>274</v>
      </c>
      <c r="B1532" t="s">
        <v>380</v>
      </c>
    </row>
    <row r="1533" spans="1:2" x14ac:dyDescent="0.25">
      <c r="A1533" t="s">
        <v>276</v>
      </c>
      <c r="B1533" t="s">
        <v>277</v>
      </c>
    </row>
    <row r="1534" spans="1:2" x14ac:dyDescent="0.25">
      <c r="A1534" t="s">
        <v>278</v>
      </c>
      <c r="B1534" t="s">
        <v>319</v>
      </c>
    </row>
    <row r="1535" spans="1:2" ht="15.75" x14ac:dyDescent="0.25">
      <c r="A1535" s="109" t="s">
        <v>280</v>
      </c>
    </row>
    <row r="1536" spans="1:2" x14ac:dyDescent="0.25">
      <c r="A1536" t="s">
        <v>881</v>
      </c>
    </row>
    <row r="1538" spans="1:2" ht="15.75" x14ac:dyDescent="0.25">
      <c r="A1538" s="109" t="s">
        <v>265</v>
      </c>
      <c r="B1538" s="109" t="s">
        <v>381</v>
      </c>
    </row>
    <row r="1539" spans="1:2" x14ac:dyDescent="0.25">
      <c r="A1539" t="s">
        <v>269</v>
      </c>
      <c r="B1539" t="s">
        <v>633</v>
      </c>
    </row>
    <row r="1540" spans="1:2" x14ac:dyDescent="0.25">
      <c r="A1540" t="s">
        <v>272</v>
      </c>
      <c r="B1540" t="s">
        <v>634</v>
      </c>
    </row>
    <row r="1541" spans="1:2" x14ac:dyDescent="0.25">
      <c r="A1541" t="s">
        <v>274</v>
      </c>
      <c r="B1541" t="s">
        <v>380</v>
      </c>
    </row>
    <row r="1542" spans="1:2" x14ac:dyDescent="0.25">
      <c r="A1542" t="s">
        <v>276</v>
      </c>
      <c r="B1542" t="s">
        <v>277</v>
      </c>
    </row>
    <row r="1543" spans="1:2" x14ac:dyDescent="0.25">
      <c r="A1543" t="s">
        <v>278</v>
      </c>
      <c r="B1543" t="s">
        <v>319</v>
      </c>
    </row>
    <row r="1544" spans="1:2" ht="15.75" x14ac:dyDescent="0.25">
      <c r="A1544" s="109" t="s">
        <v>280</v>
      </c>
    </row>
    <row r="1545" spans="1:2" x14ac:dyDescent="0.25">
      <c r="A1545" t="s">
        <v>881</v>
      </c>
    </row>
    <row r="1547" spans="1:2" ht="15.75" x14ac:dyDescent="0.25">
      <c r="A1547" s="109" t="s">
        <v>265</v>
      </c>
      <c r="B1547" s="109" t="s">
        <v>381</v>
      </c>
    </row>
    <row r="1548" spans="1:2" x14ac:dyDescent="0.25">
      <c r="A1548" t="s">
        <v>269</v>
      </c>
      <c r="B1548" t="s">
        <v>635</v>
      </c>
    </row>
    <row r="1549" spans="1:2" x14ac:dyDescent="0.25">
      <c r="A1549" t="s">
        <v>272</v>
      </c>
      <c r="B1549" t="s">
        <v>636</v>
      </c>
    </row>
    <row r="1550" spans="1:2" x14ac:dyDescent="0.25">
      <c r="A1550" t="s">
        <v>274</v>
      </c>
      <c r="B1550" t="s">
        <v>380</v>
      </c>
    </row>
    <row r="1551" spans="1:2" x14ac:dyDescent="0.25">
      <c r="A1551" t="s">
        <v>276</v>
      </c>
      <c r="B1551" t="s">
        <v>277</v>
      </c>
    </row>
    <row r="1552" spans="1:2" x14ac:dyDescent="0.25">
      <c r="A1552" t="s">
        <v>278</v>
      </c>
      <c r="B1552" t="s">
        <v>319</v>
      </c>
    </row>
    <row r="1553" spans="1:2" ht="15.75" x14ac:dyDescent="0.25">
      <c r="A1553" s="109" t="s">
        <v>280</v>
      </c>
    </row>
    <row r="1554" spans="1:2" x14ac:dyDescent="0.25">
      <c r="A1554" t="s">
        <v>881</v>
      </c>
    </row>
    <row r="1556" spans="1:2" ht="15.75" x14ac:dyDescent="0.25">
      <c r="A1556" s="109" t="s">
        <v>265</v>
      </c>
      <c r="B1556" s="109" t="s">
        <v>637</v>
      </c>
    </row>
    <row r="1557" spans="1:2" x14ac:dyDescent="0.25">
      <c r="A1557" t="s">
        <v>269</v>
      </c>
      <c r="B1557" t="s">
        <v>638</v>
      </c>
    </row>
    <row r="1558" spans="1:2" x14ac:dyDescent="0.25">
      <c r="A1558" t="s">
        <v>272</v>
      </c>
      <c r="B1558" t="s">
        <v>634</v>
      </c>
    </row>
    <row r="1559" spans="1:2" x14ac:dyDescent="0.25">
      <c r="A1559" t="s">
        <v>274</v>
      </c>
      <c r="B1559" t="s">
        <v>380</v>
      </c>
    </row>
    <row r="1560" spans="1:2" x14ac:dyDescent="0.25">
      <c r="A1560" t="s">
        <v>276</v>
      </c>
      <c r="B1560" t="s">
        <v>277</v>
      </c>
    </row>
    <row r="1561" spans="1:2" x14ac:dyDescent="0.25">
      <c r="A1561" t="s">
        <v>278</v>
      </c>
      <c r="B1561" t="s">
        <v>319</v>
      </c>
    </row>
    <row r="1562" spans="1:2" ht="15.75" x14ac:dyDescent="0.25">
      <c r="A1562" s="109" t="s">
        <v>280</v>
      </c>
    </row>
    <row r="1563" spans="1:2" x14ac:dyDescent="0.25">
      <c r="A1563" t="s">
        <v>881</v>
      </c>
    </row>
    <row r="1565" spans="1:2" ht="15.75" x14ac:dyDescent="0.25">
      <c r="A1565" s="109" t="s">
        <v>265</v>
      </c>
      <c r="B1565" s="109" t="s">
        <v>637</v>
      </c>
    </row>
    <row r="1566" spans="1:2" x14ac:dyDescent="0.25">
      <c r="A1566" t="s">
        <v>269</v>
      </c>
      <c r="B1566" t="s">
        <v>639</v>
      </c>
    </row>
    <row r="1567" spans="1:2" x14ac:dyDescent="0.25">
      <c r="A1567" t="s">
        <v>272</v>
      </c>
      <c r="B1567" t="s">
        <v>636</v>
      </c>
    </row>
    <row r="1568" spans="1:2" x14ac:dyDescent="0.25">
      <c r="A1568" t="s">
        <v>274</v>
      </c>
      <c r="B1568" t="s">
        <v>380</v>
      </c>
    </row>
    <row r="1569" spans="1:2" x14ac:dyDescent="0.25">
      <c r="A1569" t="s">
        <v>276</v>
      </c>
      <c r="B1569" t="s">
        <v>277</v>
      </c>
    </row>
    <row r="1570" spans="1:2" x14ac:dyDescent="0.25">
      <c r="A1570" t="s">
        <v>278</v>
      </c>
      <c r="B1570" t="s">
        <v>319</v>
      </c>
    </row>
    <row r="1571" spans="1:2" ht="15.75" x14ac:dyDescent="0.25">
      <c r="A1571" s="109" t="s">
        <v>280</v>
      </c>
    </row>
    <row r="1572" spans="1:2" x14ac:dyDescent="0.25">
      <c r="A1572" t="s">
        <v>881</v>
      </c>
    </row>
    <row r="1574" spans="1:2" ht="15.75" x14ac:dyDescent="0.25">
      <c r="A1574" s="109" t="s">
        <v>265</v>
      </c>
      <c r="B1574" s="109" t="s">
        <v>637</v>
      </c>
    </row>
    <row r="1575" spans="1:2" x14ac:dyDescent="0.25">
      <c r="A1575" t="s">
        <v>269</v>
      </c>
      <c r="B1575" t="s">
        <v>640</v>
      </c>
    </row>
    <row r="1576" spans="1:2" x14ac:dyDescent="0.25">
      <c r="A1576" t="s">
        <v>272</v>
      </c>
      <c r="B1576" t="s">
        <v>371</v>
      </c>
    </row>
    <row r="1577" spans="1:2" x14ac:dyDescent="0.25">
      <c r="A1577" t="s">
        <v>274</v>
      </c>
      <c r="B1577" t="s">
        <v>380</v>
      </c>
    </row>
    <row r="1578" spans="1:2" x14ac:dyDescent="0.25">
      <c r="A1578" t="s">
        <v>276</v>
      </c>
      <c r="B1578" t="s">
        <v>277</v>
      </c>
    </row>
    <row r="1579" spans="1:2" x14ac:dyDescent="0.25">
      <c r="A1579" t="s">
        <v>278</v>
      </c>
      <c r="B1579" t="s">
        <v>319</v>
      </c>
    </row>
    <row r="1580" spans="1:2" ht="15.75" x14ac:dyDescent="0.25">
      <c r="A1580" s="109" t="s">
        <v>280</v>
      </c>
    </row>
    <row r="1581" spans="1:2" x14ac:dyDescent="0.25">
      <c r="A1581" t="s">
        <v>881</v>
      </c>
    </row>
    <row r="1583" spans="1:2" ht="15.75" x14ac:dyDescent="0.25">
      <c r="A1583" s="109" t="s">
        <v>265</v>
      </c>
      <c r="B1583" s="109" t="s">
        <v>410</v>
      </c>
    </row>
    <row r="1584" spans="1:2" x14ac:dyDescent="0.25">
      <c r="A1584" t="s">
        <v>269</v>
      </c>
      <c r="B1584" t="s">
        <v>647</v>
      </c>
    </row>
    <row r="1585" spans="1:2" x14ac:dyDescent="0.25">
      <c r="A1585" t="s">
        <v>272</v>
      </c>
      <c r="B1585" t="s">
        <v>273</v>
      </c>
    </row>
    <row r="1586" spans="1:2" x14ac:dyDescent="0.25">
      <c r="A1586" t="s">
        <v>274</v>
      </c>
      <c r="B1586" t="s">
        <v>410</v>
      </c>
    </row>
    <row r="1587" spans="1:2" x14ac:dyDescent="0.25">
      <c r="A1587" t="s">
        <v>276</v>
      </c>
      <c r="B1587" t="s">
        <v>277</v>
      </c>
    </row>
    <row r="1588" spans="1:2" x14ac:dyDescent="0.25">
      <c r="A1588" t="s">
        <v>278</v>
      </c>
      <c r="B1588" t="s">
        <v>279</v>
      </c>
    </row>
    <row r="1589" spans="1:2" ht="15.75" x14ac:dyDescent="0.25">
      <c r="A1589" s="109" t="s">
        <v>280</v>
      </c>
    </row>
    <row r="1590" spans="1:2" x14ac:dyDescent="0.25">
      <c r="A1590" t="s">
        <v>881</v>
      </c>
    </row>
    <row r="1592" spans="1:2" ht="15.75" x14ac:dyDescent="0.25">
      <c r="A1592" s="109" t="s">
        <v>265</v>
      </c>
      <c r="B1592" s="109" t="s">
        <v>651</v>
      </c>
    </row>
    <row r="1593" spans="1:2" x14ac:dyDescent="0.25">
      <c r="A1593" t="s">
        <v>269</v>
      </c>
      <c r="B1593" t="s">
        <v>669</v>
      </c>
    </row>
    <row r="1594" spans="1:2" x14ac:dyDescent="0.25">
      <c r="A1594" t="s">
        <v>272</v>
      </c>
      <c r="B1594" t="s">
        <v>305</v>
      </c>
    </row>
    <row r="1595" spans="1:2" x14ac:dyDescent="0.25">
      <c r="A1595" t="s">
        <v>274</v>
      </c>
      <c r="B1595" t="s">
        <v>651</v>
      </c>
    </row>
    <row r="1596" spans="1:2" x14ac:dyDescent="0.25">
      <c r="A1596" t="s">
        <v>276</v>
      </c>
      <c r="B1596" t="s">
        <v>277</v>
      </c>
    </row>
    <row r="1597" spans="1:2" x14ac:dyDescent="0.25">
      <c r="A1597" t="s">
        <v>278</v>
      </c>
      <c r="B1597" t="s">
        <v>323</v>
      </c>
    </row>
    <row r="1598" spans="1:2" ht="15.75" x14ac:dyDescent="0.25">
      <c r="A1598" s="109" t="s">
        <v>280</v>
      </c>
    </row>
    <row r="1599" spans="1:2" x14ac:dyDescent="0.25">
      <c r="A1599" t="s">
        <v>881</v>
      </c>
    </row>
    <row r="1601" spans="1:2" ht="15.75" x14ac:dyDescent="0.25">
      <c r="A1601" s="109" t="s">
        <v>265</v>
      </c>
      <c r="B1601" s="109" t="s">
        <v>670</v>
      </c>
    </row>
    <row r="1602" spans="1:2" x14ac:dyDescent="0.25">
      <c r="A1602" t="s">
        <v>269</v>
      </c>
      <c r="B1602" t="s">
        <v>671</v>
      </c>
    </row>
    <row r="1603" spans="1:2" x14ac:dyDescent="0.25">
      <c r="A1603" t="s">
        <v>272</v>
      </c>
      <c r="B1603" t="s">
        <v>273</v>
      </c>
    </row>
    <row r="1604" spans="1:2" x14ac:dyDescent="0.25">
      <c r="A1604" t="s">
        <v>274</v>
      </c>
      <c r="B1604" t="s">
        <v>672</v>
      </c>
    </row>
    <row r="1605" spans="1:2" x14ac:dyDescent="0.25">
      <c r="A1605" t="s">
        <v>276</v>
      </c>
      <c r="B1605" t="s">
        <v>277</v>
      </c>
    </row>
    <row r="1606" spans="1:2" x14ac:dyDescent="0.25">
      <c r="A1606" t="s">
        <v>278</v>
      </c>
      <c r="B1606" t="s">
        <v>310</v>
      </c>
    </row>
    <row r="1607" spans="1:2" ht="15.75" x14ac:dyDescent="0.25">
      <c r="A1607" s="109" t="s">
        <v>280</v>
      </c>
    </row>
    <row r="1608" spans="1:2" x14ac:dyDescent="0.25">
      <c r="A1608" t="s">
        <v>881</v>
      </c>
    </row>
    <row r="1610" spans="1:2" ht="15.75" x14ac:dyDescent="0.25">
      <c r="A1610" s="109" t="s">
        <v>265</v>
      </c>
      <c r="B1610" s="109" t="s">
        <v>287</v>
      </c>
    </row>
    <row r="1611" spans="1:2" x14ac:dyDescent="0.25">
      <c r="A1611" t="s">
        <v>269</v>
      </c>
      <c r="B1611" t="s">
        <v>673</v>
      </c>
    </row>
    <row r="1612" spans="1:2" x14ac:dyDescent="0.25">
      <c r="A1612" t="s">
        <v>272</v>
      </c>
      <c r="B1612" t="s">
        <v>273</v>
      </c>
    </row>
    <row r="1613" spans="1:2" x14ac:dyDescent="0.25">
      <c r="A1613" t="s">
        <v>274</v>
      </c>
      <c r="B1613" t="s">
        <v>289</v>
      </c>
    </row>
    <row r="1614" spans="1:2" x14ac:dyDescent="0.25">
      <c r="A1614" t="s">
        <v>276</v>
      </c>
      <c r="B1614" t="s">
        <v>277</v>
      </c>
    </row>
    <row r="1615" spans="1:2" x14ac:dyDescent="0.25">
      <c r="A1615" t="s">
        <v>278</v>
      </c>
      <c r="B1615" t="s">
        <v>279</v>
      </c>
    </row>
    <row r="1616" spans="1:2" ht="15.75" x14ac:dyDescent="0.25">
      <c r="A1616" s="109" t="s">
        <v>280</v>
      </c>
    </row>
    <row r="1617" spans="1:2" x14ac:dyDescent="0.25">
      <c r="A1617" t="s">
        <v>881</v>
      </c>
    </row>
    <row r="1619" spans="1:2" ht="15.75" x14ac:dyDescent="0.25">
      <c r="A1619" s="109" t="s">
        <v>265</v>
      </c>
      <c r="B1619" s="109" t="s">
        <v>364</v>
      </c>
    </row>
    <row r="1620" spans="1:2" x14ac:dyDescent="0.25">
      <c r="A1620" t="s">
        <v>269</v>
      </c>
      <c r="B1620" t="s">
        <v>674</v>
      </c>
    </row>
    <row r="1621" spans="1:2" x14ac:dyDescent="0.25">
      <c r="A1621" t="s">
        <v>272</v>
      </c>
      <c r="B1621" t="s">
        <v>273</v>
      </c>
    </row>
    <row r="1622" spans="1:2" x14ac:dyDescent="0.25">
      <c r="A1622" t="s">
        <v>274</v>
      </c>
      <c r="B1622" t="s">
        <v>365</v>
      </c>
    </row>
    <row r="1623" spans="1:2" x14ac:dyDescent="0.25">
      <c r="A1623" t="s">
        <v>276</v>
      </c>
      <c r="B1623" t="s">
        <v>277</v>
      </c>
    </row>
    <row r="1624" spans="1:2" x14ac:dyDescent="0.25">
      <c r="A1624" t="s">
        <v>278</v>
      </c>
      <c r="B1624" t="s">
        <v>279</v>
      </c>
    </row>
    <row r="1625" spans="1:2" ht="15.75" x14ac:dyDescent="0.25">
      <c r="A1625" s="109" t="s">
        <v>280</v>
      </c>
    </row>
    <row r="1626" spans="1:2" x14ac:dyDescent="0.25">
      <c r="A1626" t="s">
        <v>881</v>
      </c>
    </row>
    <row r="1628" spans="1:2" ht="15.75" x14ac:dyDescent="0.25">
      <c r="A1628" s="109" t="s">
        <v>265</v>
      </c>
      <c r="B1628" s="109" t="s">
        <v>290</v>
      </c>
    </row>
    <row r="1629" spans="1:2" x14ac:dyDescent="0.25">
      <c r="A1629" t="s">
        <v>269</v>
      </c>
      <c r="B1629" t="s">
        <v>681</v>
      </c>
    </row>
    <row r="1630" spans="1:2" x14ac:dyDescent="0.25">
      <c r="A1630" t="s">
        <v>272</v>
      </c>
      <c r="B1630" t="s">
        <v>273</v>
      </c>
    </row>
    <row r="1631" spans="1:2" x14ac:dyDescent="0.25">
      <c r="A1631" t="s">
        <v>274</v>
      </c>
      <c r="B1631" t="s">
        <v>291</v>
      </c>
    </row>
    <row r="1632" spans="1:2" x14ac:dyDescent="0.25">
      <c r="A1632" t="s">
        <v>276</v>
      </c>
      <c r="B1632" t="s">
        <v>277</v>
      </c>
    </row>
    <row r="1633" spans="1:2" x14ac:dyDescent="0.25">
      <c r="A1633" t="s">
        <v>278</v>
      </c>
      <c r="B1633" t="s">
        <v>279</v>
      </c>
    </row>
    <row r="1634" spans="1:2" ht="15.75" x14ac:dyDescent="0.25">
      <c r="A1634" s="109" t="s">
        <v>280</v>
      </c>
    </row>
    <row r="1635" spans="1:2" x14ac:dyDescent="0.25">
      <c r="A1635" t="s">
        <v>881</v>
      </c>
    </row>
    <row r="1637" spans="1:2" ht="15.75" x14ac:dyDescent="0.25">
      <c r="A1637" s="109" t="s">
        <v>265</v>
      </c>
      <c r="B1637" s="109" t="s">
        <v>886</v>
      </c>
    </row>
    <row r="1638" spans="1:2" x14ac:dyDescent="0.25">
      <c r="A1638" t="s">
        <v>269</v>
      </c>
      <c r="B1638" t="s">
        <v>887</v>
      </c>
    </row>
    <row r="1639" spans="1:2" x14ac:dyDescent="0.25">
      <c r="A1639" t="s">
        <v>272</v>
      </c>
      <c r="B1639" t="s">
        <v>273</v>
      </c>
    </row>
    <row r="1640" spans="1:2" x14ac:dyDescent="0.25">
      <c r="A1640" t="s">
        <v>274</v>
      </c>
      <c r="B1640" t="s">
        <v>552</v>
      </c>
    </row>
    <row r="1641" spans="1:2" x14ac:dyDescent="0.25">
      <c r="A1641" t="s">
        <v>276</v>
      </c>
      <c r="B1641" t="s">
        <v>277</v>
      </c>
    </row>
    <row r="1642" spans="1:2" x14ac:dyDescent="0.25">
      <c r="A1642" t="s">
        <v>278</v>
      </c>
      <c r="B1642" t="s">
        <v>279</v>
      </c>
    </row>
    <row r="1643" spans="1:2" ht="15.75" x14ac:dyDescent="0.25">
      <c r="A1643" s="109" t="s">
        <v>280</v>
      </c>
    </row>
    <row r="1644" spans="1:2" x14ac:dyDescent="0.25">
      <c r="A1644" t="s">
        <v>881</v>
      </c>
    </row>
    <row r="1646" spans="1:2" ht="15.75" x14ac:dyDescent="0.25">
      <c r="A1646" s="109" t="s">
        <v>265</v>
      </c>
      <c r="B1646" s="109" t="s">
        <v>382</v>
      </c>
    </row>
    <row r="1647" spans="1:2" x14ac:dyDescent="0.25">
      <c r="A1647" t="s">
        <v>269</v>
      </c>
      <c r="B1647" t="s">
        <v>686</v>
      </c>
    </row>
    <row r="1648" spans="1:2" x14ac:dyDescent="0.25">
      <c r="A1648" t="s">
        <v>272</v>
      </c>
      <c r="B1648" t="s">
        <v>273</v>
      </c>
    </row>
    <row r="1649" spans="1:2" x14ac:dyDescent="0.25">
      <c r="A1649" t="s">
        <v>274</v>
      </c>
      <c r="B1649" t="s">
        <v>383</v>
      </c>
    </row>
    <row r="1650" spans="1:2" x14ac:dyDescent="0.25">
      <c r="A1650" t="s">
        <v>276</v>
      </c>
      <c r="B1650" t="s">
        <v>277</v>
      </c>
    </row>
    <row r="1651" spans="1:2" x14ac:dyDescent="0.25">
      <c r="A1651" t="s">
        <v>278</v>
      </c>
      <c r="B1651" t="s">
        <v>279</v>
      </c>
    </row>
    <row r="1652" spans="1:2" ht="15.75" x14ac:dyDescent="0.25">
      <c r="A1652" s="109" t="s">
        <v>280</v>
      </c>
    </row>
    <row r="1653" spans="1:2" x14ac:dyDescent="0.25">
      <c r="A1653" t="s">
        <v>881</v>
      </c>
    </row>
    <row r="1655" spans="1:2" ht="15.75" x14ac:dyDescent="0.25">
      <c r="A1655" s="109" t="s">
        <v>265</v>
      </c>
      <c r="B1655" s="109" t="s">
        <v>622</v>
      </c>
    </row>
    <row r="1656" spans="1:2" x14ac:dyDescent="0.25">
      <c r="A1656" t="s">
        <v>269</v>
      </c>
      <c r="B1656" t="s">
        <v>695</v>
      </c>
    </row>
    <row r="1657" spans="1:2" x14ac:dyDescent="0.25">
      <c r="A1657" t="s">
        <v>272</v>
      </c>
      <c r="B1657" t="s">
        <v>273</v>
      </c>
    </row>
    <row r="1658" spans="1:2" x14ac:dyDescent="0.25">
      <c r="A1658" t="s">
        <v>274</v>
      </c>
      <c r="B1658" t="s">
        <v>544</v>
      </c>
    </row>
    <row r="1659" spans="1:2" x14ac:dyDescent="0.25">
      <c r="A1659" t="s">
        <v>276</v>
      </c>
      <c r="B1659" t="s">
        <v>277</v>
      </c>
    </row>
    <row r="1660" spans="1:2" x14ac:dyDescent="0.25">
      <c r="A1660" t="s">
        <v>278</v>
      </c>
      <c r="B1660" t="s">
        <v>279</v>
      </c>
    </row>
    <row r="1661" spans="1:2" ht="15.75" x14ac:dyDescent="0.25">
      <c r="A1661" s="109" t="s">
        <v>280</v>
      </c>
    </row>
    <row r="1662" spans="1:2" x14ac:dyDescent="0.25">
      <c r="A1662" t="s">
        <v>881</v>
      </c>
    </row>
    <row r="1664" spans="1:2" ht="15.75" x14ac:dyDescent="0.25">
      <c r="A1664" s="109" t="s">
        <v>265</v>
      </c>
      <c r="B1664" s="109" t="s">
        <v>659</v>
      </c>
    </row>
    <row r="1665" spans="1:2" x14ac:dyDescent="0.25">
      <c r="A1665" t="s">
        <v>269</v>
      </c>
      <c r="B1665" t="s">
        <v>716</v>
      </c>
    </row>
    <row r="1666" spans="1:2" x14ac:dyDescent="0.25">
      <c r="A1666" t="s">
        <v>272</v>
      </c>
      <c r="B1666" t="s">
        <v>273</v>
      </c>
    </row>
    <row r="1667" spans="1:2" x14ac:dyDescent="0.25">
      <c r="A1667" t="s">
        <v>274</v>
      </c>
      <c r="B1667" t="s">
        <v>660</v>
      </c>
    </row>
    <row r="1668" spans="1:2" x14ac:dyDescent="0.25">
      <c r="A1668" t="s">
        <v>276</v>
      </c>
      <c r="B1668" t="s">
        <v>277</v>
      </c>
    </row>
    <row r="1669" spans="1:2" x14ac:dyDescent="0.25">
      <c r="A1669" t="s">
        <v>278</v>
      </c>
      <c r="B1669" t="s">
        <v>310</v>
      </c>
    </row>
    <row r="1670" spans="1:2" ht="15.75" x14ac:dyDescent="0.25">
      <c r="A1670" s="109" t="s">
        <v>280</v>
      </c>
    </row>
    <row r="1671" spans="1:2" x14ac:dyDescent="0.25">
      <c r="A1671" t="s">
        <v>881</v>
      </c>
    </row>
    <row r="1673" spans="1:2" ht="15.75" x14ac:dyDescent="0.25">
      <c r="A1673" s="109" t="s">
        <v>265</v>
      </c>
      <c r="B1673" s="109" t="s">
        <v>659</v>
      </c>
    </row>
    <row r="1674" spans="1:2" x14ac:dyDescent="0.25">
      <c r="A1674" t="s">
        <v>269</v>
      </c>
      <c r="B1674" t="s">
        <v>718</v>
      </c>
    </row>
    <row r="1675" spans="1:2" x14ac:dyDescent="0.25">
      <c r="A1675" t="s">
        <v>272</v>
      </c>
      <c r="B1675" t="s">
        <v>634</v>
      </c>
    </row>
    <row r="1676" spans="1:2" x14ac:dyDescent="0.25">
      <c r="A1676" t="s">
        <v>274</v>
      </c>
      <c r="B1676" t="s">
        <v>660</v>
      </c>
    </row>
    <row r="1677" spans="1:2" x14ac:dyDescent="0.25">
      <c r="A1677" t="s">
        <v>276</v>
      </c>
      <c r="B1677" t="s">
        <v>277</v>
      </c>
    </row>
    <row r="1678" spans="1:2" x14ac:dyDescent="0.25">
      <c r="A1678" t="s">
        <v>278</v>
      </c>
      <c r="B1678" t="s">
        <v>310</v>
      </c>
    </row>
    <row r="1679" spans="1:2" ht="15.75" x14ac:dyDescent="0.25">
      <c r="A1679" s="109" t="s">
        <v>280</v>
      </c>
    </row>
    <row r="1680" spans="1:2" x14ac:dyDescent="0.25">
      <c r="A1680" t="s">
        <v>881</v>
      </c>
    </row>
    <row r="1682" spans="1:2" ht="15.75" x14ac:dyDescent="0.25">
      <c r="A1682" s="109" t="s">
        <v>265</v>
      </c>
      <c r="B1682" s="109" t="s">
        <v>659</v>
      </c>
    </row>
    <row r="1683" spans="1:2" x14ac:dyDescent="0.25">
      <c r="A1683" t="s">
        <v>269</v>
      </c>
      <c r="B1683" t="s">
        <v>719</v>
      </c>
    </row>
    <row r="1684" spans="1:2" x14ac:dyDescent="0.25">
      <c r="A1684" t="s">
        <v>272</v>
      </c>
      <c r="B1684" t="s">
        <v>636</v>
      </c>
    </row>
    <row r="1685" spans="1:2" x14ac:dyDescent="0.25">
      <c r="A1685" t="s">
        <v>274</v>
      </c>
      <c r="B1685" t="s">
        <v>660</v>
      </c>
    </row>
    <row r="1686" spans="1:2" x14ac:dyDescent="0.25">
      <c r="A1686" t="s">
        <v>276</v>
      </c>
      <c r="B1686" t="s">
        <v>277</v>
      </c>
    </row>
    <row r="1687" spans="1:2" x14ac:dyDescent="0.25">
      <c r="A1687" t="s">
        <v>278</v>
      </c>
      <c r="B1687" t="s">
        <v>310</v>
      </c>
    </row>
    <row r="1688" spans="1:2" ht="15.75" x14ac:dyDescent="0.25">
      <c r="A1688" s="109" t="s">
        <v>280</v>
      </c>
    </row>
    <row r="1689" spans="1:2" x14ac:dyDescent="0.25">
      <c r="A1689" t="s">
        <v>881</v>
      </c>
    </row>
    <row r="1691" spans="1:2" ht="15.75" x14ac:dyDescent="0.25">
      <c r="A1691" s="109" t="s">
        <v>265</v>
      </c>
      <c r="B1691" s="109" t="s">
        <v>242</v>
      </c>
    </row>
    <row r="1692" spans="1:2" x14ac:dyDescent="0.25">
      <c r="A1692" t="s">
        <v>269</v>
      </c>
      <c r="B1692" t="s">
        <v>730</v>
      </c>
    </row>
    <row r="1693" spans="1:2" x14ac:dyDescent="0.25">
      <c r="A1693" t="s">
        <v>272</v>
      </c>
      <c r="B1693" t="s">
        <v>273</v>
      </c>
    </row>
    <row r="1694" spans="1:2" x14ac:dyDescent="0.25">
      <c r="A1694" t="s">
        <v>274</v>
      </c>
      <c r="B1694" t="s">
        <v>578</v>
      </c>
    </row>
    <row r="1695" spans="1:2" x14ac:dyDescent="0.25">
      <c r="A1695" t="s">
        <v>276</v>
      </c>
      <c r="B1695" t="s">
        <v>277</v>
      </c>
    </row>
    <row r="1696" spans="1:2" x14ac:dyDescent="0.25">
      <c r="A1696" t="s">
        <v>278</v>
      </c>
      <c r="B1696" t="s">
        <v>279</v>
      </c>
    </row>
    <row r="1697" spans="1:2" ht="15.75" x14ac:dyDescent="0.25">
      <c r="A1697" s="109" t="s">
        <v>280</v>
      </c>
    </row>
    <row r="1698" spans="1:2" x14ac:dyDescent="0.25">
      <c r="A1698" t="s">
        <v>881</v>
      </c>
    </row>
    <row r="1700" spans="1:2" ht="15.75" x14ac:dyDescent="0.25">
      <c r="A1700" s="109" t="s">
        <v>265</v>
      </c>
      <c r="B1700" s="109" t="s">
        <v>392</v>
      </c>
    </row>
    <row r="1701" spans="1:2" x14ac:dyDescent="0.25">
      <c r="A1701" t="s">
        <v>269</v>
      </c>
      <c r="B1701" t="s">
        <v>731</v>
      </c>
    </row>
    <row r="1702" spans="1:2" x14ac:dyDescent="0.25">
      <c r="A1702" t="s">
        <v>272</v>
      </c>
      <c r="B1702" t="s">
        <v>273</v>
      </c>
    </row>
    <row r="1703" spans="1:2" x14ac:dyDescent="0.25">
      <c r="A1703" t="s">
        <v>274</v>
      </c>
      <c r="B1703" t="s">
        <v>393</v>
      </c>
    </row>
    <row r="1704" spans="1:2" x14ac:dyDescent="0.25">
      <c r="A1704" t="s">
        <v>276</v>
      </c>
      <c r="B1704" t="s">
        <v>277</v>
      </c>
    </row>
    <row r="1705" spans="1:2" x14ac:dyDescent="0.25">
      <c r="A1705" t="s">
        <v>278</v>
      </c>
      <c r="B1705" t="s">
        <v>279</v>
      </c>
    </row>
    <row r="1706" spans="1:2" ht="15.75" x14ac:dyDescent="0.25">
      <c r="A1706" s="109" t="s">
        <v>280</v>
      </c>
    </row>
    <row r="1707" spans="1:2" x14ac:dyDescent="0.25">
      <c r="A1707" t="s">
        <v>881</v>
      </c>
    </row>
    <row r="1709" spans="1:2" ht="15.75" x14ac:dyDescent="0.25">
      <c r="A1709" s="109" t="s">
        <v>265</v>
      </c>
      <c r="B1709" s="109" t="s">
        <v>304</v>
      </c>
    </row>
    <row r="1710" spans="1:2" x14ac:dyDescent="0.25">
      <c r="A1710" t="s">
        <v>269</v>
      </c>
      <c r="B1710" t="s">
        <v>749</v>
      </c>
    </row>
    <row r="1711" spans="1:2" x14ac:dyDescent="0.25">
      <c r="A1711" t="s">
        <v>272</v>
      </c>
      <c r="B1711" t="s">
        <v>273</v>
      </c>
    </row>
    <row r="1712" spans="1:2" x14ac:dyDescent="0.25">
      <c r="A1712" t="s">
        <v>274</v>
      </c>
      <c r="B1712" t="s">
        <v>306</v>
      </c>
    </row>
    <row r="1713" spans="1:2" x14ac:dyDescent="0.25">
      <c r="A1713" t="s">
        <v>276</v>
      </c>
      <c r="B1713" t="s">
        <v>277</v>
      </c>
    </row>
    <row r="1714" spans="1:2" x14ac:dyDescent="0.25">
      <c r="A1714" t="s">
        <v>278</v>
      </c>
      <c r="B1714" t="s">
        <v>279</v>
      </c>
    </row>
    <row r="1715" spans="1:2" ht="15.75" x14ac:dyDescent="0.25">
      <c r="A1715" s="109" t="s">
        <v>280</v>
      </c>
    </row>
    <row r="1716" spans="1:2" x14ac:dyDescent="0.25">
      <c r="A1716" t="s">
        <v>881</v>
      </c>
    </row>
    <row r="1718" spans="1:2" ht="15.75" x14ac:dyDescent="0.25">
      <c r="A1718" s="109" t="s">
        <v>265</v>
      </c>
      <c r="B1718" s="109" t="s">
        <v>699</v>
      </c>
    </row>
    <row r="1719" spans="1:2" x14ac:dyDescent="0.25">
      <c r="A1719" t="s">
        <v>269</v>
      </c>
      <c r="B1719" t="s">
        <v>764</v>
      </c>
    </row>
    <row r="1720" spans="1:2" x14ac:dyDescent="0.25">
      <c r="A1720" t="s">
        <v>272</v>
      </c>
      <c r="B1720" t="s">
        <v>353</v>
      </c>
    </row>
    <row r="1721" spans="1:2" x14ac:dyDescent="0.25">
      <c r="A1721" t="s">
        <v>274</v>
      </c>
      <c r="B1721" t="s">
        <v>698</v>
      </c>
    </row>
    <row r="1722" spans="1:2" x14ac:dyDescent="0.25">
      <c r="A1722" t="s">
        <v>276</v>
      </c>
      <c r="B1722" t="s">
        <v>277</v>
      </c>
    </row>
    <row r="1723" spans="1:2" x14ac:dyDescent="0.25">
      <c r="A1723" t="s">
        <v>278</v>
      </c>
      <c r="B1723" t="s">
        <v>279</v>
      </c>
    </row>
    <row r="1724" spans="1:2" ht="15.75" x14ac:dyDescent="0.25">
      <c r="A1724" s="109" t="s">
        <v>280</v>
      </c>
    </row>
    <row r="1725" spans="1:2" x14ac:dyDescent="0.25">
      <c r="A1725" t="s">
        <v>881</v>
      </c>
    </row>
    <row r="1727" spans="1:2" ht="15.75" x14ac:dyDescent="0.25">
      <c r="A1727" s="109" t="s">
        <v>265</v>
      </c>
      <c r="B1727" s="109" t="s">
        <v>702</v>
      </c>
    </row>
    <row r="1728" spans="1:2" x14ac:dyDescent="0.25">
      <c r="A1728" t="s">
        <v>269</v>
      </c>
      <c r="B1728" t="s">
        <v>765</v>
      </c>
    </row>
    <row r="1729" spans="1:2" x14ac:dyDescent="0.25">
      <c r="A1729" t="s">
        <v>272</v>
      </c>
      <c r="B1729" t="s">
        <v>273</v>
      </c>
    </row>
    <row r="1730" spans="1:2" x14ac:dyDescent="0.25">
      <c r="A1730" t="s">
        <v>274</v>
      </c>
      <c r="B1730" t="s">
        <v>701</v>
      </c>
    </row>
    <row r="1731" spans="1:2" x14ac:dyDescent="0.25">
      <c r="A1731" t="s">
        <v>276</v>
      </c>
      <c r="B1731" t="s">
        <v>277</v>
      </c>
    </row>
    <row r="1732" spans="1:2" x14ac:dyDescent="0.25">
      <c r="A1732" t="s">
        <v>278</v>
      </c>
      <c r="B1732" t="s">
        <v>310</v>
      </c>
    </row>
    <row r="1733" spans="1:2" ht="15.75" x14ac:dyDescent="0.25">
      <c r="A1733" s="109" t="s">
        <v>280</v>
      </c>
    </row>
    <row r="1734" spans="1:2" x14ac:dyDescent="0.25">
      <c r="A1734" t="s">
        <v>881</v>
      </c>
    </row>
    <row r="1736" spans="1:2" ht="15.75" x14ac:dyDescent="0.25">
      <c r="A1736" s="109" t="s">
        <v>265</v>
      </c>
      <c r="B1736" s="109" t="s">
        <v>702</v>
      </c>
    </row>
    <row r="1737" spans="1:2" x14ac:dyDescent="0.25">
      <c r="A1737" t="s">
        <v>269</v>
      </c>
      <c r="B1737" t="s">
        <v>766</v>
      </c>
    </row>
    <row r="1738" spans="1:2" x14ac:dyDescent="0.25">
      <c r="A1738" t="s">
        <v>272</v>
      </c>
      <c r="B1738" t="s">
        <v>636</v>
      </c>
    </row>
    <row r="1739" spans="1:2" x14ac:dyDescent="0.25">
      <c r="A1739" t="s">
        <v>274</v>
      </c>
      <c r="B1739" t="s">
        <v>701</v>
      </c>
    </row>
    <row r="1740" spans="1:2" x14ac:dyDescent="0.25">
      <c r="A1740" t="s">
        <v>276</v>
      </c>
      <c r="B1740" t="s">
        <v>277</v>
      </c>
    </row>
    <row r="1741" spans="1:2" x14ac:dyDescent="0.25">
      <c r="A1741" t="s">
        <v>278</v>
      </c>
      <c r="B1741" t="s">
        <v>310</v>
      </c>
    </row>
    <row r="1742" spans="1:2" ht="15.75" x14ac:dyDescent="0.25">
      <c r="A1742" s="109" t="s">
        <v>280</v>
      </c>
    </row>
    <row r="1743" spans="1:2" x14ac:dyDescent="0.25">
      <c r="A1743" t="s">
        <v>881</v>
      </c>
    </row>
    <row r="1745" spans="1:2" ht="15.75" x14ac:dyDescent="0.25">
      <c r="A1745" s="109" t="s">
        <v>265</v>
      </c>
      <c r="B1745" s="109" t="s">
        <v>769</v>
      </c>
    </row>
    <row r="1746" spans="1:2" x14ac:dyDescent="0.25">
      <c r="A1746" t="s">
        <v>269</v>
      </c>
      <c r="B1746" t="s">
        <v>770</v>
      </c>
    </row>
    <row r="1747" spans="1:2" x14ac:dyDescent="0.25">
      <c r="A1747" t="s">
        <v>272</v>
      </c>
      <c r="B1747" t="s">
        <v>353</v>
      </c>
    </row>
    <row r="1748" spans="1:2" x14ac:dyDescent="0.25">
      <c r="A1748" t="s">
        <v>274</v>
      </c>
      <c r="B1748" t="s">
        <v>523</v>
      </c>
    </row>
    <row r="1749" spans="1:2" x14ac:dyDescent="0.25">
      <c r="A1749" t="s">
        <v>276</v>
      </c>
      <c r="B1749" t="s">
        <v>277</v>
      </c>
    </row>
    <row r="1750" spans="1:2" x14ac:dyDescent="0.25">
      <c r="A1750" t="s">
        <v>278</v>
      </c>
      <c r="B1750" t="s">
        <v>279</v>
      </c>
    </row>
    <row r="1751" spans="1:2" ht="15.75" x14ac:dyDescent="0.25">
      <c r="A1751" s="109" t="s">
        <v>280</v>
      </c>
    </row>
    <row r="1752" spans="1:2" x14ac:dyDescent="0.25">
      <c r="A1752" t="s">
        <v>881</v>
      </c>
    </row>
    <row r="1754" spans="1:2" ht="15.75" x14ac:dyDescent="0.25">
      <c r="A1754" s="109" t="s">
        <v>265</v>
      </c>
      <c r="B1754" s="109" t="s">
        <v>530</v>
      </c>
    </row>
    <row r="1755" spans="1:2" x14ac:dyDescent="0.25">
      <c r="A1755" t="s">
        <v>269</v>
      </c>
      <c r="B1755" t="s">
        <v>771</v>
      </c>
    </row>
    <row r="1756" spans="1:2" x14ac:dyDescent="0.25">
      <c r="A1756" t="s">
        <v>272</v>
      </c>
      <c r="B1756" t="s">
        <v>273</v>
      </c>
    </row>
    <row r="1757" spans="1:2" x14ac:dyDescent="0.25">
      <c r="A1757" t="s">
        <v>274</v>
      </c>
      <c r="B1757" t="s">
        <v>531</v>
      </c>
    </row>
    <row r="1758" spans="1:2" x14ac:dyDescent="0.25">
      <c r="A1758" t="s">
        <v>276</v>
      </c>
      <c r="B1758" t="s">
        <v>277</v>
      </c>
    </row>
    <row r="1759" spans="1:2" x14ac:dyDescent="0.25">
      <c r="A1759" t="s">
        <v>278</v>
      </c>
      <c r="B1759" t="s">
        <v>310</v>
      </c>
    </row>
    <row r="1760" spans="1:2" ht="15.75" x14ac:dyDescent="0.25">
      <c r="A1760" s="109" t="s">
        <v>280</v>
      </c>
    </row>
    <row r="1761" spans="1:2" x14ac:dyDescent="0.25">
      <c r="A1761" t="s">
        <v>881</v>
      </c>
    </row>
    <row r="1763" spans="1:2" ht="15.75" x14ac:dyDescent="0.25">
      <c r="A1763" s="109" t="s">
        <v>265</v>
      </c>
      <c r="B1763" s="109" t="s">
        <v>705</v>
      </c>
    </row>
    <row r="1764" spans="1:2" x14ac:dyDescent="0.25">
      <c r="A1764" t="s">
        <v>269</v>
      </c>
      <c r="B1764" t="s">
        <v>772</v>
      </c>
    </row>
    <row r="1765" spans="1:2" x14ac:dyDescent="0.25">
      <c r="A1765" t="s">
        <v>272</v>
      </c>
      <c r="B1765" t="s">
        <v>273</v>
      </c>
    </row>
    <row r="1766" spans="1:2" x14ac:dyDescent="0.25">
      <c r="A1766" t="s">
        <v>274</v>
      </c>
      <c r="B1766" t="s">
        <v>704</v>
      </c>
    </row>
    <row r="1767" spans="1:2" x14ac:dyDescent="0.25">
      <c r="A1767" t="s">
        <v>276</v>
      </c>
      <c r="B1767" t="s">
        <v>277</v>
      </c>
    </row>
    <row r="1768" spans="1:2" x14ac:dyDescent="0.25">
      <c r="A1768" t="s">
        <v>278</v>
      </c>
      <c r="B1768" t="s">
        <v>310</v>
      </c>
    </row>
    <row r="1769" spans="1:2" ht="15.75" x14ac:dyDescent="0.25">
      <c r="A1769" s="109" t="s">
        <v>280</v>
      </c>
    </row>
    <row r="1770" spans="1:2" x14ac:dyDescent="0.25">
      <c r="A1770" t="s">
        <v>881</v>
      </c>
    </row>
    <row r="1772" spans="1:2" ht="15.75" x14ac:dyDescent="0.25">
      <c r="A1772" s="109" t="s">
        <v>265</v>
      </c>
      <c r="B1772" s="109" t="s">
        <v>705</v>
      </c>
    </row>
    <row r="1773" spans="1:2" x14ac:dyDescent="0.25">
      <c r="A1773" t="s">
        <v>269</v>
      </c>
      <c r="B1773" t="s">
        <v>773</v>
      </c>
    </row>
    <row r="1774" spans="1:2" x14ac:dyDescent="0.25">
      <c r="A1774" t="s">
        <v>272</v>
      </c>
      <c r="B1774" t="s">
        <v>634</v>
      </c>
    </row>
    <row r="1775" spans="1:2" x14ac:dyDescent="0.25">
      <c r="A1775" t="s">
        <v>274</v>
      </c>
      <c r="B1775" t="s">
        <v>704</v>
      </c>
    </row>
    <row r="1776" spans="1:2" x14ac:dyDescent="0.25">
      <c r="A1776" t="s">
        <v>276</v>
      </c>
      <c r="B1776" t="s">
        <v>277</v>
      </c>
    </row>
    <row r="1777" spans="1:2" x14ac:dyDescent="0.25">
      <c r="A1777" t="s">
        <v>278</v>
      </c>
      <c r="B1777" t="s">
        <v>310</v>
      </c>
    </row>
    <row r="1778" spans="1:2" ht="15.75" x14ac:dyDescent="0.25">
      <c r="A1778" s="109" t="s">
        <v>280</v>
      </c>
    </row>
    <row r="1779" spans="1:2" x14ac:dyDescent="0.25">
      <c r="A1779" t="s">
        <v>881</v>
      </c>
    </row>
    <row r="1781" spans="1:2" ht="15.75" x14ac:dyDescent="0.25">
      <c r="A1781" s="109" t="s">
        <v>265</v>
      </c>
      <c r="B1781" s="109" t="s">
        <v>708</v>
      </c>
    </row>
    <row r="1782" spans="1:2" x14ac:dyDescent="0.25">
      <c r="A1782" t="s">
        <v>269</v>
      </c>
      <c r="B1782" t="s">
        <v>775</v>
      </c>
    </row>
    <row r="1783" spans="1:2" x14ac:dyDescent="0.25">
      <c r="A1783" t="s">
        <v>272</v>
      </c>
      <c r="B1783" t="s">
        <v>371</v>
      </c>
    </row>
    <row r="1784" spans="1:2" x14ac:dyDescent="0.25">
      <c r="A1784" t="s">
        <v>274</v>
      </c>
      <c r="B1784" t="s">
        <v>708</v>
      </c>
    </row>
    <row r="1785" spans="1:2" x14ac:dyDescent="0.25">
      <c r="A1785" t="s">
        <v>276</v>
      </c>
      <c r="B1785" t="s">
        <v>277</v>
      </c>
    </row>
    <row r="1786" spans="1:2" x14ac:dyDescent="0.25">
      <c r="A1786" t="s">
        <v>278</v>
      </c>
      <c r="B1786" t="s">
        <v>279</v>
      </c>
    </row>
    <row r="1787" spans="1:2" ht="15.75" x14ac:dyDescent="0.25">
      <c r="A1787" s="109" t="s">
        <v>280</v>
      </c>
    </row>
    <row r="1788" spans="1:2" x14ac:dyDescent="0.25">
      <c r="A1788" t="s">
        <v>881</v>
      </c>
    </row>
    <row r="1790" spans="1:2" ht="15.75" x14ac:dyDescent="0.25">
      <c r="A1790" s="109" t="s">
        <v>265</v>
      </c>
      <c r="B1790" s="109" t="s">
        <v>708</v>
      </c>
    </row>
    <row r="1791" spans="1:2" x14ac:dyDescent="0.25">
      <c r="A1791" t="s">
        <v>269</v>
      </c>
      <c r="B1791" t="s">
        <v>776</v>
      </c>
    </row>
    <row r="1792" spans="1:2" x14ac:dyDescent="0.25">
      <c r="A1792" t="s">
        <v>272</v>
      </c>
      <c r="B1792" t="s">
        <v>327</v>
      </c>
    </row>
    <row r="1793" spans="1:2" x14ac:dyDescent="0.25">
      <c r="A1793" t="s">
        <v>274</v>
      </c>
      <c r="B1793" t="s">
        <v>708</v>
      </c>
    </row>
    <row r="1794" spans="1:2" x14ac:dyDescent="0.25">
      <c r="A1794" t="s">
        <v>276</v>
      </c>
      <c r="B1794" t="s">
        <v>277</v>
      </c>
    </row>
    <row r="1795" spans="1:2" x14ac:dyDescent="0.25">
      <c r="A1795" t="s">
        <v>278</v>
      </c>
      <c r="B1795" t="s">
        <v>279</v>
      </c>
    </row>
    <row r="1796" spans="1:2" ht="15.75" x14ac:dyDescent="0.25">
      <c r="A1796" s="109" t="s">
        <v>280</v>
      </c>
    </row>
    <row r="1797" spans="1:2" x14ac:dyDescent="0.25">
      <c r="A1797" t="s">
        <v>881</v>
      </c>
    </row>
    <row r="1799" spans="1:2" ht="15.75" x14ac:dyDescent="0.25">
      <c r="A1799" s="109" t="s">
        <v>265</v>
      </c>
      <c r="B1799" s="109" t="s">
        <v>711</v>
      </c>
    </row>
    <row r="1800" spans="1:2" x14ac:dyDescent="0.25">
      <c r="A1800" t="s">
        <v>269</v>
      </c>
      <c r="B1800" t="s">
        <v>784</v>
      </c>
    </row>
    <row r="1801" spans="1:2" x14ac:dyDescent="0.25">
      <c r="A1801" t="s">
        <v>272</v>
      </c>
      <c r="B1801" t="s">
        <v>371</v>
      </c>
    </row>
    <row r="1802" spans="1:2" x14ac:dyDescent="0.25">
      <c r="A1802" t="s">
        <v>274</v>
      </c>
      <c r="B1802" t="s">
        <v>710</v>
      </c>
    </row>
    <row r="1803" spans="1:2" x14ac:dyDescent="0.25">
      <c r="A1803" t="s">
        <v>276</v>
      </c>
      <c r="B1803" t="s">
        <v>277</v>
      </c>
    </row>
    <row r="1804" spans="1:2" x14ac:dyDescent="0.25">
      <c r="A1804" t="s">
        <v>278</v>
      </c>
      <c r="B1804" t="s">
        <v>279</v>
      </c>
    </row>
    <row r="1805" spans="1:2" ht="15.75" x14ac:dyDescent="0.25">
      <c r="A1805" s="109" t="s">
        <v>280</v>
      </c>
    </row>
    <row r="1806" spans="1:2" x14ac:dyDescent="0.25">
      <c r="A1806" t="s">
        <v>881</v>
      </c>
    </row>
    <row r="1808" spans="1:2" ht="15.75" x14ac:dyDescent="0.25">
      <c r="A1808" s="109" t="s">
        <v>265</v>
      </c>
      <c r="B1808" s="109" t="s">
        <v>608</v>
      </c>
    </row>
    <row r="1809" spans="1:2" x14ac:dyDescent="0.25">
      <c r="A1809" t="s">
        <v>269</v>
      </c>
      <c r="B1809" t="s">
        <v>785</v>
      </c>
    </row>
    <row r="1810" spans="1:2" x14ac:dyDescent="0.25">
      <c r="A1810" t="s">
        <v>272</v>
      </c>
      <c r="B1810" t="s">
        <v>273</v>
      </c>
    </row>
    <row r="1811" spans="1:2" x14ac:dyDescent="0.25">
      <c r="A1811" t="s">
        <v>274</v>
      </c>
      <c r="B1811" t="s">
        <v>608</v>
      </c>
    </row>
    <row r="1812" spans="1:2" x14ac:dyDescent="0.25">
      <c r="A1812" t="s">
        <v>276</v>
      </c>
      <c r="B1812" t="s">
        <v>277</v>
      </c>
    </row>
    <row r="1813" spans="1:2" x14ac:dyDescent="0.25">
      <c r="A1813" t="s">
        <v>278</v>
      </c>
      <c r="B1813" t="s">
        <v>279</v>
      </c>
    </row>
    <row r="1814" spans="1:2" ht="15.75" x14ac:dyDescent="0.25">
      <c r="A1814" s="109" t="s">
        <v>280</v>
      </c>
    </row>
    <row r="1815" spans="1:2" x14ac:dyDescent="0.25">
      <c r="A1815" t="s">
        <v>881</v>
      </c>
    </row>
    <row r="1817" spans="1:2" ht="15.75" x14ac:dyDescent="0.25">
      <c r="A1817" s="109" t="s">
        <v>265</v>
      </c>
      <c r="B1817" s="109" t="s">
        <v>482</v>
      </c>
    </row>
    <row r="1818" spans="1:2" x14ac:dyDescent="0.25">
      <c r="A1818" t="s">
        <v>269</v>
      </c>
      <c r="B1818" t="s">
        <v>786</v>
      </c>
    </row>
    <row r="1819" spans="1:2" x14ac:dyDescent="0.25">
      <c r="A1819" t="s">
        <v>272</v>
      </c>
      <c r="B1819" t="s">
        <v>327</v>
      </c>
    </row>
    <row r="1820" spans="1:2" x14ac:dyDescent="0.25">
      <c r="A1820" t="s">
        <v>274</v>
      </c>
      <c r="B1820" t="s">
        <v>413</v>
      </c>
    </row>
    <row r="1821" spans="1:2" x14ac:dyDescent="0.25">
      <c r="A1821" t="s">
        <v>276</v>
      </c>
      <c r="B1821" t="s">
        <v>277</v>
      </c>
    </row>
    <row r="1822" spans="1:2" x14ac:dyDescent="0.25">
      <c r="A1822" t="s">
        <v>278</v>
      </c>
      <c r="B1822" t="s">
        <v>279</v>
      </c>
    </row>
    <row r="1823" spans="1:2" ht="15.75" x14ac:dyDescent="0.25">
      <c r="A1823" s="109" t="s">
        <v>280</v>
      </c>
    </row>
    <row r="1824" spans="1:2" x14ac:dyDescent="0.25">
      <c r="A1824" t="s">
        <v>881</v>
      </c>
    </row>
    <row r="1826" spans="1:2" ht="15.75" x14ac:dyDescent="0.25">
      <c r="A1826" s="109" t="s">
        <v>265</v>
      </c>
      <c r="B1826" s="109" t="s">
        <v>789</v>
      </c>
    </row>
    <row r="1827" spans="1:2" x14ac:dyDescent="0.25">
      <c r="A1827" t="s">
        <v>269</v>
      </c>
      <c r="B1827" t="s">
        <v>790</v>
      </c>
    </row>
    <row r="1828" spans="1:2" x14ac:dyDescent="0.25">
      <c r="A1828" t="s">
        <v>272</v>
      </c>
      <c r="B1828" t="s">
        <v>634</v>
      </c>
    </row>
    <row r="1829" spans="1:2" x14ac:dyDescent="0.25">
      <c r="A1829" t="s">
        <v>274</v>
      </c>
      <c r="B1829" t="s">
        <v>791</v>
      </c>
    </row>
    <row r="1830" spans="1:2" x14ac:dyDescent="0.25">
      <c r="A1830" t="s">
        <v>276</v>
      </c>
      <c r="B1830" t="s">
        <v>277</v>
      </c>
    </row>
    <row r="1831" spans="1:2" x14ac:dyDescent="0.25">
      <c r="A1831" t="s">
        <v>278</v>
      </c>
      <c r="B1831" t="s">
        <v>279</v>
      </c>
    </row>
    <row r="1832" spans="1:2" ht="15.75" x14ac:dyDescent="0.25">
      <c r="A1832" s="109" t="s">
        <v>280</v>
      </c>
    </row>
    <row r="1833" spans="1:2" x14ac:dyDescent="0.25">
      <c r="A1833" t="s">
        <v>881</v>
      </c>
    </row>
    <row r="1835" spans="1:2" ht="15.75" x14ac:dyDescent="0.25">
      <c r="A1835" s="109" t="s">
        <v>265</v>
      </c>
      <c r="B1835" s="109" t="s">
        <v>501</v>
      </c>
    </row>
    <row r="1836" spans="1:2" x14ac:dyDescent="0.25">
      <c r="A1836" t="s">
        <v>269</v>
      </c>
      <c r="B1836" t="s">
        <v>792</v>
      </c>
    </row>
    <row r="1837" spans="1:2" x14ac:dyDescent="0.25">
      <c r="A1837" t="s">
        <v>272</v>
      </c>
      <c r="B1837" t="s">
        <v>273</v>
      </c>
    </row>
    <row r="1838" spans="1:2" x14ac:dyDescent="0.25">
      <c r="A1838" t="s">
        <v>274</v>
      </c>
      <c r="B1838" t="s">
        <v>793</v>
      </c>
    </row>
    <row r="1839" spans="1:2" x14ac:dyDescent="0.25">
      <c r="A1839" t="s">
        <v>276</v>
      </c>
      <c r="B1839" t="s">
        <v>277</v>
      </c>
    </row>
    <row r="1840" spans="1:2" x14ac:dyDescent="0.25">
      <c r="A1840" t="s">
        <v>278</v>
      </c>
      <c r="B1840" t="s">
        <v>279</v>
      </c>
    </row>
    <row r="1841" spans="1:2" ht="15.75" x14ac:dyDescent="0.25">
      <c r="A1841" s="109" t="s">
        <v>280</v>
      </c>
    </row>
    <row r="1842" spans="1:2" x14ac:dyDescent="0.25">
      <c r="A1842" t="s">
        <v>881</v>
      </c>
    </row>
    <row r="1844" spans="1:2" ht="15.75" x14ac:dyDescent="0.25">
      <c r="A1844" s="109" t="s">
        <v>265</v>
      </c>
      <c r="B1844" s="109" t="s">
        <v>501</v>
      </c>
    </row>
    <row r="1845" spans="1:2" x14ac:dyDescent="0.25">
      <c r="A1845" t="s">
        <v>269</v>
      </c>
      <c r="B1845" t="s">
        <v>794</v>
      </c>
    </row>
    <row r="1846" spans="1:2" x14ac:dyDescent="0.25">
      <c r="A1846" t="s">
        <v>272</v>
      </c>
      <c r="B1846" t="s">
        <v>634</v>
      </c>
    </row>
    <row r="1847" spans="1:2" x14ac:dyDescent="0.25">
      <c r="A1847" t="s">
        <v>274</v>
      </c>
      <c r="B1847" t="s">
        <v>793</v>
      </c>
    </row>
    <row r="1848" spans="1:2" x14ac:dyDescent="0.25">
      <c r="A1848" t="s">
        <v>276</v>
      </c>
      <c r="B1848" t="s">
        <v>277</v>
      </c>
    </row>
    <row r="1849" spans="1:2" x14ac:dyDescent="0.25">
      <c r="A1849" t="s">
        <v>278</v>
      </c>
      <c r="B1849" t="s">
        <v>279</v>
      </c>
    </row>
    <row r="1850" spans="1:2" ht="15.75" x14ac:dyDescent="0.25">
      <c r="A1850" s="109" t="s">
        <v>280</v>
      </c>
    </row>
    <row r="1851" spans="1:2" x14ac:dyDescent="0.25">
      <c r="A1851" t="s">
        <v>881</v>
      </c>
    </row>
    <row r="1853" spans="1:2" ht="15.75" x14ac:dyDescent="0.25">
      <c r="A1853" s="109" t="s">
        <v>265</v>
      </c>
      <c r="B1853" s="109" t="s">
        <v>501</v>
      </c>
    </row>
    <row r="1854" spans="1:2" x14ac:dyDescent="0.25">
      <c r="A1854" t="s">
        <v>269</v>
      </c>
      <c r="B1854" t="s">
        <v>795</v>
      </c>
    </row>
    <row r="1855" spans="1:2" x14ac:dyDescent="0.25">
      <c r="A1855" t="s">
        <v>272</v>
      </c>
      <c r="B1855" t="s">
        <v>636</v>
      </c>
    </row>
    <row r="1856" spans="1:2" x14ac:dyDescent="0.25">
      <c r="A1856" t="s">
        <v>274</v>
      </c>
      <c r="B1856" t="s">
        <v>793</v>
      </c>
    </row>
    <row r="1857" spans="1:2" x14ac:dyDescent="0.25">
      <c r="A1857" t="s">
        <v>276</v>
      </c>
      <c r="B1857" t="s">
        <v>277</v>
      </c>
    </row>
    <row r="1858" spans="1:2" x14ac:dyDescent="0.25">
      <c r="A1858" t="s">
        <v>278</v>
      </c>
      <c r="B1858" t="s">
        <v>279</v>
      </c>
    </row>
    <row r="1859" spans="1:2" ht="15.75" x14ac:dyDescent="0.25">
      <c r="A1859" s="109" t="s">
        <v>280</v>
      </c>
    </row>
    <row r="1860" spans="1:2" x14ac:dyDescent="0.25">
      <c r="A1860" t="s">
        <v>881</v>
      </c>
    </row>
    <row r="1862" spans="1:2" ht="15.75" x14ac:dyDescent="0.25">
      <c r="A1862" s="109" t="s">
        <v>265</v>
      </c>
      <c r="B1862" s="109" t="s">
        <v>501</v>
      </c>
    </row>
    <row r="1863" spans="1:2" x14ac:dyDescent="0.25">
      <c r="A1863" t="s">
        <v>269</v>
      </c>
      <c r="B1863" t="s">
        <v>796</v>
      </c>
    </row>
    <row r="1864" spans="1:2" x14ac:dyDescent="0.25">
      <c r="A1864" t="s">
        <v>272</v>
      </c>
      <c r="B1864" t="s">
        <v>371</v>
      </c>
    </row>
    <row r="1865" spans="1:2" x14ac:dyDescent="0.25">
      <c r="A1865" t="s">
        <v>274</v>
      </c>
      <c r="B1865" t="s">
        <v>793</v>
      </c>
    </row>
    <row r="1866" spans="1:2" x14ac:dyDescent="0.25">
      <c r="A1866" t="s">
        <v>276</v>
      </c>
      <c r="B1866" t="s">
        <v>277</v>
      </c>
    </row>
    <row r="1867" spans="1:2" x14ac:dyDescent="0.25">
      <c r="A1867" t="s">
        <v>278</v>
      </c>
      <c r="B1867" t="s">
        <v>279</v>
      </c>
    </row>
    <row r="1868" spans="1:2" ht="15.75" x14ac:dyDescent="0.25">
      <c r="A1868" s="109" t="s">
        <v>280</v>
      </c>
    </row>
    <row r="1869" spans="1:2" x14ac:dyDescent="0.25">
      <c r="A1869" t="s">
        <v>881</v>
      </c>
    </row>
    <row r="1871" spans="1:2" ht="15.75" x14ac:dyDescent="0.25">
      <c r="A1871" s="109" t="s">
        <v>265</v>
      </c>
      <c r="B1871" s="109" t="s">
        <v>501</v>
      </c>
    </row>
    <row r="1872" spans="1:2" x14ac:dyDescent="0.25">
      <c r="A1872" t="s">
        <v>269</v>
      </c>
      <c r="B1872" t="s">
        <v>797</v>
      </c>
    </row>
    <row r="1873" spans="1:2" x14ac:dyDescent="0.25">
      <c r="A1873" t="s">
        <v>272</v>
      </c>
      <c r="B1873" t="s">
        <v>273</v>
      </c>
    </row>
    <row r="1874" spans="1:2" x14ac:dyDescent="0.25">
      <c r="A1874" t="s">
        <v>274</v>
      </c>
      <c r="B1874" t="s">
        <v>502</v>
      </c>
    </row>
    <row r="1875" spans="1:2" x14ac:dyDescent="0.25">
      <c r="A1875" t="s">
        <v>276</v>
      </c>
      <c r="B1875" t="s">
        <v>277</v>
      </c>
    </row>
    <row r="1876" spans="1:2" x14ac:dyDescent="0.25">
      <c r="A1876" t="s">
        <v>278</v>
      </c>
      <c r="B1876" t="s">
        <v>310</v>
      </c>
    </row>
    <row r="1877" spans="1:2" ht="15.75" x14ac:dyDescent="0.25">
      <c r="A1877" s="109" t="s">
        <v>280</v>
      </c>
    </row>
    <row r="1878" spans="1:2" x14ac:dyDescent="0.25">
      <c r="A1878" t="s">
        <v>881</v>
      </c>
    </row>
    <row r="1880" spans="1:2" ht="15.75" x14ac:dyDescent="0.25">
      <c r="A1880" s="109" t="s">
        <v>265</v>
      </c>
      <c r="B1880" s="109" t="s">
        <v>798</v>
      </c>
    </row>
    <row r="1881" spans="1:2" x14ac:dyDescent="0.25">
      <c r="A1881" t="s">
        <v>269</v>
      </c>
      <c r="B1881" t="s">
        <v>799</v>
      </c>
    </row>
    <row r="1882" spans="1:2" x14ac:dyDescent="0.25">
      <c r="A1882" t="s">
        <v>272</v>
      </c>
      <c r="B1882" t="s">
        <v>305</v>
      </c>
    </row>
    <row r="1883" spans="1:2" x14ac:dyDescent="0.25">
      <c r="A1883" t="s">
        <v>274</v>
      </c>
      <c r="B1883" t="s">
        <v>800</v>
      </c>
    </row>
    <row r="1884" spans="1:2" x14ac:dyDescent="0.25">
      <c r="A1884" t="s">
        <v>276</v>
      </c>
      <c r="B1884" t="s">
        <v>277</v>
      </c>
    </row>
    <row r="1885" spans="1:2" x14ac:dyDescent="0.25">
      <c r="A1885" t="s">
        <v>278</v>
      </c>
      <c r="B1885" t="s">
        <v>294</v>
      </c>
    </row>
    <row r="1886" spans="1:2" ht="15.75" x14ac:dyDescent="0.25">
      <c r="A1886" s="109" t="s">
        <v>280</v>
      </c>
    </row>
    <row r="1887" spans="1:2" x14ac:dyDescent="0.25">
      <c r="A1887" t="s">
        <v>881</v>
      </c>
    </row>
    <row r="1889" spans="1:2" ht="15.75" x14ac:dyDescent="0.25">
      <c r="A1889" s="109" t="s">
        <v>265</v>
      </c>
      <c r="B1889" s="109" t="s">
        <v>397</v>
      </c>
    </row>
    <row r="1890" spans="1:2" x14ac:dyDescent="0.25">
      <c r="A1890" t="s">
        <v>269</v>
      </c>
      <c r="B1890" t="s">
        <v>801</v>
      </c>
    </row>
    <row r="1891" spans="1:2" x14ac:dyDescent="0.25">
      <c r="A1891" t="s">
        <v>272</v>
      </c>
      <c r="B1891" t="s">
        <v>273</v>
      </c>
    </row>
    <row r="1892" spans="1:2" x14ac:dyDescent="0.25">
      <c r="A1892" t="s">
        <v>274</v>
      </c>
      <c r="B1892" t="s">
        <v>344</v>
      </c>
    </row>
    <row r="1893" spans="1:2" x14ac:dyDescent="0.25">
      <c r="A1893" t="s">
        <v>276</v>
      </c>
      <c r="B1893" t="s">
        <v>277</v>
      </c>
    </row>
    <row r="1894" spans="1:2" x14ac:dyDescent="0.25">
      <c r="A1894" t="s">
        <v>278</v>
      </c>
      <c r="B1894" t="s">
        <v>279</v>
      </c>
    </row>
    <row r="1895" spans="1:2" ht="15.75" x14ac:dyDescent="0.25">
      <c r="A1895" s="109" t="s">
        <v>280</v>
      </c>
    </row>
    <row r="1896" spans="1:2" x14ac:dyDescent="0.25">
      <c r="A1896" t="s">
        <v>881</v>
      </c>
    </row>
    <row r="1898" spans="1:2" ht="15.75" x14ac:dyDescent="0.25">
      <c r="A1898" s="109" t="s">
        <v>265</v>
      </c>
      <c r="B1898" s="109" t="s">
        <v>802</v>
      </c>
    </row>
    <row r="1899" spans="1:2" x14ac:dyDescent="0.25">
      <c r="A1899" t="s">
        <v>269</v>
      </c>
      <c r="B1899" t="s">
        <v>806</v>
      </c>
    </row>
    <row r="1900" spans="1:2" x14ac:dyDescent="0.25">
      <c r="A1900" t="s">
        <v>272</v>
      </c>
      <c r="B1900" t="s">
        <v>371</v>
      </c>
    </row>
    <row r="1901" spans="1:2" x14ac:dyDescent="0.25">
      <c r="A1901" t="s">
        <v>274</v>
      </c>
      <c r="B1901" t="s">
        <v>804</v>
      </c>
    </row>
    <row r="1902" spans="1:2" x14ac:dyDescent="0.25">
      <c r="A1902" t="s">
        <v>276</v>
      </c>
      <c r="B1902" t="s">
        <v>277</v>
      </c>
    </row>
    <row r="1903" spans="1:2" x14ac:dyDescent="0.25">
      <c r="A1903" t="s">
        <v>278</v>
      </c>
      <c r="B1903" t="s">
        <v>310</v>
      </c>
    </row>
    <row r="1904" spans="1:2" ht="15.75" x14ac:dyDescent="0.25">
      <c r="A1904" s="109" t="s">
        <v>280</v>
      </c>
    </row>
    <row r="1905" spans="1:2" x14ac:dyDescent="0.25">
      <c r="A1905" t="s">
        <v>881</v>
      </c>
    </row>
    <row r="1907" spans="1:2" ht="15.75" x14ac:dyDescent="0.25">
      <c r="A1907" s="109" t="s">
        <v>265</v>
      </c>
      <c r="B1907" s="109" t="s">
        <v>805</v>
      </c>
    </row>
    <row r="1908" spans="1:2" x14ac:dyDescent="0.25">
      <c r="A1908" t="s">
        <v>269</v>
      </c>
      <c r="B1908" t="s">
        <v>808</v>
      </c>
    </row>
    <row r="1909" spans="1:2" x14ac:dyDescent="0.25">
      <c r="A1909" t="s">
        <v>272</v>
      </c>
      <c r="B1909" t="s">
        <v>371</v>
      </c>
    </row>
    <row r="1910" spans="1:2" x14ac:dyDescent="0.25">
      <c r="A1910" t="s">
        <v>274</v>
      </c>
      <c r="B1910" t="s">
        <v>880</v>
      </c>
    </row>
    <row r="1911" spans="1:2" x14ac:dyDescent="0.25">
      <c r="A1911" t="s">
        <v>276</v>
      </c>
      <c r="B1911" t="s">
        <v>277</v>
      </c>
    </row>
    <row r="1912" spans="1:2" x14ac:dyDescent="0.25">
      <c r="A1912" t="s">
        <v>278</v>
      </c>
      <c r="B1912" t="s">
        <v>310</v>
      </c>
    </row>
    <row r="1913" spans="1:2" ht="15.75" x14ac:dyDescent="0.25">
      <c r="A1913" s="109" t="s">
        <v>280</v>
      </c>
    </row>
    <row r="1914" spans="1:2" x14ac:dyDescent="0.25">
      <c r="A1914" t="s">
        <v>881</v>
      </c>
    </row>
    <row r="1916" spans="1:2" ht="15.75" x14ac:dyDescent="0.25">
      <c r="A1916" s="109" t="s">
        <v>265</v>
      </c>
      <c r="B1916" s="109" t="s">
        <v>717</v>
      </c>
    </row>
    <row r="1917" spans="1:2" x14ac:dyDescent="0.25">
      <c r="A1917" t="s">
        <v>269</v>
      </c>
      <c r="B1917" t="s">
        <v>809</v>
      </c>
    </row>
    <row r="1918" spans="1:2" x14ac:dyDescent="0.25">
      <c r="A1918" t="s">
        <v>272</v>
      </c>
      <c r="B1918" t="s">
        <v>273</v>
      </c>
    </row>
    <row r="1919" spans="1:2" x14ac:dyDescent="0.25">
      <c r="A1919" t="s">
        <v>274</v>
      </c>
      <c r="B1919" t="s">
        <v>660</v>
      </c>
    </row>
    <row r="1920" spans="1:2" x14ac:dyDescent="0.25">
      <c r="A1920" t="s">
        <v>276</v>
      </c>
      <c r="B1920" t="s">
        <v>277</v>
      </c>
    </row>
    <row r="1921" spans="1:2" x14ac:dyDescent="0.25">
      <c r="A1921" t="s">
        <v>278</v>
      </c>
      <c r="B1921" t="s">
        <v>310</v>
      </c>
    </row>
    <row r="1922" spans="1:2" ht="15.75" x14ac:dyDescent="0.25">
      <c r="A1922" s="109" t="s">
        <v>280</v>
      </c>
    </row>
    <row r="1923" spans="1:2" x14ac:dyDescent="0.25">
      <c r="A1923" t="s">
        <v>881</v>
      </c>
    </row>
    <row r="1925" spans="1:2" ht="15.75" x14ac:dyDescent="0.25">
      <c r="A1925" s="109" t="s">
        <v>265</v>
      </c>
      <c r="B1925" s="109" t="s">
        <v>717</v>
      </c>
    </row>
    <row r="1926" spans="1:2" x14ac:dyDescent="0.25">
      <c r="A1926" t="s">
        <v>269</v>
      </c>
      <c r="B1926" t="s">
        <v>810</v>
      </c>
    </row>
    <row r="1927" spans="1:2" x14ac:dyDescent="0.25">
      <c r="A1927" t="s">
        <v>272</v>
      </c>
      <c r="B1927" t="s">
        <v>634</v>
      </c>
    </row>
    <row r="1928" spans="1:2" x14ac:dyDescent="0.25">
      <c r="A1928" t="s">
        <v>274</v>
      </c>
      <c r="B1928" t="s">
        <v>660</v>
      </c>
    </row>
    <row r="1929" spans="1:2" x14ac:dyDescent="0.25">
      <c r="A1929" t="s">
        <v>276</v>
      </c>
      <c r="B1929" t="s">
        <v>277</v>
      </c>
    </row>
    <row r="1930" spans="1:2" x14ac:dyDescent="0.25">
      <c r="A1930" t="s">
        <v>278</v>
      </c>
      <c r="B1930" t="s">
        <v>310</v>
      </c>
    </row>
    <row r="1931" spans="1:2" ht="15.75" x14ac:dyDescent="0.25">
      <c r="A1931" s="109" t="s">
        <v>280</v>
      </c>
    </row>
    <row r="1932" spans="1:2" x14ac:dyDescent="0.25">
      <c r="A1932" t="s">
        <v>881</v>
      </c>
    </row>
    <row r="1934" spans="1:2" ht="15.75" x14ac:dyDescent="0.25">
      <c r="A1934" s="109" t="s">
        <v>265</v>
      </c>
      <c r="B1934" s="109" t="s">
        <v>717</v>
      </c>
    </row>
    <row r="1935" spans="1:2" x14ac:dyDescent="0.25">
      <c r="A1935" t="s">
        <v>269</v>
      </c>
      <c r="B1935" t="s">
        <v>811</v>
      </c>
    </row>
    <row r="1936" spans="1:2" x14ac:dyDescent="0.25">
      <c r="A1936" t="s">
        <v>272</v>
      </c>
      <c r="B1936" t="s">
        <v>636</v>
      </c>
    </row>
    <row r="1937" spans="1:2" x14ac:dyDescent="0.25">
      <c r="A1937" t="s">
        <v>274</v>
      </c>
      <c r="B1937" t="s">
        <v>660</v>
      </c>
    </row>
    <row r="1938" spans="1:2" x14ac:dyDescent="0.25">
      <c r="A1938" t="s">
        <v>276</v>
      </c>
      <c r="B1938" t="s">
        <v>277</v>
      </c>
    </row>
    <row r="1939" spans="1:2" x14ac:dyDescent="0.25">
      <c r="A1939" t="s">
        <v>278</v>
      </c>
      <c r="B1939" t="s">
        <v>310</v>
      </c>
    </row>
    <row r="1940" spans="1:2" ht="15.75" x14ac:dyDescent="0.25">
      <c r="A1940" s="109" t="s">
        <v>280</v>
      </c>
    </row>
    <row r="1941" spans="1:2" x14ac:dyDescent="0.25">
      <c r="A1941" t="s">
        <v>881</v>
      </c>
    </row>
    <row r="1943" spans="1:2" ht="15.75" x14ac:dyDescent="0.25">
      <c r="A1943" s="109" t="s">
        <v>265</v>
      </c>
      <c r="B1943" s="109" t="s">
        <v>743</v>
      </c>
    </row>
    <row r="1944" spans="1:2" x14ac:dyDescent="0.25">
      <c r="A1944" t="s">
        <v>269</v>
      </c>
      <c r="B1944" t="s">
        <v>812</v>
      </c>
    </row>
    <row r="1945" spans="1:2" x14ac:dyDescent="0.25">
      <c r="A1945" t="s">
        <v>272</v>
      </c>
      <c r="B1945" t="s">
        <v>353</v>
      </c>
    </row>
    <row r="1946" spans="1:2" x14ac:dyDescent="0.25">
      <c r="A1946" t="s">
        <v>274</v>
      </c>
      <c r="B1946" t="s">
        <v>346</v>
      </c>
    </row>
    <row r="1947" spans="1:2" x14ac:dyDescent="0.25">
      <c r="A1947" t="s">
        <v>276</v>
      </c>
      <c r="B1947" t="s">
        <v>277</v>
      </c>
    </row>
    <row r="1948" spans="1:2" x14ac:dyDescent="0.25">
      <c r="A1948" t="s">
        <v>278</v>
      </c>
      <c r="B1948" t="s">
        <v>279</v>
      </c>
    </row>
    <row r="1949" spans="1:2" ht="15.75" x14ac:dyDescent="0.25">
      <c r="A1949" s="109" t="s">
        <v>280</v>
      </c>
    </row>
    <row r="1950" spans="1:2" x14ac:dyDescent="0.25">
      <c r="A1950" t="s">
        <v>881</v>
      </c>
    </row>
    <row r="1952" spans="1:2" ht="15.75" x14ac:dyDescent="0.25">
      <c r="A1952" s="109" t="s">
        <v>265</v>
      </c>
      <c r="B1952" s="109" t="s">
        <v>743</v>
      </c>
    </row>
    <row r="1953" spans="1:2" x14ac:dyDescent="0.25">
      <c r="A1953" t="s">
        <v>269</v>
      </c>
      <c r="B1953" t="s">
        <v>813</v>
      </c>
    </row>
    <row r="1954" spans="1:2" x14ac:dyDescent="0.25">
      <c r="A1954" t="s">
        <v>272</v>
      </c>
      <c r="B1954" t="s">
        <v>327</v>
      </c>
    </row>
    <row r="1955" spans="1:2" x14ac:dyDescent="0.25">
      <c r="A1955" t="s">
        <v>274</v>
      </c>
      <c r="B1955" t="s">
        <v>346</v>
      </c>
    </row>
    <row r="1956" spans="1:2" x14ac:dyDescent="0.25">
      <c r="A1956" t="s">
        <v>276</v>
      </c>
      <c r="B1956" t="s">
        <v>277</v>
      </c>
    </row>
    <row r="1957" spans="1:2" x14ac:dyDescent="0.25">
      <c r="A1957" t="s">
        <v>278</v>
      </c>
      <c r="B1957" t="s">
        <v>279</v>
      </c>
    </row>
    <row r="1958" spans="1:2" ht="15.75" x14ac:dyDescent="0.25">
      <c r="A1958" s="109" t="s">
        <v>280</v>
      </c>
    </row>
    <row r="1959" spans="1:2" x14ac:dyDescent="0.25">
      <c r="A1959" t="s">
        <v>881</v>
      </c>
    </row>
    <row r="1961" spans="1:2" ht="15.75" x14ac:dyDescent="0.25">
      <c r="A1961" s="109" t="s">
        <v>265</v>
      </c>
      <c r="B1961" s="109" t="s">
        <v>814</v>
      </c>
    </row>
    <row r="1962" spans="1:2" x14ac:dyDescent="0.25">
      <c r="A1962" t="s">
        <v>269</v>
      </c>
      <c r="B1962" t="s">
        <v>815</v>
      </c>
    </row>
    <row r="1963" spans="1:2" x14ac:dyDescent="0.25">
      <c r="A1963" t="s">
        <v>272</v>
      </c>
      <c r="B1963" t="s">
        <v>327</v>
      </c>
    </row>
    <row r="1964" spans="1:2" x14ac:dyDescent="0.25">
      <c r="A1964" t="s">
        <v>274</v>
      </c>
      <c r="B1964" t="s">
        <v>610</v>
      </c>
    </row>
    <row r="1965" spans="1:2" x14ac:dyDescent="0.25">
      <c r="A1965" t="s">
        <v>276</v>
      </c>
      <c r="B1965" t="s">
        <v>277</v>
      </c>
    </row>
    <row r="1966" spans="1:2" x14ac:dyDescent="0.25">
      <c r="A1966" t="s">
        <v>278</v>
      </c>
      <c r="B1966" t="s">
        <v>279</v>
      </c>
    </row>
    <row r="1967" spans="1:2" ht="15.75" x14ac:dyDescent="0.25">
      <c r="A1967" s="109" t="s">
        <v>280</v>
      </c>
    </row>
    <row r="1968" spans="1:2" x14ac:dyDescent="0.25">
      <c r="A1968" t="s">
        <v>881</v>
      </c>
    </row>
    <row r="1970" spans="1:2" ht="15.75" x14ac:dyDescent="0.25">
      <c r="A1970" s="109" t="s">
        <v>265</v>
      </c>
      <c r="B1970" s="109" t="s">
        <v>740</v>
      </c>
    </row>
    <row r="1971" spans="1:2" x14ac:dyDescent="0.25">
      <c r="A1971" t="s">
        <v>269</v>
      </c>
      <c r="B1971" t="s">
        <v>816</v>
      </c>
    </row>
    <row r="1972" spans="1:2" x14ac:dyDescent="0.25">
      <c r="A1972" t="s">
        <v>272</v>
      </c>
      <c r="B1972" t="s">
        <v>353</v>
      </c>
    </row>
    <row r="1973" spans="1:2" x14ac:dyDescent="0.25">
      <c r="A1973" t="s">
        <v>274</v>
      </c>
      <c r="B1973" t="s">
        <v>346</v>
      </c>
    </row>
    <row r="1974" spans="1:2" x14ac:dyDescent="0.25">
      <c r="A1974" t="s">
        <v>276</v>
      </c>
      <c r="B1974" t="s">
        <v>277</v>
      </c>
    </row>
    <row r="1975" spans="1:2" x14ac:dyDescent="0.25">
      <c r="A1975" t="s">
        <v>278</v>
      </c>
      <c r="B1975" t="s">
        <v>279</v>
      </c>
    </row>
    <row r="1976" spans="1:2" ht="15.75" x14ac:dyDescent="0.25">
      <c r="A1976" s="109" t="s">
        <v>280</v>
      </c>
    </row>
    <row r="1977" spans="1:2" x14ac:dyDescent="0.25">
      <c r="A1977" t="s">
        <v>881</v>
      </c>
    </row>
    <row r="1979" spans="1:2" ht="15.75" x14ac:dyDescent="0.25">
      <c r="A1979" s="109" t="s">
        <v>265</v>
      </c>
      <c r="B1979" s="109" t="s">
        <v>740</v>
      </c>
    </row>
    <row r="1980" spans="1:2" x14ac:dyDescent="0.25">
      <c r="A1980" t="s">
        <v>269</v>
      </c>
      <c r="B1980" t="s">
        <v>817</v>
      </c>
    </row>
    <row r="1981" spans="1:2" x14ac:dyDescent="0.25">
      <c r="A1981" t="s">
        <v>272</v>
      </c>
      <c r="B1981" t="s">
        <v>371</v>
      </c>
    </row>
    <row r="1982" spans="1:2" x14ac:dyDescent="0.25">
      <c r="A1982" t="s">
        <v>274</v>
      </c>
      <c r="B1982" t="s">
        <v>346</v>
      </c>
    </row>
    <row r="1983" spans="1:2" x14ac:dyDescent="0.25">
      <c r="A1983" t="s">
        <v>276</v>
      </c>
      <c r="B1983" t="s">
        <v>277</v>
      </c>
    </row>
    <row r="1984" spans="1:2" x14ac:dyDescent="0.25">
      <c r="A1984" t="s">
        <v>278</v>
      </c>
      <c r="B1984" t="s">
        <v>279</v>
      </c>
    </row>
    <row r="1985" spans="1:2" ht="15.75" x14ac:dyDescent="0.25">
      <c r="A1985" s="109" t="s">
        <v>280</v>
      </c>
    </row>
    <row r="1986" spans="1:2" x14ac:dyDescent="0.25">
      <c r="A1986" t="s">
        <v>881</v>
      </c>
    </row>
    <row r="1988" spans="1:2" ht="15.75" x14ac:dyDescent="0.25">
      <c r="A1988" s="109" t="s">
        <v>265</v>
      </c>
      <c r="B1988" s="109" t="s">
        <v>740</v>
      </c>
    </row>
    <row r="1989" spans="1:2" x14ac:dyDescent="0.25">
      <c r="A1989" t="s">
        <v>269</v>
      </c>
      <c r="B1989" t="s">
        <v>818</v>
      </c>
    </row>
    <row r="1990" spans="1:2" x14ac:dyDescent="0.25">
      <c r="A1990" t="s">
        <v>272</v>
      </c>
      <c r="B1990" t="s">
        <v>327</v>
      </c>
    </row>
    <row r="1991" spans="1:2" x14ac:dyDescent="0.25">
      <c r="A1991" t="s">
        <v>274</v>
      </c>
      <c r="B1991" t="s">
        <v>346</v>
      </c>
    </row>
    <row r="1992" spans="1:2" x14ac:dyDescent="0.25">
      <c r="A1992" t="s">
        <v>276</v>
      </c>
      <c r="B1992" t="s">
        <v>277</v>
      </c>
    </row>
    <row r="1993" spans="1:2" x14ac:dyDescent="0.25">
      <c r="A1993" t="s">
        <v>278</v>
      </c>
      <c r="B1993" t="s">
        <v>279</v>
      </c>
    </row>
    <row r="1994" spans="1:2" ht="15.75" x14ac:dyDescent="0.25">
      <c r="A1994" s="109" t="s">
        <v>280</v>
      </c>
    </row>
    <row r="1995" spans="1:2" x14ac:dyDescent="0.25">
      <c r="A1995" t="s">
        <v>881</v>
      </c>
    </row>
    <row r="1997" spans="1:2" ht="15.75" x14ac:dyDescent="0.25">
      <c r="A1997" s="109" t="s">
        <v>265</v>
      </c>
      <c r="B1997" s="109" t="s">
        <v>741</v>
      </c>
    </row>
    <row r="1998" spans="1:2" x14ac:dyDescent="0.25">
      <c r="A1998" t="s">
        <v>269</v>
      </c>
      <c r="B1998" t="s">
        <v>819</v>
      </c>
    </row>
    <row r="1999" spans="1:2" x14ac:dyDescent="0.25">
      <c r="A1999" t="s">
        <v>272</v>
      </c>
      <c r="B1999" t="s">
        <v>371</v>
      </c>
    </row>
    <row r="2000" spans="1:2" x14ac:dyDescent="0.25">
      <c r="A2000" t="s">
        <v>274</v>
      </c>
      <c r="B2000" t="s">
        <v>346</v>
      </c>
    </row>
    <row r="2001" spans="1:2" x14ac:dyDescent="0.25">
      <c r="A2001" t="s">
        <v>276</v>
      </c>
      <c r="B2001" t="s">
        <v>277</v>
      </c>
    </row>
    <row r="2002" spans="1:2" x14ac:dyDescent="0.25">
      <c r="A2002" t="s">
        <v>278</v>
      </c>
      <c r="B2002" t="s">
        <v>279</v>
      </c>
    </row>
    <row r="2003" spans="1:2" ht="15.75" x14ac:dyDescent="0.25">
      <c r="A2003" s="109" t="s">
        <v>280</v>
      </c>
    </row>
    <row r="2004" spans="1:2" x14ac:dyDescent="0.25">
      <c r="A2004" t="s">
        <v>881</v>
      </c>
    </row>
    <row r="2006" spans="1:2" ht="15.75" x14ac:dyDescent="0.25">
      <c r="A2006" s="109" t="s">
        <v>265</v>
      </c>
      <c r="B2006" s="109" t="s">
        <v>750</v>
      </c>
    </row>
    <row r="2007" spans="1:2" x14ac:dyDescent="0.25">
      <c r="A2007" t="s">
        <v>269</v>
      </c>
      <c r="B2007" t="s">
        <v>824</v>
      </c>
    </row>
    <row r="2008" spans="1:2" x14ac:dyDescent="0.25">
      <c r="A2008" t="s">
        <v>272</v>
      </c>
      <c r="B2008" t="s">
        <v>273</v>
      </c>
    </row>
    <row r="2009" spans="1:2" x14ac:dyDescent="0.25">
      <c r="A2009" t="s">
        <v>274</v>
      </c>
      <c r="B2009" t="s">
        <v>306</v>
      </c>
    </row>
    <row r="2010" spans="1:2" x14ac:dyDescent="0.25">
      <c r="A2010" t="s">
        <v>276</v>
      </c>
      <c r="B2010" t="s">
        <v>277</v>
      </c>
    </row>
    <row r="2011" spans="1:2" x14ac:dyDescent="0.25">
      <c r="A2011" t="s">
        <v>278</v>
      </c>
      <c r="B2011" t="s">
        <v>279</v>
      </c>
    </row>
    <row r="2012" spans="1:2" ht="15.75" x14ac:dyDescent="0.25">
      <c r="A2012" s="109" t="s">
        <v>280</v>
      </c>
    </row>
    <row r="2013" spans="1:2" x14ac:dyDescent="0.25">
      <c r="A2013" t="s">
        <v>881</v>
      </c>
    </row>
    <row r="2015" spans="1:2" ht="15.75" x14ac:dyDescent="0.25">
      <c r="A2015" s="109" t="s">
        <v>265</v>
      </c>
      <c r="B2015" s="109" t="s">
        <v>751</v>
      </c>
    </row>
    <row r="2016" spans="1:2" x14ac:dyDescent="0.25">
      <c r="A2016" t="s">
        <v>269</v>
      </c>
      <c r="B2016" t="s">
        <v>825</v>
      </c>
    </row>
    <row r="2017" spans="1:2" x14ac:dyDescent="0.25">
      <c r="A2017" t="s">
        <v>272</v>
      </c>
      <c r="B2017" t="s">
        <v>273</v>
      </c>
    </row>
    <row r="2018" spans="1:2" x14ac:dyDescent="0.25">
      <c r="A2018" t="s">
        <v>274</v>
      </c>
      <c r="B2018" t="s">
        <v>306</v>
      </c>
    </row>
    <row r="2019" spans="1:2" x14ac:dyDescent="0.25">
      <c r="A2019" t="s">
        <v>276</v>
      </c>
      <c r="B2019" t="s">
        <v>277</v>
      </c>
    </row>
    <row r="2020" spans="1:2" x14ac:dyDescent="0.25">
      <c r="A2020" t="s">
        <v>278</v>
      </c>
      <c r="B2020" t="s">
        <v>279</v>
      </c>
    </row>
    <row r="2021" spans="1:2" ht="15.75" x14ac:dyDescent="0.25">
      <c r="A2021" s="109" t="s">
        <v>280</v>
      </c>
    </row>
    <row r="2022" spans="1:2" x14ac:dyDescent="0.25">
      <c r="A2022" t="s">
        <v>881</v>
      </c>
    </row>
    <row r="2024" spans="1:2" ht="15.75" x14ac:dyDescent="0.25">
      <c r="A2024" s="109" t="s">
        <v>265</v>
      </c>
      <c r="B2024" s="109" t="s">
        <v>696</v>
      </c>
    </row>
    <row r="2025" spans="1:2" x14ac:dyDescent="0.25">
      <c r="A2025" t="s">
        <v>269</v>
      </c>
      <c r="B2025" t="s">
        <v>826</v>
      </c>
    </row>
    <row r="2026" spans="1:2" x14ac:dyDescent="0.25">
      <c r="A2026" t="s">
        <v>272</v>
      </c>
      <c r="B2026" t="s">
        <v>273</v>
      </c>
    </row>
    <row r="2027" spans="1:2" x14ac:dyDescent="0.25">
      <c r="A2027" t="s">
        <v>274</v>
      </c>
      <c r="B2027" t="s">
        <v>544</v>
      </c>
    </row>
    <row r="2028" spans="1:2" x14ac:dyDescent="0.25">
      <c r="A2028" t="s">
        <v>276</v>
      </c>
      <c r="B2028" t="s">
        <v>277</v>
      </c>
    </row>
    <row r="2029" spans="1:2" x14ac:dyDescent="0.25">
      <c r="A2029" t="s">
        <v>278</v>
      </c>
      <c r="B2029" t="s">
        <v>279</v>
      </c>
    </row>
    <row r="2030" spans="1:2" ht="15.75" x14ac:dyDescent="0.25">
      <c r="A2030" s="109" t="s">
        <v>280</v>
      </c>
    </row>
    <row r="2031" spans="1:2" x14ac:dyDescent="0.25">
      <c r="A2031" t="s">
        <v>881</v>
      </c>
    </row>
    <row r="2033" spans="1:2" ht="15.75" x14ac:dyDescent="0.25">
      <c r="A2033" s="109" t="s">
        <v>265</v>
      </c>
      <c r="B2033" s="109" t="s">
        <v>666</v>
      </c>
    </row>
    <row r="2034" spans="1:2" x14ac:dyDescent="0.25">
      <c r="A2034" t="s">
        <v>269</v>
      </c>
      <c r="B2034" t="s">
        <v>828</v>
      </c>
    </row>
    <row r="2035" spans="1:2" x14ac:dyDescent="0.25">
      <c r="A2035" t="s">
        <v>272</v>
      </c>
      <c r="B2035" t="s">
        <v>371</v>
      </c>
    </row>
    <row r="2036" spans="1:2" x14ac:dyDescent="0.25">
      <c r="A2036" t="s">
        <v>274</v>
      </c>
      <c r="B2036" t="s">
        <v>667</v>
      </c>
    </row>
    <row r="2037" spans="1:2" x14ac:dyDescent="0.25">
      <c r="A2037" t="s">
        <v>276</v>
      </c>
      <c r="B2037" t="s">
        <v>277</v>
      </c>
    </row>
    <row r="2038" spans="1:2" x14ac:dyDescent="0.25">
      <c r="A2038" t="s">
        <v>278</v>
      </c>
      <c r="B2038" t="s">
        <v>279</v>
      </c>
    </row>
    <row r="2039" spans="1:2" ht="15.75" x14ac:dyDescent="0.25">
      <c r="A2039" s="109" t="s">
        <v>280</v>
      </c>
    </row>
    <row r="2040" spans="1:2" x14ac:dyDescent="0.25">
      <c r="A2040" t="s">
        <v>881</v>
      </c>
    </row>
    <row r="2042" spans="1:2" ht="15.75" x14ac:dyDescent="0.25">
      <c r="A2042" s="109" t="s">
        <v>265</v>
      </c>
      <c r="B2042" s="109" t="s">
        <v>668</v>
      </c>
    </row>
    <row r="2043" spans="1:2" x14ac:dyDescent="0.25">
      <c r="A2043" t="s">
        <v>269</v>
      </c>
      <c r="B2043" t="s">
        <v>830</v>
      </c>
    </row>
    <row r="2044" spans="1:2" x14ac:dyDescent="0.25">
      <c r="A2044" t="s">
        <v>272</v>
      </c>
      <c r="B2044" t="s">
        <v>371</v>
      </c>
    </row>
    <row r="2045" spans="1:2" x14ac:dyDescent="0.25">
      <c r="A2045" t="s">
        <v>274</v>
      </c>
      <c r="B2045" t="s">
        <v>668</v>
      </c>
    </row>
    <row r="2046" spans="1:2" x14ac:dyDescent="0.25">
      <c r="A2046" t="s">
        <v>276</v>
      </c>
      <c r="B2046" t="s">
        <v>277</v>
      </c>
    </row>
    <row r="2047" spans="1:2" x14ac:dyDescent="0.25">
      <c r="A2047" t="s">
        <v>278</v>
      </c>
      <c r="B2047" t="s">
        <v>279</v>
      </c>
    </row>
    <row r="2048" spans="1:2" ht="15.75" x14ac:dyDescent="0.25">
      <c r="A2048" s="109" t="s">
        <v>280</v>
      </c>
    </row>
    <row r="2049" spans="1:2" x14ac:dyDescent="0.25">
      <c r="A2049" t="s">
        <v>881</v>
      </c>
    </row>
    <row r="2051" spans="1:2" ht="15.75" x14ac:dyDescent="0.25">
      <c r="A2051" s="109" t="s">
        <v>265</v>
      </c>
      <c r="B2051" s="109" t="s">
        <v>787</v>
      </c>
    </row>
    <row r="2052" spans="1:2" x14ac:dyDescent="0.25">
      <c r="A2052" t="s">
        <v>269</v>
      </c>
      <c r="B2052" t="s">
        <v>831</v>
      </c>
    </row>
    <row r="2053" spans="1:2" x14ac:dyDescent="0.25">
      <c r="A2053" t="s">
        <v>272</v>
      </c>
      <c r="B2053" t="s">
        <v>327</v>
      </c>
    </row>
    <row r="2054" spans="1:2" x14ac:dyDescent="0.25">
      <c r="A2054" t="s">
        <v>274</v>
      </c>
      <c r="B2054" t="s">
        <v>788</v>
      </c>
    </row>
    <row r="2055" spans="1:2" x14ac:dyDescent="0.25">
      <c r="A2055" t="s">
        <v>276</v>
      </c>
      <c r="B2055" t="s">
        <v>277</v>
      </c>
    </row>
    <row r="2056" spans="1:2" x14ac:dyDescent="0.25">
      <c r="A2056" t="s">
        <v>278</v>
      </c>
      <c r="B2056" t="s">
        <v>279</v>
      </c>
    </row>
    <row r="2057" spans="1:2" ht="15.75" x14ac:dyDescent="0.25">
      <c r="A2057" s="109" t="s">
        <v>280</v>
      </c>
    </row>
    <row r="2058" spans="1:2" x14ac:dyDescent="0.25">
      <c r="A2058" t="s">
        <v>881</v>
      </c>
    </row>
    <row r="2060" spans="1:2" ht="15.75" x14ac:dyDescent="0.25">
      <c r="A2060" s="109" t="s">
        <v>265</v>
      </c>
      <c r="B2060" s="109" t="s">
        <v>759</v>
      </c>
    </row>
    <row r="2061" spans="1:2" x14ac:dyDescent="0.25">
      <c r="A2061" t="s">
        <v>269</v>
      </c>
      <c r="B2061" t="s">
        <v>836</v>
      </c>
    </row>
    <row r="2062" spans="1:2" x14ac:dyDescent="0.25">
      <c r="A2062" t="s">
        <v>272</v>
      </c>
      <c r="B2062" t="s">
        <v>353</v>
      </c>
    </row>
    <row r="2063" spans="1:2" x14ac:dyDescent="0.25">
      <c r="A2063" t="s">
        <v>274</v>
      </c>
      <c r="B2063" t="s">
        <v>758</v>
      </c>
    </row>
    <row r="2064" spans="1:2" x14ac:dyDescent="0.25">
      <c r="A2064" t="s">
        <v>276</v>
      </c>
      <c r="B2064" t="s">
        <v>277</v>
      </c>
    </row>
    <row r="2065" spans="1:2" x14ac:dyDescent="0.25">
      <c r="A2065" t="s">
        <v>278</v>
      </c>
      <c r="B2065" t="s">
        <v>279</v>
      </c>
    </row>
    <row r="2066" spans="1:2" ht="15.75" x14ac:dyDescent="0.25">
      <c r="A2066" s="109" t="s">
        <v>280</v>
      </c>
    </row>
    <row r="2067" spans="1:2" x14ac:dyDescent="0.25">
      <c r="A2067" t="s">
        <v>881</v>
      </c>
    </row>
    <row r="2069" spans="1:2" ht="15.75" x14ac:dyDescent="0.25">
      <c r="A2069" s="109" t="s">
        <v>265</v>
      </c>
      <c r="B2069" s="109" t="s">
        <v>759</v>
      </c>
    </row>
    <row r="2070" spans="1:2" x14ac:dyDescent="0.25">
      <c r="A2070" t="s">
        <v>269</v>
      </c>
      <c r="B2070" t="s">
        <v>837</v>
      </c>
    </row>
    <row r="2071" spans="1:2" x14ac:dyDescent="0.25">
      <c r="A2071" t="s">
        <v>272</v>
      </c>
      <c r="B2071" t="s">
        <v>371</v>
      </c>
    </row>
    <row r="2072" spans="1:2" x14ac:dyDescent="0.25">
      <c r="A2072" t="s">
        <v>274</v>
      </c>
      <c r="B2072" t="s">
        <v>758</v>
      </c>
    </row>
    <row r="2073" spans="1:2" x14ac:dyDescent="0.25">
      <c r="A2073" t="s">
        <v>276</v>
      </c>
      <c r="B2073" t="s">
        <v>277</v>
      </c>
    </row>
    <row r="2074" spans="1:2" x14ac:dyDescent="0.25">
      <c r="A2074" t="s">
        <v>278</v>
      </c>
      <c r="B2074" t="s">
        <v>279</v>
      </c>
    </row>
    <row r="2075" spans="1:2" ht="15.75" x14ac:dyDescent="0.25">
      <c r="A2075" s="109" t="s">
        <v>280</v>
      </c>
    </row>
    <row r="2076" spans="1:2" x14ac:dyDescent="0.25">
      <c r="A2076" t="s">
        <v>881</v>
      </c>
    </row>
    <row r="2078" spans="1:2" ht="15.75" x14ac:dyDescent="0.25">
      <c r="A2078" s="109" t="s">
        <v>265</v>
      </c>
      <c r="B2078" s="109" t="s">
        <v>503</v>
      </c>
    </row>
    <row r="2079" spans="1:2" x14ac:dyDescent="0.25">
      <c r="A2079" t="s">
        <v>269</v>
      </c>
      <c r="B2079" t="s">
        <v>846</v>
      </c>
    </row>
    <row r="2080" spans="1:2" x14ac:dyDescent="0.25">
      <c r="A2080" t="s">
        <v>272</v>
      </c>
      <c r="B2080" t="s">
        <v>273</v>
      </c>
    </row>
    <row r="2081" spans="1:2" x14ac:dyDescent="0.25">
      <c r="A2081" t="s">
        <v>274</v>
      </c>
      <c r="B2081" t="s">
        <v>504</v>
      </c>
    </row>
    <row r="2082" spans="1:2" x14ac:dyDescent="0.25">
      <c r="A2082" t="s">
        <v>276</v>
      </c>
      <c r="B2082" t="s">
        <v>277</v>
      </c>
    </row>
    <row r="2083" spans="1:2" x14ac:dyDescent="0.25">
      <c r="A2083" t="s">
        <v>278</v>
      </c>
      <c r="B2083" t="s">
        <v>279</v>
      </c>
    </row>
    <row r="2084" spans="1:2" ht="15.75" x14ac:dyDescent="0.25">
      <c r="A2084" s="109" t="s">
        <v>280</v>
      </c>
    </row>
    <row r="2085" spans="1:2" x14ac:dyDescent="0.25">
      <c r="A2085" t="s">
        <v>881</v>
      </c>
    </row>
    <row r="2087" spans="1:2" ht="15.75" x14ac:dyDescent="0.25">
      <c r="A2087" s="109" t="s">
        <v>265</v>
      </c>
      <c r="B2087" s="109" t="s">
        <v>503</v>
      </c>
    </row>
    <row r="2088" spans="1:2" x14ac:dyDescent="0.25">
      <c r="A2088" t="s">
        <v>269</v>
      </c>
      <c r="B2088" t="s">
        <v>847</v>
      </c>
    </row>
    <row r="2089" spans="1:2" x14ac:dyDescent="0.25">
      <c r="A2089" t="s">
        <v>272</v>
      </c>
      <c r="B2089" t="s">
        <v>634</v>
      </c>
    </row>
    <row r="2090" spans="1:2" x14ac:dyDescent="0.25">
      <c r="A2090" t="s">
        <v>274</v>
      </c>
      <c r="B2090" t="s">
        <v>504</v>
      </c>
    </row>
    <row r="2091" spans="1:2" x14ac:dyDescent="0.25">
      <c r="A2091" t="s">
        <v>276</v>
      </c>
      <c r="B2091" t="s">
        <v>277</v>
      </c>
    </row>
    <row r="2092" spans="1:2" x14ac:dyDescent="0.25">
      <c r="A2092" t="s">
        <v>278</v>
      </c>
      <c r="B2092" t="s">
        <v>279</v>
      </c>
    </row>
    <row r="2093" spans="1:2" ht="15.75" x14ac:dyDescent="0.25">
      <c r="A2093" s="109" t="s">
        <v>280</v>
      </c>
    </row>
    <row r="2094" spans="1:2" x14ac:dyDescent="0.25">
      <c r="A2094" t="s">
        <v>881</v>
      </c>
    </row>
    <row r="2096" spans="1:2" ht="15.75" x14ac:dyDescent="0.25">
      <c r="A2096" s="109" t="s">
        <v>265</v>
      </c>
      <c r="B2096" s="109" t="s">
        <v>503</v>
      </c>
    </row>
    <row r="2097" spans="1:2" x14ac:dyDescent="0.25">
      <c r="A2097" t="s">
        <v>269</v>
      </c>
      <c r="B2097" t="s">
        <v>848</v>
      </c>
    </row>
    <row r="2098" spans="1:2" x14ac:dyDescent="0.25">
      <c r="A2098" t="s">
        <v>272</v>
      </c>
      <c r="B2098" t="s">
        <v>636</v>
      </c>
    </row>
    <row r="2099" spans="1:2" x14ac:dyDescent="0.25">
      <c r="A2099" t="s">
        <v>274</v>
      </c>
      <c r="B2099" t="s">
        <v>504</v>
      </c>
    </row>
    <row r="2100" spans="1:2" x14ac:dyDescent="0.25">
      <c r="A2100" t="s">
        <v>276</v>
      </c>
      <c r="B2100" t="s">
        <v>277</v>
      </c>
    </row>
    <row r="2101" spans="1:2" x14ac:dyDescent="0.25">
      <c r="A2101" t="s">
        <v>278</v>
      </c>
      <c r="B2101" t="s">
        <v>279</v>
      </c>
    </row>
    <row r="2102" spans="1:2" ht="15.75" x14ac:dyDescent="0.25">
      <c r="A2102" s="109" t="s">
        <v>280</v>
      </c>
    </row>
    <row r="2103" spans="1:2" x14ac:dyDescent="0.25">
      <c r="A2103" t="s">
        <v>881</v>
      </c>
    </row>
    <row r="2105" spans="1:2" ht="15.75" x14ac:dyDescent="0.25">
      <c r="A2105" s="109" t="s">
        <v>265</v>
      </c>
      <c r="B2105" s="109" t="s">
        <v>503</v>
      </c>
    </row>
    <row r="2106" spans="1:2" x14ac:dyDescent="0.25">
      <c r="A2106" t="s">
        <v>269</v>
      </c>
      <c r="B2106" t="s">
        <v>849</v>
      </c>
    </row>
    <row r="2107" spans="1:2" x14ac:dyDescent="0.25">
      <c r="A2107" t="s">
        <v>272</v>
      </c>
      <c r="B2107" t="s">
        <v>371</v>
      </c>
    </row>
    <row r="2108" spans="1:2" x14ac:dyDescent="0.25">
      <c r="A2108" t="s">
        <v>274</v>
      </c>
      <c r="B2108" t="s">
        <v>504</v>
      </c>
    </row>
    <row r="2109" spans="1:2" x14ac:dyDescent="0.25">
      <c r="A2109" t="s">
        <v>276</v>
      </c>
      <c r="B2109" t="s">
        <v>277</v>
      </c>
    </row>
    <row r="2110" spans="1:2" x14ac:dyDescent="0.25">
      <c r="A2110" t="s">
        <v>278</v>
      </c>
      <c r="B2110" t="s">
        <v>279</v>
      </c>
    </row>
    <row r="2111" spans="1:2" ht="15.75" x14ac:dyDescent="0.25">
      <c r="A2111" s="109" t="s">
        <v>280</v>
      </c>
    </row>
    <row r="2112" spans="1:2" x14ac:dyDescent="0.25">
      <c r="A2112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Foreground</vt:lpstr>
      <vt:lpstr>Modified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Tanguay</dc:creator>
  <cp:lastModifiedBy>Xavier Tanguay</cp:lastModifiedBy>
  <dcterms:created xsi:type="dcterms:W3CDTF">2023-08-25T16:10:54Z</dcterms:created>
  <dcterms:modified xsi:type="dcterms:W3CDTF">2026-02-20T17:18:21Z</dcterms:modified>
</cp:coreProperties>
</file>