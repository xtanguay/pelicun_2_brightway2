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torat\08 - Brightway2 - OpenSees - Pelicun\Publication\Files\Case study 1\"/>
    </mc:Choice>
  </mc:AlternateContent>
  <xr:revisionPtr revIDLastSave="0" documentId="13_ncr:1_{61EDCBC5-47D9-4F27-A10B-5438BE1EAB42}" xr6:coauthVersionLast="47" xr6:coauthVersionMax="47" xr10:uidLastSave="{00000000-0000-0000-0000-000000000000}"/>
  <bookViews>
    <workbookView xWindow="-120" yWindow="-120" windowWidth="38640" windowHeight="21120" xr2:uid="{5D763ECF-791D-4F37-B263-2AE8A210D044}"/>
  </bookViews>
  <sheets>
    <sheet name="CMP_marginals" sheetId="5" r:id="rId1"/>
    <sheet name="CMP_marginals_original" sheetId="3" r:id="rId2"/>
    <sheet name="Filtered" sheetId="1" r:id="rId3"/>
    <sheet name="Raw quantiti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5" l="1"/>
  <c r="F32" i="5"/>
  <c r="G47" i="1"/>
  <c r="G46" i="1"/>
  <c r="F38" i="1"/>
  <c r="F37" i="1"/>
  <c r="F36" i="1"/>
  <c r="F35" i="1"/>
  <c r="F32" i="1"/>
  <c r="F33" i="1"/>
  <c r="F34" i="1" l="1"/>
  <c r="F30" i="1"/>
  <c r="F27" i="1"/>
  <c r="F25" i="1"/>
  <c r="F24" i="1"/>
  <c r="G38" i="1"/>
  <c r="G37" i="1"/>
  <c r="G36" i="1"/>
  <c r="G35" i="1"/>
  <c r="G34" i="1"/>
  <c r="G33" i="1"/>
  <c r="G32" i="1"/>
  <c r="G31" i="1"/>
  <c r="G30" i="1"/>
  <c r="G29" i="1"/>
  <c r="G28" i="1"/>
  <c r="G27" i="1"/>
  <c r="G25" i="1"/>
  <c r="G24" i="1"/>
  <c r="G23" i="1"/>
  <c r="G22" i="1"/>
  <c r="G21" i="1"/>
  <c r="G20" i="1"/>
  <c r="G19" i="1"/>
  <c r="G18" i="1"/>
  <c r="G14" i="1"/>
  <c r="G13" i="1"/>
  <c r="G12" i="1" l="1"/>
  <c r="G11" i="1"/>
  <c r="G10" i="1"/>
  <c r="G9" i="1"/>
  <c r="G8" i="1"/>
  <c r="G26" i="1"/>
  <c r="G17" i="1"/>
  <c r="G16" i="1"/>
  <c r="G15" i="1"/>
  <c r="G7" i="1"/>
  <c r="G6" i="1"/>
  <c r="AO53" i="2" a="1"/>
  <c r="AO53" i="2" s="1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34" i="2"/>
  <c r="Q34" i="2" a="1"/>
  <c r="Q34" i="2" s="1"/>
  <c r="W34" i="2" s="1" a="1"/>
  <c r="W34" i="2" s="1"/>
  <c r="L393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4" i="2"/>
  <c r="L395" i="2"/>
  <c r="L396" i="2"/>
  <c r="L397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40" i="2"/>
  <c r="L441" i="2"/>
  <c r="L442" i="2"/>
  <c r="L443" i="2"/>
  <c r="L444" i="2"/>
  <c r="L4" i="2"/>
  <c r="H31" i="1"/>
  <c r="H34" i="1"/>
  <c r="H35" i="1"/>
  <c r="H36" i="1"/>
  <c r="H37" i="1"/>
  <c r="H38" i="1"/>
  <c r="H33" i="1"/>
  <c r="H32" i="1"/>
  <c r="H29" i="1"/>
  <c r="H26" i="1"/>
  <c r="H23" i="1"/>
  <c r="H21" i="1"/>
  <c r="H19" i="1"/>
  <c r="H13" i="1"/>
  <c r="H11" i="1"/>
  <c r="H9" i="1"/>
  <c r="H7" i="1"/>
  <c r="O35" i="2" a="1"/>
  <c r="O35" i="2" s="1"/>
  <c r="T5" i="2"/>
  <c r="H8" i="1" s="1"/>
  <c r="T6" i="2"/>
  <c r="H10" i="1" s="1"/>
  <c r="T7" i="2"/>
  <c r="H12" i="1" s="1"/>
  <c r="T8" i="2"/>
  <c r="H14" i="1" s="1"/>
  <c r="T9" i="2"/>
  <c r="H15" i="1" s="1"/>
  <c r="T10" i="2"/>
  <c r="H16" i="1" s="1"/>
  <c r="T11" i="2"/>
  <c r="H17" i="1" s="1"/>
  <c r="T12" i="2"/>
  <c r="H18" i="1" s="1"/>
  <c r="T13" i="2"/>
  <c r="H20" i="1" s="1"/>
  <c r="T14" i="2"/>
  <c r="H22" i="1" s="1"/>
  <c r="T15" i="2"/>
  <c r="H24" i="1" s="1"/>
  <c r="T16" i="2"/>
  <c r="H25" i="1" s="1"/>
  <c r="T17" i="2"/>
  <c r="H27" i="1" s="1"/>
  <c r="T18" i="2"/>
  <c r="H28" i="1" s="1"/>
  <c r="T19" i="2"/>
  <c r="H30" i="1" s="1"/>
  <c r="T21" i="2"/>
  <c r="T22" i="2"/>
  <c r="T23" i="2"/>
  <c r="T24" i="2"/>
  <c r="T25" i="2"/>
  <c r="T26" i="2"/>
  <c r="T27" i="2"/>
  <c r="T4" i="2"/>
  <c r="H6" i="1" s="1"/>
  <c r="V44" i="2" l="1" a="1"/>
  <c r="V44" i="2" s="1"/>
  <c r="AE52" i="2" a="1"/>
  <c r="AE52" i="2" s="1"/>
  <c r="AL50" i="2" a="1"/>
  <c r="AL50" i="2" s="1"/>
  <c r="AM48" i="2" a="1"/>
  <c r="AM48" i="2" s="1"/>
  <c r="Y46" i="2" a="1"/>
  <c r="Y46" i="2" s="1"/>
  <c r="AA43" i="2" a="1"/>
  <c r="AA43" i="2" s="1"/>
  <c r="AK40" i="2" a="1"/>
  <c r="AK40" i="2" s="1"/>
  <c r="AH39" i="2" a="1"/>
  <c r="AH39" i="2" s="1"/>
  <c r="AN37" i="2" a="1"/>
  <c r="AN37" i="2" s="1"/>
  <c r="AJ36" i="2" a="1"/>
  <c r="AJ36" i="2" s="1"/>
  <c r="AN35" i="2" a="1"/>
  <c r="AN35" i="2" s="1"/>
  <c r="Z35" i="2" a="1"/>
  <c r="Z35" i="2" s="1"/>
  <c r="AC34" i="2" a="1"/>
  <c r="AC34" i="2" s="1"/>
  <c r="V43" i="2" a="1"/>
  <c r="V43" i="2" s="1"/>
  <c r="V36" i="2" a="1"/>
  <c r="V36" i="2" s="1"/>
  <c r="AH51" i="2" a="1"/>
  <c r="AH51" i="2" s="1"/>
  <c r="AA51" i="2" a="1"/>
  <c r="AA51" i="2" s="1"/>
  <c r="AK50" i="2" a="1"/>
  <c r="AK50" i="2" s="1"/>
  <c r="AD50" i="2" a="1"/>
  <c r="AD50" i="2" s="1"/>
  <c r="W50" i="2" a="1"/>
  <c r="W50" i="2" s="1"/>
  <c r="AH49" i="2" a="1"/>
  <c r="AH49" i="2" s="1"/>
  <c r="AA49" i="2" a="1"/>
  <c r="AA49" i="2" s="1"/>
  <c r="AL48" i="2" a="1"/>
  <c r="AL48" i="2" s="1"/>
  <c r="AE48" i="2" a="1"/>
  <c r="AE48" i="2" s="1"/>
  <c r="X48" i="2" a="1"/>
  <c r="X48" i="2" s="1"/>
  <c r="AB47" i="2" a="1"/>
  <c r="AB47" i="2" s="1"/>
  <c r="AL46" i="2" a="1"/>
  <c r="AL46" i="2" s="1"/>
  <c r="AF46" i="2" a="1"/>
  <c r="AF46" i="2" s="1"/>
  <c r="X46" i="2" a="1"/>
  <c r="X46" i="2" s="1"/>
  <c r="AH45" i="2" a="1"/>
  <c r="AH45" i="2" s="1"/>
  <c r="Z45" i="2" a="1"/>
  <c r="Z45" i="2" s="1"/>
  <c r="AL44" i="2" a="1"/>
  <c r="AL44" i="2" s="1"/>
  <c r="AD44" i="2" a="1"/>
  <c r="AD44" i="2" s="1"/>
  <c r="W44" i="2" a="1"/>
  <c r="W44" i="2" s="1"/>
  <c r="AG43" i="2" a="1"/>
  <c r="AG43" i="2" s="1"/>
  <c r="Z43" i="2" a="1"/>
  <c r="Z43" i="2" s="1"/>
  <c r="AK42" i="2" a="1"/>
  <c r="AK42" i="2" s="1"/>
  <c r="AD42" i="2" a="1"/>
  <c r="AD42" i="2" s="1"/>
  <c r="W42" i="2" a="1"/>
  <c r="W42" i="2" s="1"/>
  <c r="AG41" i="2" a="1"/>
  <c r="AG41" i="2" s="1"/>
  <c r="Z41" i="2" a="1"/>
  <c r="Z41" i="2" s="1"/>
  <c r="AJ40" i="2" a="1"/>
  <c r="AJ40" i="2" s="1"/>
  <c r="AC40" i="2" a="1"/>
  <c r="AC40" i="2" s="1"/>
  <c r="AN39" i="2" a="1"/>
  <c r="AN39" i="2" s="1"/>
  <c r="AG39" i="2" a="1"/>
  <c r="AG39" i="2" s="1"/>
  <c r="Z39" i="2" a="1"/>
  <c r="Z39" i="2" s="1"/>
  <c r="AI38" i="2" a="1"/>
  <c r="AI38" i="2" s="1"/>
  <c r="AB38" i="2" a="1"/>
  <c r="AB38" i="2" s="1"/>
  <c r="AM37" i="2" a="1"/>
  <c r="AM37" i="2" s="1"/>
  <c r="AF37" i="2" a="1"/>
  <c r="AF37" i="2" s="1"/>
  <c r="Y37" i="2" a="1"/>
  <c r="Y37" i="2" s="1"/>
  <c r="AC36" i="2" a="1"/>
  <c r="AC36" i="2" s="1"/>
  <c r="AM35" i="2" a="1"/>
  <c r="AM35" i="2" s="1"/>
  <c r="AG35" i="2" a="1"/>
  <c r="AG35" i="2" s="1"/>
  <c r="Y35" i="2" a="1"/>
  <c r="Y35" i="2" s="1"/>
  <c r="AJ34" i="2" a="1"/>
  <c r="AJ34" i="2" s="1"/>
  <c r="AB34" i="2" a="1"/>
  <c r="AB34" i="2" s="1"/>
  <c r="AM52" i="2" a="1"/>
  <c r="AM52" i="2" s="1"/>
  <c r="AI51" i="2" a="1"/>
  <c r="AI51" i="2" s="1"/>
  <c r="AI49" i="2" a="1"/>
  <c r="AI49" i="2" s="1"/>
  <c r="AM46" i="2" a="1"/>
  <c r="AM46" i="2" s="1"/>
  <c r="X44" i="2" a="1"/>
  <c r="X44" i="2" s="1"/>
  <c r="AE42" i="2" a="1"/>
  <c r="AE42" i="2" s="1"/>
  <c r="AD40" i="2" a="1"/>
  <c r="AD40" i="2" s="1"/>
  <c r="AC38" i="2" a="1"/>
  <c r="AC38" i="2" s="1"/>
  <c r="Z37" i="2" a="1"/>
  <c r="Z37" i="2" s="1"/>
  <c r="AD36" i="2" a="1"/>
  <c r="AD36" i="2" s="1"/>
  <c r="V50" i="2" a="1"/>
  <c r="V50" i="2" s="1"/>
  <c r="V42" i="2" a="1"/>
  <c r="V42" i="2" s="1"/>
  <c r="V35" i="2" a="1"/>
  <c r="V35" i="2" s="1"/>
  <c r="AO54" i="2" a="1"/>
  <c r="AO54" i="2" s="1"/>
  <c r="AL52" i="2" a="1"/>
  <c r="AL52" i="2" s="1"/>
  <c r="AH52" i="2" a="1"/>
  <c r="AH52" i="2" s="1"/>
  <c r="AD52" i="2" a="1"/>
  <c r="AD52" i="2" s="1"/>
  <c r="Z52" i="2" a="1"/>
  <c r="Z52" i="2" s="1"/>
  <c r="AN51" i="2" a="1"/>
  <c r="AN51" i="2" s="1"/>
  <c r="Z51" i="2" a="1"/>
  <c r="Z51" i="2" s="1"/>
  <c r="AC50" i="2" a="1"/>
  <c r="AC50" i="2" s="1"/>
  <c r="AN49" i="2" a="1"/>
  <c r="AN49" i="2" s="1"/>
  <c r="AG49" i="2" a="1"/>
  <c r="AG49" i="2" s="1"/>
  <c r="Z49" i="2" a="1"/>
  <c r="Z49" i="2" s="1"/>
  <c r="AK48" i="2" a="1"/>
  <c r="AK48" i="2" s="1"/>
  <c r="AD48" i="2" a="1"/>
  <c r="AD48" i="2" s="1"/>
  <c r="W48" i="2" a="1"/>
  <c r="W48" i="2" s="1"/>
  <c r="AH47" i="2" a="1"/>
  <c r="AH47" i="2" s="1"/>
  <c r="AA47" i="2" a="1"/>
  <c r="AA47" i="2" s="1"/>
  <c r="AE46" i="2" a="1"/>
  <c r="AE46" i="2" s="1"/>
  <c r="W46" i="2" a="1"/>
  <c r="W46" i="2" s="1"/>
  <c r="AG45" i="2" a="1"/>
  <c r="AG45" i="2" s="1"/>
  <c r="Y45" i="2" a="1"/>
  <c r="Y45" i="2" s="1"/>
  <c r="AK44" i="2" a="1"/>
  <c r="AK44" i="2" s="1"/>
  <c r="AC44" i="2" a="1"/>
  <c r="AC44" i="2" s="1"/>
  <c r="AN43" i="2" a="1"/>
  <c r="AN43" i="2" s="1"/>
  <c r="AF43" i="2" a="1"/>
  <c r="AF43" i="2" s="1"/>
  <c r="AJ42" i="2" a="1"/>
  <c r="AJ42" i="2" s="1"/>
  <c r="AC42" i="2" a="1"/>
  <c r="AC42" i="2" s="1"/>
  <c r="AM41" i="2" a="1"/>
  <c r="AM41" i="2" s="1"/>
  <c r="AF41" i="2" a="1"/>
  <c r="AF41" i="2" s="1"/>
  <c r="Y41" i="2" a="1"/>
  <c r="Y41" i="2" s="1"/>
  <c r="AI40" i="2" a="1"/>
  <c r="AI40" i="2" s="1"/>
  <c r="AB40" i="2" a="1"/>
  <c r="AB40" i="2" s="1"/>
  <c r="AM39" i="2" a="1"/>
  <c r="AM39" i="2" s="1"/>
  <c r="AF39" i="2" a="1"/>
  <c r="AF39" i="2" s="1"/>
  <c r="Y39" i="2" a="1"/>
  <c r="Y39" i="2" s="1"/>
  <c r="AH38" i="2" a="1"/>
  <c r="AH38" i="2" s="1"/>
  <c r="AA38" i="2" a="1"/>
  <c r="AA38" i="2" s="1"/>
  <c r="AL37" i="2" a="1"/>
  <c r="AL37" i="2" s="1"/>
  <c r="AE37" i="2" a="1"/>
  <c r="AE37" i="2" s="1"/>
  <c r="X37" i="2" a="1"/>
  <c r="X37" i="2" s="1"/>
  <c r="AI36" i="2" a="1"/>
  <c r="AI36" i="2" s="1"/>
  <c r="AB36" i="2" a="1"/>
  <c r="AB36" i="2" s="1"/>
  <c r="AF35" i="2" a="1"/>
  <c r="AF35" i="2" s="1"/>
  <c r="X35" i="2" a="1"/>
  <c r="X35" i="2" s="1"/>
  <c r="AI34" i="2" a="1"/>
  <c r="AI34" i="2" s="1"/>
  <c r="AA34" i="2" a="1"/>
  <c r="AA34" i="2" s="1"/>
  <c r="V41" i="2" a="1"/>
  <c r="V41" i="2" s="1"/>
  <c r="Y51" i="2" a="1"/>
  <c r="Y51" i="2" s="1"/>
  <c r="AB50" i="2" a="1"/>
  <c r="AB50" i="2" s="1"/>
  <c r="Y49" i="2" a="1"/>
  <c r="Y49" i="2" s="1"/>
  <c r="AJ48" i="2" a="1"/>
  <c r="AJ48" i="2" s="1"/>
  <c r="AC48" i="2" a="1"/>
  <c r="AC48" i="2" s="1"/>
  <c r="AN47" i="2" a="1"/>
  <c r="AN47" i="2" s="1"/>
  <c r="AG47" i="2" a="1"/>
  <c r="AG47" i="2" s="1"/>
  <c r="Z47" i="2" a="1"/>
  <c r="Z47" i="2" s="1"/>
  <c r="AK46" i="2" a="1"/>
  <c r="AK46" i="2" s="1"/>
  <c r="AD46" i="2" a="1"/>
  <c r="AD46" i="2" s="1"/>
  <c r="AM45" i="2" a="1"/>
  <c r="AM45" i="2" s="1"/>
  <c r="AF45" i="2" a="1"/>
  <c r="AF45" i="2" s="1"/>
  <c r="AJ44" i="2" a="1"/>
  <c r="AJ44" i="2" s="1"/>
  <c r="AB44" i="2" a="1"/>
  <c r="AB44" i="2" s="1"/>
  <c r="AM43" i="2" a="1"/>
  <c r="AM43" i="2" s="1"/>
  <c r="AE43" i="2" a="1"/>
  <c r="AE43" i="2" s="1"/>
  <c r="Y43" i="2" a="1"/>
  <c r="Y43" i="2" s="1"/>
  <c r="AI42" i="2" a="1"/>
  <c r="AI42" i="2" s="1"/>
  <c r="AL41" i="2" a="1"/>
  <c r="AL41" i="2" s="1"/>
  <c r="X41" i="2" a="1"/>
  <c r="X41" i="2" s="1"/>
  <c r="AA40" i="2" a="1"/>
  <c r="AA40" i="2" s="1"/>
  <c r="AL39" i="2" a="1"/>
  <c r="AL39" i="2" s="1"/>
  <c r="AE39" i="2" a="1"/>
  <c r="AE39" i="2" s="1"/>
  <c r="X39" i="2" a="1"/>
  <c r="X39" i="2" s="1"/>
  <c r="AG38" i="2" a="1"/>
  <c r="AG38" i="2" s="1"/>
  <c r="Z38" i="2" a="1"/>
  <c r="Z38" i="2" s="1"/>
  <c r="AK37" i="2" a="1"/>
  <c r="AK37" i="2" s="1"/>
  <c r="AD37" i="2" a="1"/>
  <c r="AD37" i="2" s="1"/>
  <c r="W37" i="2" a="1"/>
  <c r="W37" i="2" s="1"/>
  <c r="AH36" i="2" a="1"/>
  <c r="AH36" i="2" s="1"/>
  <c r="AA36" i="2" a="1"/>
  <c r="AA36" i="2" s="1"/>
  <c r="AL35" i="2" a="1"/>
  <c r="AL35" i="2" s="1"/>
  <c r="AE35" i="2" a="1"/>
  <c r="AE35" i="2" s="1"/>
  <c r="W35" i="2" a="1"/>
  <c r="W35" i="2" s="1"/>
  <c r="AH34" i="2" a="1"/>
  <c r="AH34" i="2" s="1"/>
  <c r="Z34" i="2" a="1"/>
  <c r="Z34" i="2" s="1"/>
  <c r="V51" i="2" a="1"/>
  <c r="V51" i="2" s="1"/>
  <c r="AI52" i="2" a="1"/>
  <c r="AI52" i="2" s="1"/>
  <c r="AB51" i="2" a="1"/>
  <c r="AB51" i="2" s="1"/>
  <c r="AB49" i="2" a="1"/>
  <c r="AB49" i="2" s="1"/>
  <c r="AC47" i="2" a="1"/>
  <c r="AC47" i="2" s="1"/>
  <c r="AE44" i="2" a="1"/>
  <c r="AE44" i="2" s="1"/>
  <c r="AL42" i="2" a="1"/>
  <c r="AL42" i="2" s="1"/>
  <c r="AA41" i="2" a="1"/>
  <c r="AA41" i="2" s="1"/>
  <c r="W40" i="2" a="1"/>
  <c r="W40" i="2" s="1"/>
  <c r="V49" i="2" a="1"/>
  <c r="V49" i="2" s="1"/>
  <c r="AM51" i="2" a="1"/>
  <c r="AM51" i="2" s="1"/>
  <c r="AG51" i="2" a="1"/>
  <c r="AG51" i="2" s="1"/>
  <c r="AJ50" i="2" a="1"/>
  <c r="AJ50" i="2" s="1"/>
  <c r="AF49" i="2" a="1"/>
  <c r="AF49" i="2" s="1"/>
  <c r="V48" i="2" a="1"/>
  <c r="V48" i="2" s="1"/>
  <c r="V40" i="2" a="1"/>
  <c r="V40" i="2" s="1"/>
  <c r="AO57" i="2" a="1"/>
  <c r="AO57" i="2" s="1"/>
  <c r="AK52" i="2" a="1"/>
  <c r="AK52" i="2" s="1"/>
  <c r="AG52" i="2" a="1"/>
  <c r="AG52" i="2" s="1"/>
  <c r="AC52" i="2" a="1"/>
  <c r="AC52" i="2" s="1"/>
  <c r="Y52" i="2" a="1"/>
  <c r="Y52" i="2" s="1"/>
  <c r="AF51" i="2" a="1"/>
  <c r="AF51" i="2" s="1"/>
  <c r="X51" i="2" a="1"/>
  <c r="X51" i="2" s="1"/>
  <c r="AI50" i="2" a="1"/>
  <c r="AI50" i="2" s="1"/>
  <c r="AA50" i="2" a="1"/>
  <c r="AA50" i="2" s="1"/>
  <c r="AM49" i="2" a="1"/>
  <c r="AM49" i="2" s="1"/>
  <c r="AE49" i="2" a="1"/>
  <c r="AE49" i="2" s="1"/>
  <c r="X49" i="2" a="1"/>
  <c r="X49" i="2" s="1"/>
  <c r="AI48" i="2" a="1"/>
  <c r="AI48" i="2" s="1"/>
  <c r="AB48" i="2" a="1"/>
  <c r="AB48" i="2" s="1"/>
  <c r="AM47" i="2" a="1"/>
  <c r="AM47" i="2" s="1"/>
  <c r="AF47" i="2" a="1"/>
  <c r="AF47" i="2" s="1"/>
  <c r="Y47" i="2" a="1"/>
  <c r="Y47" i="2" s="1"/>
  <c r="AJ46" i="2" a="1"/>
  <c r="AJ46" i="2" s="1"/>
  <c r="AC46" i="2" a="1"/>
  <c r="AC46" i="2" s="1"/>
  <c r="AL45" i="2" a="1"/>
  <c r="AL45" i="2" s="1"/>
  <c r="AE45" i="2" a="1"/>
  <c r="AE45" i="2" s="1"/>
  <c r="X45" i="2" a="1"/>
  <c r="X45" i="2" s="1"/>
  <c r="AI44" i="2" a="1"/>
  <c r="AI44" i="2" s="1"/>
  <c r="AL43" i="2" a="1"/>
  <c r="AL43" i="2" s="1"/>
  <c r="X43" i="2" a="1"/>
  <c r="X43" i="2" s="1"/>
  <c r="AH42" i="2" a="1"/>
  <c r="AH42" i="2" s="1"/>
  <c r="AB42" i="2" a="1"/>
  <c r="AB42" i="2" s="1"/>
  <c r="AK41" i="2" a="1"/>
  <c r="AK41" i="2" s="1"/>
  <c r="AE41" i="2" a="1"/>
  <c r="AE41" i="2" s="1"/>
  <c r="W41" i="2" a="1"/>
  <c r="W41" i="2" s="1"/>
  <c r="AH40" i="2" a="1"/>
  <c r="AH40" i="2" s="1"/>
  <c r="Z40" i="2" a="1"/>
  <c r="Z40" i="2" s="1"/>
  <c r="AD39" i="2" a="1"/>
  <c r="AD39" i="2" s="1"/>
  <c r="W39" i="2" a="1"/>
  <c r="W39" i="2" s="1"/>
  <c r="AF38" i="2" a="1"/>
  <c r="AF38" i="2" s="1"/>
  <c r="Y38" i="2" a="1"/>
  <c r="Y38" i="2" s="1"/>
  <c r="AJ37" i="2" a="1"/>
  <c r="AJ37" i="2" s="1"/>
  <c r="AC37" i="2" a="1"/>
  <c r="AC37" i="2" s="1"/>
  <c r="AN36" i="2" a="1"/>
  <c r="AN36" i="2" s="1"/>
  <c r="AG36" i="2" a="1"/>
  <c r="AG36" i="2" s="1"/>
  <c r="Z36" i="2" a="1"/>
  <c r="Z36" i="2" s="1"/>
  <c r="AK35" i="2" a="1"/>
  <c r="AK35" i="2" s="1"/>
  <c r="AD35" i="2" a="1"/>
  <c r="AD35" i="2" s="1"/>
  <c r="AN34" i="2" a="1"/>
  <c r="AN34" i="2" s="1"/>
  <c r="AG34" i="2" a="1"/>
  <c r="AG34" i="2" s="1"/>
  <c r="Y34" i="2" a="1"/>
  <c r="Y34" i="2" s="1"/>
  <c r="V47" i="2" a="1"/>
  <c r="V47" i="2" s="1"/>
  <c r="V39" i="2" a="1"/>
  <c r="V39" i="2" s="1"/>
  <c r="AL51" i="2" a="1"/>
  <c r="AL51" i="2" s="1"/>
  <c r="AE51" i="2" a="1"/>
  <c r="AE51" i="2" s="1"/>
  <c r="W51" i="2" a="1"/>
  <c r="W51" i="2" s="1"/>
  <c r="AH50" i="2" a="1"/>
  <c r="AH50" i="2" s="1"/>
  <c r="Z50" i="2" a="1"/>
  <c r="Z50" i="2" s="1"/>
  <c r="AL49" i="2" a="1"/>
  <c r="AL49" i="2" s="1"/>
  <c r="AD49" i="2" a="1"/>
  <c r="AD49" i="2" s="1"/>
  <c r="AH48" i="2" a="1"/>
  <c r="AH48" i="2" s="1"/>
  <c r="AA48" i="2" a="1"/>
  <c r="AA48" i="2" s="1"/>
  <c r="AL47" i="2" a="1"/>
  <c r="AL47" i="2" s="1"/>
  <c r="AE47" i="2" a="1"/>
  <c r="AE47" i="2" s="1"/>
  <c r="X47" i="2" a="1"/>
  <c r="X47" i="2" s="1"/>
  <c r="AI46" i="2" a="1"/>
  <c r="AI46" i="2" s="1"/>
  <c r="AB46" i="2" a="1"/>
  <c r="AB46" i="2" s="1"/>
  <c r="AK45" i="2" a="1"/>
  <c r="AK45" i="2" s="1"/>
  <c r="AD45" i="2" a="1"/>
  <c r="AD45" i="2" s="1"/>
  <c r="W45" i="2" a="1"/>
  <c r="W45" i="2" s="1"/>
  <c r="AH44" i="2" a="1"/>
  <c r="AH44" i="2" s="1"/>
  <c r="AA44" i="2" a="1"/>
  <c r="AA44" i="2" s="1"/>
  <c r="AK43" i="2" a="1"/>
  <c r="AK43" i="2" s="1"/>
  <c r="AD43" i="2" a="1"/>
  <c r="AD43" i="2" s="1"/>
  <c r="W43" i="2" a="1"/>
  <c r="W43" i="2" s="1"/>
  <c r="AA42" i="2" a="1"/>
  <c r="AA42" i="2" s="1"/>
  <c r="AD41" i="2" a="1"/>
  <c r="AD41" i="2" s="1"/>
  <c r="AG40" i="2" a="1"/>
  <c r="AG40" i="2" s="1"/>
  <c r="Y40" i="2" a="1"/>
  <c r="Y40" i="2" s="1"/>
  <c r="AK39" i="2" a="1"/>
  <c r="AK39" i="2" s="1"/>
  <c r="AC39" i="2" a="1"/>
  <c r="AC39" i="2" s="1"/>
  <c r="AM38" i="2" a="1"/>
  <c r="AM38" i="2" s="1"/>
  <c r="AE38" i="2" a="1"/>
  <c r="AE38" i="2" s="1"/>
  <c r="AI37" i="2" a="1"/>
  <c r="AI37" i="2" s="1"/>
  <c r="AB37" i="2" a="1"/>
  <c r="AB37" i="2" s="1"/>
  <c r="AM36" i="2" a="1"/>
  <c r="AM36" i="2" s="1"/>
  <c r="AF36" i="2" a="1"/>
  <c r="AF36" i="2" s="1"/>
  <c r="Y36" i="2" a="1"/>
  <c r="Y36" i="2" s="1"/>
  <c r="AJ35" i="2" a="1"/>
  <c r="AJ35" i="2" s="1"/>
  <c r="AC35" i="2" a="1"/>
  <c r="AC35" i="2" s="1"/>
  <c r="AM34" i="2" a="1"/>
  <c r="AM34" i="2" s="1"/>
  <c r="AF34" i="2" a="1"/>
  <c r="AF34" i="2" s="1"/>
  <c r="AO55" i="2" a="1"/>
  <c r="AO55" i="2" s="1"/>
  <c r="AA52" i="2" a="1"/>
  <c r="AA52" i="2" s="1"/>
  <c r="AE50" i="2" a="1"/>
  <c r="AE50" i="2" s="1"/>
  <c r="Y48" i="2" a="1"/>
  <c r="Y48" i="2" s="1"/>
  <c r="AI45" i="2" a="1"/>
  <c r="AI45" i="2" s="1"/>
  <c r="AH43" i="2" a="1"/>
  <c r="AH43" i="2" s="1"/>
  <c r="AH41" i="2" a="1"/>
  <c r="AH41" i="2" s="1"/>
  <c r="AJ38" i="2" a="1"/>
  <c r="AJ38" i="2" s="1"/>
  <c r="V34" i="2" a="1"/>
  <c r="V34" i="2" s="1"/>
  <c r="V46" i="2" a="1"/>
  <c r="V46" i="2" s="1"/>
  <c r="V38" i="2" a="1"/>
  <c r="V38" i="2" s="1"/>
  <c r="AO56" i="2" a="1"/>
  <c r="AO56" i="2" s="1"/>
  <c r="AN52" i="2" a="1"/>
  <c r="AN52" i="2" s="1"/>
  <c r="AJ52" i="2" a="1"/>
  <c r="AJ52" i="2" s="1"/>
  <c r="AF52" i="2" a="1"/>
  <c r="AF52" i="2" s="1"/>
  <c r="AB52" i="2" a="1"/>
  <c r="AB52" i="2" s="1"/>
  <c r="X52" i="2" a="1"/>
  <c r="X52" i="2" s="1"/>
  <c r="AK51" i="2" a="1"/>
  <c r="AK51" i="2" s="1"/>
  <c r="AD51" i="2" a="1"/>
  <c r="AD51" i="2" s="1"/>
  <c r="AN50" i="2" a="1"/>
  <c r="AN50" i="2" s="1"/>
  <c r="AG50" i="2" a="1"/>
  <c r="AG50" i="2" s="1"/>
  <c r="AK49" i="2" a="1"/>
  <c r="AK49" i="2" s="1"/>
  <c r="AC49" i="2" a="1"/>
  <c r="AC49" i="2" s="1"/>
  <c r="W49" i="2" a="1"/>
  <c r="W49" i="2" s="1"/>
  <c r="AG48" i="2" a="1"/>
  <c r="AG48" i="2" s="1"/>
  <c r="AK47" i="2" a="1"/>
  <c r="AK47" i="2" s="1"/>
  <c r="AD47" i="2" a="1"/>
  <c r="AD47" i="2" s="1"/>
  <c r="W47" i="2" a="1"/>
  <c r="W47" i="2" s="1"/>
  <c r="AH46" i="2" a="1"/>
  <c r="AH46" i="2" s="1"/>
  <c r="AA46" i="2" a="1"/>
  <c r="AA46" i="2" s="1"/>
  <c r="AJ45" i="2" a="1"/>
  <c r="AJ45" i="2" s="1"/>
  <c r="AC45" i="2" a="1"/>
  <c r="AC45" i="2" s="1"/>
  <c r="AN44" i="2" a="1"/>
  <c r="AN44" i="2" s="1"/>
  <c r="AG44" i="2" a="1"/>
  <c r="AG44" i="2" s="1"/>
  <c r="Z44" i="2" a="1"/>
  <c r="Z44" i="2" s="1"/>
  <c r="AJ43" i="2" a="1"/>
  <c r="AJ43" i="2" s="1"/>
  <c r="AC43" i="2" a="1"/>
  <c r="AC43" i="2" s="1"/>
  <c r="AN42" i="2" a="1"/>
  <c r="AN42" i="2" s="1"/>
  <c r="AG42" i="2" a="1"/>
  <c r="AG42" i="2" s="1"/>
  <c r="Z42" i="2" a="1"/>
  <c r="Z42" i="2" s="1"/>
  <c r="AJ41" i="2" a="1"/>
  <c r="AJ41" i="2" s="1"/>
  <c r="AC41" i="2" a="1"/>
  <c r="AC41" i="2" s="1"/>
  <c r="AM40" i="2" a="1"/>
  <c r="AM40" i="2" s="1"/>
  <c r="AF40" i="2" a="1"/>
  <c r="AF40" i="2" s="1"/>
  <c r="X40" i="2" a="1"/>
  <c r="X40" i="2" s="1"/>
  <c r="AJ39" i="2" a="1"/>
  <c r="AJ39" i="2" s="1"/>
  <c r="AB39" i="2" a="1"/>
  <c r="AB39" i="2" s="1"/>
  <c r="AL38" i="2" a="1"/>
  <c r="AL38" i="2" s="1"/>
  <c r="AD38" i="2" a="1"/>
  <c r="AD38" i="2" s="1"/>
  <c r="X38" i="2" a="1"/>
  <c r="X38" i="2" s="1"/>
  <c r="AH37" i="2" a="1"/>
  <c r="AH37" i="2" s="1"/>
  <c r="AL36" i="2" a="1"/>
  <c r="AL36" i="2" s="1"/>
  <c r="AE36" i="2" a="1"/>
  <c r="AE36" i="2" s="1"/>
  <c r="X36" i="2" a="1"/>
  <c r="X36" i="2" s="1"/>
  <c r="AI35" i="2" a="1"/>
  <c r="AI35" i="2" s="1"/>
  <c r="AB35" i="2" a="1"/>
  <c r="AB35" i="2" s="1"/>
  <c r="AL34" i="2" a="1"/>
  <c r="AL34" i="2" s="1"/>
  <c r="AE34" i="2" a="1"/>
  <c r="AE34" i="2" s="1"/>
  <c r="X34" i="2" a="1"/>
  <c r="X34" i="2" s="1"/>
  <c r="V37" i="2" a="1"/>
  <c r="V37" i="2" s="1"/>
  <c r="W52" i="2" a="1"/>
  <c r="W52" i="2" s="1"/>
  <c r="X50" i="2" a="1"/>
  <c r="X50" i="2" s="1"/>
  <c r="AI47" i="2" a="1"/>
  <c r="AI47" i="2" s="1"/>
  <c r="AA45" i="2" a="1"/>
  <c r="AA45" i="2" s="1"/>
  <c r="X42" i="2" a="1"/>
  <c r="X42" i="2" s="1"/>
  <c r="V52" i="2" a="1"/>
  <c r="V52" i="2" s="1"/>
  <c r="V45" i="2" a="1"/>
  <c r="V45" i="2" s="1"/>
  <c r="AJ51" i="2" a="1"/>
  <c r="AJ51" i="2" s="1"/>
  <c r="AC51" i="2" a="1"/>
  <c r="AC51" i="2" s="1"/>
  <c r="AM50" i="2" a="1"/>
  <c r="AM50" i="2" s="1"/>
  <c r="AF50" i="2" a="1"/>
  <c r="AF50" i="2" s="1"/>
  <c r="Y50" i="2" a="1"/>
  <c r="Y50" i="2" s="1"/>
  <c r="AJ49" i="2" a="1"/>
  <c r="AJ49" i="2" s="1"/>
  <c r="AN48" i="2" a="1"/>
  <c r="AN48" i="2" s="1"/>
  <c r="AF48" i="2" a="1"/>
  <c r="AF48" i="2" s="1"/>
  <c r="Z48" i="2" a="1"/>
  <c r="Z48" i="2" s="1"/>
  <c r="AJ47" i="2" a="1"/>
  <c r="AJ47" i="2" s="1"/>
  <c r="AN46" i="2" a="1"/>
  <c r="AN46" i="2" s="1"/>
  <c r="AG46" i="2" a="1"/>
  <c r="AG46" i="2" s="1"/>
  <c r="Z46" i="2" a="1"/>
  <c r="Z46" i="2" s="1"/>
  <c r="AB45" i="2" a="1"/>
  <c r="AB45" i="2" s="1"/>
  <c r="AM44" i="2" a="1"/>
  <c r="AM44" i="2" s="1"/>
  <c r="AF44" i="2" a="1"/>
  <c r="AF44" i="2" s="1"/>
  <c r="Y44" i="2" a="1"/>
  <c r="Y44" i="2" s="1"/>
  <c r="AI43" i="2" a="1"/>
  <c r="AI43" i="2" s="1"/>
  <c r="AB43" i="2" a="1"/>
  <c r="AB43" i="2" s="1"/>
  <c r="AM42" i="2" a="1"/>
  <c r="AM42" i="2" s="1"/>
  <c r="AF42" i="2" a="1"/>
  <c r="AF42" i="2" s="1"/>
  <c r="Y42" i="2" a="1"/>
  <c r="Y42" i="2" s="1"/>
  <c r="AI41" i="2" a="1"/>
  <c r="AI41" i="2" s="1"/>
  <c r="AB41" i="2" a="1"/>
  <c r="AB41" i="2" s="1"/>
  <c r="AL40" i="2" a="1"/>
  <c r="AL40" i="2" s="1"/>
  <c r="AE40" i="2" a="1"/>
  <c r="AE40" i="2" s="1"/>
  <c r="AI39" i="2" a="1"/>
  <c r="AI39" i="2" s="1"/>
  <c r="AA39" i="2" a="1"/>
  <c r="AA39" i="2" s="1"/>
  <c r="AK38" i="2" a="1"/>
  <c r="AK38" i="2" s="1"/>
  <c r="W38" i="2" a="1"/>
  <c r="W38" i="2" s="1"/>
  <c r="AG37" i="2" a="1"/>
  <c r="AG37" i="2" s="1"/>
  <c r="AA37" i="2" a="1"/>
  <c r="AA37" i="2" s="1"/>
  <c r="AK36" i="2" a="1"/>
  <c r="AK36" i="2" s="1"/>
  <c r="W36" i="2" a="1"/>
  <c r="W36" i="2" s="1"/>
  <c r="AH35" i="2" a="1"/>
  <c r="AH35" i="2" s="1"/>
  <c r="AA35" i="2" a="1"/>
  <c r="AA35" i="2" s="1"/>
  <c r="AK34" i="2" a="1"/>
  <c r="AK34" i="2" s="1"/>
  <c r="AD34" i="2" a="1"/>
  <c r="AD34" i="2" s="1"/>
  <c r="Q4" i="2" a="1"/>
  <c r="B13" i="1" l="1"/>
  <c r="B19" i="1"/>
  <c r="B29" i="1"/>
  <c r="B21" i="1"/>
  <c r="B31" i="1"/>
  <c r="B23" i="1"/>
  <c r="B26" i="1"/>
  <c r="B11" i="1"/>
  <c r="B9" i="1"/>
  <c r="V16" i="2" a="1"/>
  <c r="V16" i="2" s="1"/>
  <c r="V14" i="2" a="1"/>
  <c r="V14" i="2" s="1"/>
  <c r="F22" i="1" s="1"/>
  <c r="Y13" i="2" a="1"/>
  <c r="Y13" i="2" s="1"/>
  <c r="V13" i="2" a="1"/>
  <c r="V13" i="2" s="1"/>
  <c r="F20" i="1" s="1"/>
  <c r="X14" i="2" a="1"/>
  <c r="X14" i="2" s="1"/>
  <c r="V18" i="2" a="1"/>
  <c r="V18" i="2" s="1"/>
  <c r="F28" i="1" s="1"/>
  <c r="V12" i="2" a="1"/>
  <c r="V12" i="2" s="1"/>
  <c r="F18" i="1" s="1"/>
  <c r="Y18" i="2" a="1"/>
  <c r="Y18" i="2" s="1"/>
  <c r="X11" i="2" a="1"/>
  <c r="X11" i="2" s="1"/>
  <c r="W5" i="2" a="1"/>
  <c r="W5" i="2" s="1"/>
  <c r="AD5" i="2" a="1"/>
  <c r="AD5" i="2" s="1"/>
  <c r="AL5" i="2" a="1"/>
  <c r="AL5" i="2" s="1"/>
  <c r="Z6" i="2" a="1"/>
  <c r="Z6" i="2" s="1"/>
  <c r="AH6" i="2" a="1"/>
  <c r="AH6" i="2" s="1"/>
  <c r="V7" i="2" a="1"/>
  <c r="V7" i="2" s="1"/>
  <c r="F12" i="1" s="1"/>
  <c r="AD7" i="2" a="1"/>
  <c r="AD7" i="2" s="1"/>
  <c r="AL7" i="2" a="1"/>
  <c r="AL7" i="2" s="1"/>
  <c r="Z8" i="2" a="1"/>
  <c r="Z8" i="2" s="1"/>
  <c r="AH8" i="2" a="1"/>
  <c r="AH8" i="2" s="1"/>
  <c r="V9" i="2" a="1"/>
  <c r="V9" i="2" s="1"/>
  <c r="F15" i="1" s="1"/>
  <c r="AD9" i="2" a="1"/>
  <c r="AD9" i="2" s="1"/>
  <c r="AL9" i="2" a="1"/>
  <c r="AL9" i="2" s="1"/>
  <c r="Z10" i="2" a="1"/>
  <c r="Z10" i="2" s="1"/>
  <c r="AH10" i="2" a="1"/>
  <c r="AH10" i="2" s="1"/>
  <c r="V11" i="2" a="1"/>
  <c r="V11" i="2" s="1"/>
  <c r="F17" i="1" s="1"/>
  <c r="AD11" i="2" a="1"/>
  <c r="AD11" i="2" s="1"/>
  <c r="AL11" i="2" a="1"/>
  <c r="AL11" i="2" s="1"/>
  <c r="Z12" i="2" a="1"/>
  <c r="Z12" i="2" s="1"/>
  <c r="AH12" i="2" a="1"/>
  <c r="AH12" i="2" s="1"/>
  <c r="AD13" i="2" a="1"/>
  <c r="AD13" i="2" s="1"/>
  <c r="AL13" i="2" a="1"/>
  <c r="AL13" i="2" s="1"/>
  <c r="Z14" i="2" a="1"/>
  <c r="Z14" i="2" s="1"/>
  <c r="AH14" i="2" a="1"/>
  <c r="AH14" i="2" s="1"/>
  <c r="V15" i="2" a="1"/>
  <c r="V15" i="2" s="1"/>
  <c r="AD15" i="2" a="1"/>
  <c r="AD15" i="2" s="1"/>
  <c r="AL15" i="2" a="1"/>
  <c r="AL15" i="2" s="1"/>
  <c r="Z16" i="2" a="1"/>
  <c r="Z16" i="2" s="1"/>
  <c r="AH16" i="2" a="1"/>
  <c r="AH16" i="2" s="1"/>
  <c r="V17" i="2" a="1"/>
  <c r="V17" i="2" s="1"/>
  <c r="AD17" i="2" a="1"/>
  <c r="AD17" i="2" s="1"/>
  <c r="AL17" i="2" a="1"/>
  <c r="AL17" i="2" s="1"/>
  <c r="Z18" i="2" a="1"/>
  <c r="Z18" i="2" s="1"/>
  <c r="AH18" i="2" a="1"/>
  <c r="AH18" i="2" s="1"/>
  <c r="V19" i="2" a="1"/>
  <c r="V19" i="2" s="1"/>
  <c r="AD19" i="2" a="1"/>
  <c r="AD19" i="2" s="1"/>
  <c r="AL19" i="2" a="1"/>
  <c r="AL19" i="2" s="1"/>
  <c r="Z21" i="2" a="1"/>
  <c r="Z21" i="2" s="1"/>
  <c r="AH21" i="2" a="1"/>
  <c r="AH21" i="2" s="1"/>
  <c r="V22" i="2" a="1"/>
  <c r="V22" i="2" s="1"/>
  <c r="AD22" i="2" a="1"/>
  <c r="AD22" i="2" s="1"/>
  <c r="AL22" i="2" a="1"/>
  <c r="AL22" i="2" s="1"/>
  <c r="X5" i="2" a="1"/>
  <c r="X5" i="2" s="1"/>
  <c r="AE5" i="2" a="1"/>
  <c r="AE5" i="2" s="1"/>
  <c r="AM5" i="2" a="1"/>
  <c r="AM5" i="2" s="1"/>
  <c r="AA6" i="2" a="1"/>
  <c r="AA6" i="2" s="1"/>
  <c r="AI6" i="2" a="1"/>
  <c r="AI6" i="2" s="1"/>
  <c r="W7" i="2" a="1"/>
  <c r="W7" i="2" s="1"/>
  <c r="AE7" i="2" a="1"/>
  <c r="AE7" i="2" s="1"/>
  <c r="AM7" i="2" a="1"/>
  <c r="AM7" i="2" s="1"/>
  <c r="AA8" i="2" a="1"/>
  <c r="AA8" i="2" s="1"/>
  <c r="AI8" i="2" a="1"/>
  <c r="AI8" i="2" s="1"/>
  <c r="W9" i="2" a="1"/>
  <c r="W9" i="2" s="1"/>
  <c r="AE9" i="2" a="1"/>
  <c r="AE9" i="2" s="1"/>
  <c r="AM9" i="2" a="1"/>
  <c r="AM9" i="2" s="1"/>
  <c r="AA10" i="2" a="1"/>
  <c r="AA10" i="2" s="1"/>
  <c r="AI10" i="2" a="1"/>
  <c r="AI10" i="2" s="1"/>
  <c r="W11" i="2" a="1"/>
  <c r="W11" i="2" s="1"/>
  <c r="AE11" i="2" a="1"/>
  <c r="AE11" i="2" s="1"/>
  <c r="AM11" i="2" a="1"/>
  <c r="AM11" i="2" s="1"/>
  <c r="AA12" i="2" a="1"/>
  <c r="AA12" i="2" s="1"/>
  <c r="AI12" i="2" a="1"/>
  <c r="AI12" i="2" s="1"/>
  <c r="W13" i="2" a="1"/>
  <c r="W13" i="2" s="1"/>
  <c r="AE13" i="2" a="1"/>
  <c r="AE13" i="2" s="1"/>
  <c r="AM13" i="2" a="1"/>
  <c r="AM13" i="2" s="1"/>
  <c r="AA14" i="2" a="1"/>
  <c r="AA14" i="2" s="1"/>
  <c r="AI14" i="2" a="1"/>
  <c r="AI14" i="2" s="1"/>
  <c r="W15" i="2" a="1"/>
  <c r="W15" i="2" s="1"/>
  <c r="AE15" i="2" a="1"/>
  <c r="AE15" i="2" s="1"/>
  <c r="AM15" i="2" a="1"/>
  <c r="AM15" i="2" s="1"/>
  <c r="AA16" i="2" a="1"/>
  <c r="AA16" i="2" s="1"/>
  <c r="AI16" i="2" a="1"/>
  <c r="AI16" i="2" s="1"/>
  <c r="W17" i="2" a="1"/>
  <c r="W17" i="2" s="1"/>
  <c r="AE17" i="2" a="1"/>
  <c r="AE17" i="2" s="1"/>
  <c r="AM17" i="2" a="1"/>
  <c r="AM17" i="2" s="1"/>
  <c r="AA18" i="2" a="1"/>
  <c r="AA18" i="2" s="1"/>
  <c r="AI18" i="2" a="1"/>
  <c r="AI18" i="2" s="1"/>
  <c r="W19" i="2" a="1"/>
  <c r="W19" i="2" s="1"/>
  <c r="AE19" i="2" a="1"/>
  <c r="AE19" i="2" s="1"/>
  <c r="AM19" i="2" a="1"/>
  <c r="AM19" i="2" s="1"/>
  <c r="AA21" i="2" a="1"/>
  <c r="AA21" i="2" s="1"/>
  <c r="AI21" i="2" a="1"/>
  <c r="AI21" i="2" s="1"/>
  <c r="W22" i="2" a="1"/>
  <c r="W22" i="2" s="1"/>
  <c r="AE22" i="2" a="1"/>
  <c r="AE22" i="2" s="1"/>
  <c r="AM22" i="2" a="1"/>
  <c r="AM22" i="2" s="1"/>
  <c r="AC15" i="2" a="1"/>
  <c r="AC15" i="2" s="1"/>
  <c r="AC17" i="2" a="1"/>
  <c r="AC17" i="2" s="1"/>
  <c r="AF5" i="2" a="1"/>
  <c r="AF5" i="2" s="1"/>
  <c r="AN5" i="2" a="1"/>
  <c r="AN5" i="2" s="1"/>
  <c r="F9" i="1" s="1"/>
  <c r="AB6" i="2" a="1"/>
  <c r="AB6" i="2" s="1"/>
  <c r="AJ6" i="2" a="1"/>
  <c r="AJ6" i="2" s="1"/>
  <c r="X7" i="2" a="1"/>
  <c r="X7" i="2" s="1"/>
  <c r="AF7" i="2" a="1"/>
  <c r="AF7" i="2" s="1"/>
  <c r="AN7" i="2" a="1"/>
  <c r="AN7" i="2" s="1"/>
  <c r="F13" i="1" s="1"/>
  <c r="AB8" i="2" a="1"/>
  <c r="AB8" i="2" s="1"/>
  <c r="AJ8" i="2" a="1"/>
  <c r="AJ8" i="2" s="1"/>
  <c r="X9" i="2" a="1"/>
  <c r="X9" i="2" s="1"/>
  <c r="AF9" i="2" a="1"/>
  <c r="AF9" i="2" s="1"/>
  <c r="AN9" i="2" a="1"/>
  <c r="AN9" i="2" s="1"/>
  <c r="AB10" i="2" a="1"/>
  <c r="AB10" i="2" s="1"/>
  <c r="AJ10" i="2" a="1"/>
  <c r="AJ10" i="2" s="1"/>
  <c r="AF11" i="2" a="1"/>
  <c r="AF11" i="2" s="1"/>
  <c r="AB12" i="2" a="1"/>
  <c r="AB12" i="2" s="1"/>
  <c r="AJ12" i="2" a="1"/>
  <c r="AJ12" i="2" s="1"/>
  <c r="X13" i="2" a="1"/>
  <c r="X13" i="2" s="1"/>
  <c r="AF13" i="2" a="1"/>
  <c r="AF13" i="2" s="1"/>
  <c r="AN13" i="2" a="1"/>
  <c r="AN13" i="2" s="1"/>
  <c r="F21" i="1" s="1"/>
  <c r="AB14" i="2" a="1"/>
  <c r="AB14" i="2" s="1"/>
  <c r="AJ14" i="2" a="1"/>
  <c r="AJ14" i="2" s="1"/>
  <c r="X15" i="2" a="1"/>
  <c r="X15" i="2" s="1"/>
  <c r="AF15" i="2" a="1"/>
  <c r="AF15" i="2" s="1"/>
  <c r="AB16" i="2" a="1"/>
  <c r="AB16" i="2" s="1"/>
  <c r="AJ16" i="2" a="1"/>
  <c r="AJ16" i="2" s="1"/>
  <c r="X17" i="2" a="1"/>
  <c r="X17" i="2" s="1"/>
  <c r="AF17" i="2" a="1"/>
  <c r="AF17" i="2" s="1"/>
  <c r="AN17" i="2" a="1"/>
  <c r="AN17" i="2" s="1"/>
  <c r="AB18" i="2" a="1"/>
  <c r="AB18" i="2" s="1"/>
  <c r="AJ18" i="2" a="1"/>
  <c r="AJ18" i="2" s="1"/>
  <c r="X19" i="2" a="1"/>
  <c r="X19" i="2" s="1"/>
  <c r="AF19" i="2" a="1"/>
  <c r="AF19" i="2" s="1"/>
  <c r="AN19" i="2" a="1"/>
  <c r="AN19" i="2" s="1"/>
  <c r="F31" i="1" s="1"/>
  <c r="AB21" i="2" a="1"/>
  <c r="AB21" i="2" s="1"/>
  <c r="AJ21" i="2" a="1"/>
  <c r="AJ21" i="2" s="1"/>
  <c r="X22" i="2" a="1"/>
  <c r="X22" i="2" s="1"/>
  <c r="AF22" i="2" a="1"/>
  <c r="AF22" i="2" s="1"/>
  <c r="AN22" i="2" a="1"/>
  <c r="AN22" i="2" s="1"/>
  <c r="Y5" i="2" a="1"/>
  <c r="Y5" i="2" s="1"/>
  <c r="AG5" i="2" a="1"/>
  <c r="AG5" i="2" s="1"/>
  <c r="AC6" i="2" a="1"/>
  <c r="AC6" i="2" s="1"/>
  <c r="AK6" i="2" a="1"/>
  <c r="AK6" i="2" s="1"/>
  <c r="Y7" i="2" a="1"/>
  <c r="Y7" i="2" s="1"/>
  <c r="AG7" i="2" a="1"/>
  <c r="AG7" i="2" s="1"/>
  <c r="AC8" i="2" a="1"/>
  <c r="AC8" i="2" s="1"/>
  <c r="AK8" i="2" a="1"/>
  <c r="AK8" i="2" s="1"/>
  <c r="Y9" i="2" a="1"/>
  <c r="Y9" i="2" s="1"/>
  <c r="AG9" i="2" a="1"/>
  <c r="AG9" i="2" s="1"/>
  <c r="AC10" i="2" a="1"/>
  <c r="AC10" i="2" s="1"/>
  <c r="AK10" i="2" a="1"/>
  <c r="AK10" i="2" s="1"/>
  <c r="Y11" i="2" a="1"/>
  <c r="Y11" i="2" s="1"/>
  <c r="AG11" i="2" a="1"/>
  <c r="AG11" i="2" s="1"/>
  <c r="AC12" i="2" a="1"/>
  <c r="AC12" i="2" s="1"/>
  <c r="AK12" i="2" a="1"/>
  <c r="AK12" i="2" s="1"/>
  <c r="AG13" i="2" a="1"/>
  <c r="AG13" i="2" s="1"/>
  <c r="AC14" i="2" a="1"/>
  <c r="AC14" i="2" s="1"/>
  <c r="AK14" i="2" a="1"/>
  <c r="AK14" i="2" s="1"/>
  <c r="Y15" i="2" a="1"/>
  <c r="Y15" i="2" s="1"/>
  <c r="AG15" i="2" a="1"/>
  <c r="AG15" i="2" s="1"/>
  <c r="AC16" i="2" a="1"/>
  <c r="AC16" i="2" s="1"/>
  <c r="AK16" i="2" a="1"/>
  <c r="AK16" i="2" s="1"/>
  <c r="Y17" i="2" a="1"/>
  <c r="Y17" i="2" s="1"/>
  <c r="AG17" i="2" a="1"/>
  <c r="AG17" i="2" s="1"/>
  <c r="AC18" i="2" a="1"/>
  <c r="AC18" i="2" s="1"/>
  <c r="AK18" i="2" a="1"/>
  <c r="AK18" i="2" s="1"/>
  <c r="Y19" i="2" a="1"/>
  <c r="Y19" i="2" s="1"/>
  <c r="AG19" i="2" a="1"/>
  <c r="AG19" i="2" s="1"/>
  <c r="AC21" i="2" a="1"/>
  <c r="AC21" i="2" s="1"/>
  <c r="AK21" i="2" a="1"/>
  <c r="AK21" i="2" s="1"/>
  <c r="Y22" i="2" a="1"/>
  <c r="Y22" i="2" s="1"/>
  <c r="AG22" i="2" a="1"/>
  <c r="AG22" i="2" s="1"/>
  <c r="AO24" i="2" a="1"/>
  <c r="AO24" i="2" s="1"/>
  <c r="AO26" i="2" a="1"/>
  <c r="AO26" i="2" s="1"/>
  <c r="AL18" i="2" a="1"/>
  <c r="AL18" i="2" s="1"/>
  <c r="AH19" i="2" a="1"/>
  <c r="AH19" i="2" s="1"/>
  <c r="V21" i="2" a="1"/>
  <c r="V21" i="2" s="1"/>
  <c r="AL21" i="2" a="1"/>
  <c r="AL21" i="2" s="1"/>
  <c r="Z22" i="2" a="1"/>
  <c r="Z22" i="2" s="1"/>
  <c r="Y8" i="2" a="1"/>
  <c r="Y8" i="2" s="1"/>
  <c r="AK9" i="2" a="1"/>
  <c r="AK9" i="2" s="1"/>
  <c r="AG10" i="2" a="1"/>
  <c r="AG10" i="2" s="1"/>
  <c r="AK11" i="2" a="1"/>
  <c r="AK11" i="2" s="1"/>
  <c r="AC13" i="2" a="1"/>
  <c r="AC13" i="2" s="1"/>
  <c r="AG16" i="2" a="1"/>
  <c r="AG16" i="2" s="1"/>
  <c r="Z5" i="2" a="1"/>
  <c r="Z5" i="2" s="1"/>
  <c r="AH5" i="2" a="1"/>
  <c r="AH5" i="2" s="1"/>
  <c r="V6" i="2" a="1"/>
  <c r="V6" i="2" s="1"/>
  <c r="F10" i="1" s="1"/>
  <c r="AD6" i="2" a="1"/>
  <c r="AD6" i="2" s="1"/>
  <c r="AL6" i="2" a="1"/>
  <c r="AL6" i="2" s="1"/>
  <c r="Z7" i="2" a="1"/>
  <c r="Z7" i="2" s="1"/>
  <c r="AH7" i="2" a="1"/>
  <c r="AH7" i="2" s="1"/>
  <c r="V8" i="2" a="1"/>
  <c r="V8" i="2" s="1"/>
  <c r="F14" i="1" s="1"/>
  <c r="AD8" i="2" a="1"/>
  <c r="AD8" i="2" s="1"/>
  <c r="AL8" i="2" a="1"/>
  <c r="AL8" i="2" s="1"/>
  <c r="Z9" i="2" a="1"/>
  <c r="Z9" i="2" s="1"/>
  <c r="AH9" i="2" a="1"/>
  <c r="AH9" i="2" s="1"/>
  <c r="V10" i="2" a="1"/>
  <c r="V10" i="2" s="1"/>
  <c r="F16" i="1" s="1"/>
  <c r="AD10" i="2" a="1"/>
  <c r="AD10" i="2" s="1"/>
  <c r="AL10" i="2" a="1"/>
  <c r="AL10" i="2" s="1"/>
  <c r="Z11" i="2" a="1"/>
  <c r="Z11" i="2" s="1"/>
  <c r="AH11" i="2" a="1"/>
  <c r="AH11" i="2" s="1"/>
  <c r="AD12" i="2" a="1"/>
  <c r="AD12" i="2" s="1"/>
  <c r="AL12" i="2" a="1"/>
  <c r="AL12" i="2" s="1"/>
  <c r="Z13" i="2" a="1"/>
  <c r="Z13" i="2" s="1"/>
  <c r="AH13" i="2" a="1"/>
  <c r="AH13" i="2" s="1"/>
  <c r="AD14" i="2" a="1"/>
  <c r="AD14" i="2" s="1"/>
  <c r="AL14" i="2" a="1"/>
  <c r="AL14" i="2" s="1"/>
  <c r="Z15" i="2" a="1"/>
  <c r="Z15" i="2" s="1"/>
  <c r="AH15" i="2" a="1"/>
  <c r="AH15" i="2" s="1"/>
  <c r="AD16" i="2" a="1"/>
  <c r="AD16" i="2" s="1"/>
  <c r="AL16" i="2" a="1"/>
  <c r="AL16" i="2" s="1"/>
  <c r="Z17" i="2" a="1"/>
  <c r="Z17" i="2" s="1"/>
  <c r="AH17" i="2" a="1"/>
  <c r="AH17" i="2" s="1"/>
  <c r="AD18" i="2" a="1"/>
  <c r="AD18" i="2" s="1"/>
  <c r="Z19" i="2" a="1"/>
  <c r="Z19" i="2" s="1"/>
  <c r="AD21" i="2" a="1"/>
  <c r="AD21" i="2" s="1"/>
  <c r="AH22" i="2" a="1"/>
  <c r="AH22" i="2" s="1"/>
  <c r="AK7" i="2" a="1"/>
  <c r="AK7" i="2" s="1"/>
  <c r="Y10" i="2" a="1"/>
  <c r="Y10" i="2" s="1"/>
  <c r="Y12" i="2" a="1"/>
  <c r="Y12" i="2" s="1"/>
  <c r="AG14" i="2" a="1"/>
  <c r="AG14" i="2" s="1"/>
  <c r="AA5" i="2" a="1"/>
  <c r="AA5" i="2" s="1"/>
  <c r="AI5" i="2" a="1"/>
  <c r="AI5" i="2" s="1"/>
  <c r="W6" i="2" a="1"/>
  <c r="W6" i="2" s="1"/>
  <c r="AE6" i="2" a="1"/>
  <c r="AE6" i="2" s="1"/>
  <c r="AM6" i="2" a="1"/>
  <c r="AM6" i="2" s="1"/>
  <c r="AA7" i="2" a="1"/>
  <c r="AA7" i="2" s="1"/>
  <c r="AI7" i="2" a="1"/>
  <c r="AI7" i="2" s="1"/>
  <c r="W8" i="2" a="1"/>
  <c r="W8" i="2" s="1"/>
  <c r="AE8" i="2" a="1"/>
  <c r="AE8" i="2" s="1"/>
  <c r="AM8" i="2" a="1"/>
  <c r="AM8" i="2" s="1"/>
  <c r="AA9" i="2" a="1"/>
  <c r="AA9" i="2" s="1"/>
  <c r="AI9" i="2" a="1"/>
  <c r="AI9" i="2" s="1"/>
  <c r="W10" i="2" a="1"/>
  <c r="W10" i="2" s="1"/>
  <c r="AE10" i="2" a="1"/>
  <c r="AE10" i="2" s="1"/>
  <c r="AM10" i="2" a="1"/>
  <c r="AM10" i="2" s="1"/>
  <c r="AA11" i="2" a="1"/>
  <c r="AA11" i="2" s="1"/>
  <c r="AI11" i="2" a="1"/>
  <c r="AI11" i="2" s="1"/>
  <c r="W12" i="2" a="1"/>
  <c r="W12" i="2" s="1"/>
  <c r="AE12" i="2" a="1"/>
  <c r="AE12" i="2" s="1"/>
  <c r="AM12" i="2" a="1"/>
  <c r="AM12" i="2" s="1"/>
  <c r="AA13" i="2" a="1"/>
  <c r="AA13" i="2" s="1"/>
  <c r="AI13" i="2" a="1"/>
  <c r="AI13" i="2" s="1"/>
  <c r="W14" i="2" a="1"/>
  <c r="W14" i="2" s="1"/>
  <c r="AE14" i="2" a="1"/>
  <c r="AE14" i="2" s="1"/>
  <c r="AM14" i="2" a="1"/>
  <c r="AM14" i="2" s="1"/>
  <c r="AA15" i="2" a="1"/>
  <c r="AA15" i="2" s="1"/>
  <c r="AI15" i="2" a="1"/>
  <c r="AI15" i="2" s="1"/>
  <c r="W16" i="2" a="1"/>
  <c r="W16" i="2" s="1"/>
  <c r="AE16" i="2" a="1"/>
  <c r="AE16" i="2" s="1"/>
  <c r="AM16" i="2" a="1"/>
  <c r="AM16" i="2" s="1"/>
  <c r="AA17" i="2" a="1"/>
  <c r="AA17" i="2" s="1"/>
  <c r="AI17" i="2" a="1"/>
  <c r="AI17" i="2" s="1"/>
  <c r="W18" i="2" a="1"/>
  <c r="W18" i="2" s="1"/>
  <c r="AE18" i="2" a="1"/>
  <c r="AE18" i="2" s="1"/>
  <c r="AM18" i="2" a="1"/>
  <c r="AM18" i="2" s="1"/>
  <c r="AA19" i="2" a="1"/>
  <c r="AA19" i="2" s="1"/>
  <c r="AI19" i="2" a="1"/>
  <c r="AI19" i="2" s="1"/>
  <c r="W21" i="2" a="1"/>
  <c r="W21" i="2" s="1"/>
  <c r="AE21" i="2" a="1"/>
  <c r="AE21" i="2" s="1"/>
  <c r="AM21" i="2" a="1"/>
  <c r="AM21" i="2" s="1"/>
  <c r="AA22" i="2" a="1"/>
  <c r="AA22" i="2" s="1"/>
  <c r="AI22" i="2" a="1"/>
  <c r="AI22" i="2" s="1"/>
  <c r="AC7" i="2" a="1"/>
  <c r="AC7" i="2" s="1"/>
  <c r="AG12" i="2" a="1"/>
  <c r="AG12" i="2" s="1"/>
  <c r="Y14" i="2" a="1"/>
  <c r="Y14" i="2" s="1"/>
  <c r="Y16" i="2" a="1"/>
  <c r="Y16" i="2" s="1"/>
  <c r="AB5" i="2" a="1"/>
  <c r="AB5" i="2" s="1"/>
  <c r="AJ5" i="2" a="1"/>
  <c r="AJ5" i="2" s="1"/>
  <c r="X6" i="2" a="1"/>
  <c r="X6" i="2" s="1"/>
  <c r="AF6" i="2" a="1"/>
  <c r="AF6" i="2" s="1"/>
  <c r="AN6" i="2" a="1"/>
  <c r="AN6" i="2" s="1"/>
  <c r="F11" i="1" s="1"/>
  <c r="AB7" i="2" a="1"/>
  <c r="AB7" i="2" s="1"/>
  <c r="AJ7" i="2" a="1"/>
  <c r="AJ7" i="2" s="1"/>
  <c r="X8" i="2" a="1"/>
  <c r="X8" i="2" s="1"/>
  <c r="AF8" i="2" a="1"/>
  <c r="AF8" i="2" s="1"/>
  <c r="AB9" i="2" a="1"/>
  <c r="AB9" i="2" s="1"/>
  <c r="AJ9" i="2" a="1"/>
  <c r="AJ9" i="2" s="1"/>
  <c r="X10" i="2" a="1"/>
  <c r="X10" i="2" s="1"/>
  <c r="AF10" i="2" a="1"/>
  <c r="AF10" i="2" s="1"/>
  <c r="AB11" i="2" a="1"/>
  <c r="AB11" i="2" s="1"/>
  <c r="AJ11" i="2" a="1"/>
  <c r="AJ11" i="2" s="1"/>
  <c r="X12" i="2" a="1"/>
  <c r="X12" i="2" s="1"/>
  <c r="AF12" i="2" a="1"/>
  <c r="AF12" i="2" s="1"/>
  <c r="AN12" i="2" a="1"/>
  <c r="AN12" i="2" s="1"/>
  <c r="F19" i="1" s="1"/>
  <c r="AB13" i="2" a="1"/>
  <c r="AB13" i="2" s="1"/>
  <c r="AJ13" i="2" a="1"/>
  <c r="AJ13" i="2" s="1"/>
  <c r="AF14" i="2" a="1"/>
  <c r="AF14" i="2" s="1"/>
  <c r="AN14" i="2" a="1"/>
  <c r="AN14" i="2" s="1"/>
  <c r="F23" i="1" s="1"/>
  <c r="AB15" i="2" a="1"/>
  <c r="AB15" i="2" s="1"/>
  <c r="AJ15" i="2" a="1"/>
  <c r="AJ15" i="2" s="1"/>
  <c r="X16" i="2" a="1"/>
  <c r="X16" i="2" s="1"/>
  <c r="AF16" i="2" a="1"/>
  <c r="AF16" i="2" s="1"/>
  <c r="AN16" i="2" a="1"/>
  <c r="AN16" i="2" s="1"/>
  <c r="F26" i="1" s="1"/>
  <c r="AB17" i="2" a="1"/>
  <c r="AB17" i="2" s="1"/>
  <c r="AJ17" i="2" a="1"/>
  <c r="AJ17" i="2" s="1"/>
  <c r="X18" i="2" a="1"/>
  <c r="X18" i="2" s="1"/>
  <c r="AF18" i="2" a="1"/>
  <c r="AF18" i="2" s="1"/>
  <c r="AN18" i="2" a="1"/>
  <c r="AN18" i="2" s="1"/>
  <c r="F29" i="1" s="1"/>
  <c r="AB19" i="2" a="1"/>
  <c r="AB19" i="2" s="1"/>
  <c r="AJ19" i="2" a="1"/>
  <c r="AJ19" i="2" s="1"/>
  <c r="X21" i="2" a="1"/>
  <c r="X21" i="2" s="1"/>
  <c r="AF21" i="2" a="1"/>
  <c r="AF21" i="2" s="1"/>
  <c r="AN21" i="2" a="1"/>
  <c r="AN21" i="2" s="1"/>
  <c r="AB22" i="2" a="1"/>
  <c r="AB22" i="2" s="1"/>
  <c r="AJ22" i="2" a="1"/>
  <c r="AJ22" i="2" s="1"/>
  <c r="V5" i="2" a="1"/>
  <c r="V5" i="2" s="1"/>
  <c r="F8" i="1" s="1"/>
  <c r="AC5" i="2" a="1"/>
  <c r="AC5" i="2" s="1"/>
  <c r="AK5" i="2" a="1"/>
  <c r="AK5" i="2" s="1"/>
  <c r="Y6" i="2" a="1"/>
  <c r="Y6" i="2" s="1"/>
  <c r="AG6" i="2" a="1"/>
  <c r="AG6" i="2" s="1"/>
  <c r="AG8" i="2" a="1"/>
  <c r="AG8" i="2" s="1"/>
  <c r="AC9" i="2" a="1"/>
  <c r="AC9" i="2" s="1"/>
  <c r="AC11" i="2" a="1"/>
  <c r="AC11" i="2" s="1"/>
  <c r="AK13" i="2" a="1"/>
  <c r="AK13" i="2" s="1"/>
  <c r="AK15" i="2" a="1"/>
  <c r="AK15" i="2" s="1"/>
  <c r="AK17" i="2" a="1"/>
  <c r="AK17" i="2" s="1"/>
  <c r="AG18" i="2" a="1"/>
  <c r="AG18" i="2" s="1"/>
  <c r="AK22" i="2" a="1"/>
  <c r="AK22" i="2" s="1"/>
  <c r="AC19" i="2" a="1"/>
  <c r="AC19" i="2" s="1"/>
  <c r="AO27" i="2" a="1"/>
  <c r="AO27" i="2" s="1"/>
  <c r="AK19" i="2" a="1"/>
  <c r="AK19" i="2" s="1"/>
  <c r="AO23" i="2" a="1"/>
  <c r="AO23" i="2" s="1"/>
  <c r="Y21" i="2" a="1"/>
  <c r="Y21" i="2" s="1"/>
  <c r="AC22" i="2" a="1"/>
  <c r="AC22" i="2" s="1"/>
  <c r="AG21" i="2" a="1"/>
  <c r="AG21" i="2" s="1"/>
  <c r="AO25" i="2" a="1"/>
  <c r="AO25" i="2" s="1"/>
  <c r="Q4" i="2"/>
  <c r="B12" i="1"/>
  <c r="B24" i="1"/>
  <c r="B35" i="1"/>
  <c r="B25" i="1"/>
  <c r="B36" i="1"/>
  <c r="B14" i="1"/>
  <c r="B18" i="1"/>
  <c r="B33" i="1"/>
  <c r="B15" i="1"/>
  <c r="B27" i="1"/>
  <c r="B37" i="1"/>
  <c r="B28" i="1"/>
  <c r="B38" i="1"/>
  <c r="B8" i="1"/>
  <c r="B20" i="1"/>
  <c r="B10" i="1"/>
  <c r="B22" i="1"/>
  <c r="B34" i="1"/>
  <c r="B16" i="1"/>
  <c r="B17" i="1"/>
  <c r="B30" i="1"/>
  <c r="U34" i="2" l="1" a="1"/>
  <c r="U34" i="2" s="1"/>
  <c r="R34" i="2" a="1"/>
  <c r="R34" i="2" s="1"/>
  <c r="B7" i="1"/>
  <c r="X4" i="2" a="1"/>
  <c r="X4" i="2" s="1"/>
  <c r="AK4" i="2" a="1"/>
  <c r="AK4" i="2" s="1"/>
  <c r="Y4" i="2" a="1"/>
  <c r="Y4" i="2" s="1"/>
  <c r="AE4" i="2" a="1"/>
  <c r="AE4" i="2" s="1"/>
  <c r="AL4" i="2" a="1"/>
  <c r="AL4" i="2" s="1"/>
  <c r="Z4" i="2" a="1"/>
  <c r="Z4" i="2" s="1"/>
  <c r="AF4" i="2" a="1"/>
  <c r="AF4" i="2" s="1"/>
  <c r="AM4" i="2" a="1"/>
  <c r="AM4" i="2" s="1"/>
  <c r="AN4" i="2" a="1"/>
  <c r="AN4" i="2" s="1"/>
  <c r="F7" i="1" s="1"/>
  <c r="AH4" i="2" a="1"/>
  <c r="AH4" i="2" s="1"/>
  <c r="AG4" i="2" a="1"/>
  <c r="AG4" i="2" s="1"/>
  <c r="AA4" i="2" a="1"/>
  <c r="AA4" i="2" s="1"/>
  <c r="AB4" i="2" a="1"/>
  <c r="AB4" i="2" s="1"/>
  <c r="V4" i="2" a="1"/>
  <c r="V4" i="2" s="1"/>
  <c r="F6" i="1" s="1"/>
  <c r="W4" i="2" a="1"/>
  <c r="W4" i="2" s="1"/>
  <c r="AJ4" i="2" a="1"/>
  <c r="AJ4" i="2" s="1"/>
  <c r="AC4" i="2" a="1"/>
  <c r="AC4" i="2" s="1"/>
  <c r="AI4" i="2" a="1"/>
  <c r="AI4" i="2" s="1"/>
  <c r="AD4" i="2" a="1"/>
  <c r="AD4" i="2" s="1"/>
  <c r="U4" i="2" a="1"/>
  <c r="R4" i="2" a="1"/>
  <c r="R4" i="2" s="1"/>
  <c r="B6" i="1"/>
  <c r="U4" i="2" l="1"/>
  <c r="C36" i="1"/>
  <c r="C37" i="1"/>
  <c r="C35" i="1"/>
  <c r="C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Xavier Tanguay</author>
  </authors>
  <commentList>
    <comment ref="B32" authorId="0" shapeId="0" xr:uid="{89709B2A-290E-4309-9466-26A54FB184EB}">
      <text>
        <r>
          <rPr>
            <b/>
            <sz val="9"/>
            <color indexed="81"/>
            <rFont val="Tahoma"/>
            <family val="2"/>
          </rPr>
          <t>Xavier Tanguay:</t>
        </r>
        <r>
          <rPr>
            <sz val="9"/>
            <color indexed="81"/>
            <rFont val="Tahoma"/>
            <family val="2"/>
          </rPr>
          <t xml:space="preserve">
Original input : steel stairs with seismic joints (component damage states median and dispersion parameters had to be provided by user). Replaced with a pre-defined component (the non seismically detailed steel stairs).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<sst xmlns="http://schemas.openxmlformats.org/spreadsheetml/2006/main" count="3847" uniqueCount="206">
  <si>
    <t>Units</t>
  </si>
  <si>
    <t>Location</t>
  </si>
  <si>
    <t>Direction</t>
  </si>
  <si>
    <t>Theta_0</t>
  </si>
  <si>
    <t>Blocks</t>
  </si>
  <si>
    <t>Comment</t>
  </si>
  <si>
    <t>B2022.001</t>
  </si>
  <si>
    <t>B3011.011</t>
  </si>
  <si>
    <t>C1011.001a</t>
  </si>
  <si>
    <t>C3011.001a</t>
  </si>
  <si>
    <t>C3027.001</t>
  </si>
  <si>
    <t>C3032.001a</t>
  </si>
  <si>
    <t>E2022.112a</t>
  </si>
  <si>
    <t>E2022.102a</t>
  </si>
  <si>
    <t>D2021.011a</t>
  </si>
  <si>
    <t>D3041.012a</t>
  </si>
  <si>
    <t>D3041.011a</t>
  </si>
  <si>
    <t>D3041.031a</t>
  </si>
  <si>
    <t>D3041.041a</t>
  </si>
  <si>
    <t>C3034.001</t>
  </si>
  <si>
    <t>D4011.021a</t>
  </si>
  <si>
    <t>D4011.031a</t>
  </si>
  <si>
    <t>C2011.001a</t>
  </si>
  <si>
    <t>D5012.021a</t>
  </si>
  <si>
    <t>D1014.011</t>
  </si>
  <si>
    <t>D3031.011a</t>
  </si>
  <si>
    <t>D3031.021a</t>
  </si>
  <si>
    <t>D3052.011a</t>
  </si>
  <si>
    <t>D5012.013a</t>
  </si>
  <si>
    <t>B2022.001    Curtain Walls - Generic Midrise Stick-Built Curtain wall, Config: Monolithic, Lamination: Unknown, Glass Type: Unknown, Details: Aspect ratio = 6:5,  Other details Unknown</t>
  </si>
  <si>
    <t>B3011.011    Concrete tile roof, tiles secured and compliant with UBC94</t>
  </si>
  <si>
    <t>C1011.001a    Wall Partition, Type: Gypsum with metal studs, Full Height, Fixed Below, Fixed Above</t>
  </si>
  <si>
    <t>C3011.001a    Wall Partition, Type: Gypsum + Wallpaper, Full Height, Fixed Below, Fixed Above</t>
  </si>
  <si>
    <t>C3027.001    Raised Access Floor, non seismically rated.</t>
  </si>
  <si>
    <t>C3032.001a    Suspended Ceiling, SDC A,B,C, Area (A): A &lt; 250, Vert support only</t>
  </si>
  <si>
    <t>E2022.112a    Vertical Filing Cabinet, 2 drawer, unanchored laterally</t>
  </si>
  <si>
    <t>E2022.102a    Bookcase, 2 shelves, unanchored laterally</t>
  </si>
  <si>
    <t>D2021.011a    Cold or Hot Potable  - Small Diameter Threaded Steel - (2.5 inches in diameter or less), SDC A or B, PIPING FRAGILITY</t>
  </si>
  <si>
    <t>D3041.012a    HVAC Galvanized Sheet Metal Ducting -  6 sq. ft cross sectional area or greater, SDC A or B</t>
  </si>
  <si>
    <t>D3041.011a    HVAC Galvanized Sheet Metal Ducting less than 6 sq. ft in cross sectional area, SDC A or B</t>
  </si>
  <si>
    <t>D3041.031a    HVAC Drops / Diffusers in suspended ceilings - No independent safety wires, SDC A or B</t>
  </si>
  <si>
    <t>D3041.041a    Variable Air Volume (VAV) box with in-line coil, SDC A or B</t>
  </si>
  <si>
    <t>C3034.001    Independent Pendant Lighting - non seismic</t>
  </si>
  <si>
    <t>D4011.021a    Fire Sprinkler Water Piping - Horizontal Mains and Branches - Old Style Victaulic - Thin Wall Steel - No bracing, SDC A or B, PIPING FRAGILITY</t>
  </si>
  <si>
    <t>D4011.031a    Fire Sprinkler Drop Standard Threaded Steel - Dropping into unbraced lay-in tile SOFT ceiling - 6 ft. long drop maximum, SDC A or B</t>
  </si>
  <si>
    <t>C2011.001a    Prefabricated steel stair with steel treads and landings with seismic joints that accommodate drift.</t>
  </si>
  <si>
    <t>D5012.021a    Low Voltage Switchgear - Capacity: 100 to &lt;350 Amp - Unanchored equipment that is not vibration isolated - Equipment fragility only</t>
  </si>
  <si>
    <t>D1014.011    Traction Elevator – Applies to most California Installations 1976 or later, most western states installations 1982 or later and most other U.S installations 1998 or later.</t>
  </si>
  <si>
    <t>D3031.011a    Chiller - Capacity: &lt; 100 Ton - Unanchored equipment that is not vibration isolated - Equipment fragility only</t>
  </si>
  <si>
    <t>D3031.021a    Cooling Tower - Capacity: &lt; 100 Ton - Unanchored equipment that is not vibration isolated - Equipment fragility only</t>
  </si>
  <si>
    <t>D3052.011a    Air Handling Unit - Capacity: &lt;5000 CFM - Unanchored equipment that is not vibration isolated - Equipment fragility only</t>
  </si>
  <si>
    <t>D5012.013a    Motor Control Center - Capacity: all - Unanchored equipment that is not vibration isolated - Equipment fragility only</t>
  </si>
  <si>
    <t>UNIQUES</t>
  </si>
  <si>
    <t>NORMATIVE QTY ESTIMATION TOOL</t>
  </si>
  <si>
    <t>ID</t>
  </si>
  <si>
    <t>Names</t>
  </si>
  <si>
    <t>30 SF</t>
  </si>
  <si>
    <t>--</t>
  </si>
  <si>
    <t>NO</t>
  </si>
  <si>
    <t>SF</t>
  </si>
  <si>
    <t>100 SF</t>
  </si>
  <si>
    <t>100 LF</t>
  </si>
  <si>
    <t>LF</t>
  </si>
  <si>
    <t>250 SF</t>
  </si>
  <si>
    <t>1 EA</t>
  </si>
  <si>
    <t>EA</t>
  </si>
  <si>
    <t>1000 LF</t>
  </si>
  <si>
    <t>10 EA</t>
  </si>
  <si>
    <t>100 EA</t>
  </si>
  <si>
    <t>225 AP</t>
  </si>
  <si>
    <t>AP</t>
  </si>
  <si>
    <t>75 TN</t>
  </si>
  <si>
    <t>TN</t>
  </si>
  <si>
    <t>4000 CF</t>
  </si>
  <si>
    <t>CF</t>
  </si>
  <si>
    <t>Name</t>
  </si>
  <si>
    <t>QTY/component</t>
  </si>
  <si>
    <t>Nb of directional components</t>
  </si>
  <si>
    <t>Nb of non directional component</t>
  </si>
  <si>
    <t>Correlation</t>
  </si>
  <si>
    <t>Total quantity</t>
  </si>
  <si>
    <t>Unit</t>
  </si>
  <si>
    <t>Pasted Names</t>
  </si>
  <si>
    <t>Text Names</t>
  </si>
  <si>
    <t>18th</t>
  </si>
  <si>
    <t>17th</t>
  </si>
  <si>
    <t>16th</t>
  </si>
  <si>
    <t>15th</t>
  </si>
  <si>
    <t>14th</t>
  </si>
  <si>
    <t>13th</t>
  </si>
  <si>
    <t>12th</t>
  </si>
  <si>
    <t>11th</t>
  </si>
  <si>
    <t>10th</t>
  </si>
  <si>
    <t>9th</t>
  </si>
  <si>
    <t>8th</t>
  </si>
  <si>
    <t>7th</t>
  </si>
  <si>
    <t>6th</t>
  </si>
  <si>
    <t>5th</t>
  </si>
  <si>
    <t>4th</t>
  </si>
  <si>
    <t>3rd</t>
  </si>
  <si>
    <t>2nd</t>
  </si>
  <si>
    <t>1st</t>
  </si>
  <si>
    <t>Ground</t>
  </si>
  <si>
    <t>ALL</t>
  </si>
  <si>
    <t>FLOOR ID</t>
  </si>
  <si>
    <t>Floor quantities</t>
  </si>
  <si>
    <t>** Directional component</t>
  </si>
  <si>
    <t>-</t>
  </si>
  <si>
    <t>2--19</t>
  </si>
  <si>
    <t>all</t>
  </si>
  <si>
    <t xml:space="preserve">NOTE : </t>
  </si>
  <si>
    <t>All directions set to 1, as the frame is only modeled in 1 direction. Could also be set as "0" to represent both directions</t>
  </si>
  <si>
    <t>excessiveRID</t>
  </si>
  <si>
    <t>ea</t>
  </si>
  <si>
    <t>Excessive residual drift</t>
  </si>
  <si>
    <t>collapse</t>
  </si>
  <si>
    <t>Collapsed building</t>
  </si>
  <si>
    <t>irreparable</t>
  </si>
  <si>
    <t>Irreparable building</t>
  </si>
  <si>
    <t>ft2</t>
  </si>
  <si>
    <t>ft</t>
  </si>
  <si>
    <t>Floor Blocks</t>
  </si>
  <si>
    <t>AP = AMP (225 AMP unit)</t>
  </si>
  <si>
    <t>TN = TON (75 TON unit)</t>
  </si>
  <si>
    <t xml:space="preserve">   Curtain Walls - Generic Midrise Stick-Built Curtain wall, Config: Monolithic, Lamination: Unknown, Glass Type: Unknown, Details: Aspect ratio = 6:5,  Other details Unknown</t>
  </si>
  <si>
    <t xml:space="preserve">   Concrete tile roof, tiles secured and compliant with UBC94</t>
  </si>
  <si>
    <t xml:space="preserve">   Wall Partition, Type: Gypsum with metal studs, Full Height, Fixed Below, Fixed Above</t>
  </si>
  <si>
    <t xml:space="preserve">   Wall Partition, Type: Gypsum + Wallpaper, Full Height, Fixed Below, Fixed Above</t>
  </si>
  <si>
    <t xml:space="preserve">   Raised Access Floor, non seismically rated.</t>
  </si>
  <si>
    <t xml:space="preserve">   Suspended Ceiling, SDC A,B,C, Area (A): A &lt; 250, Vert support only</t>
  </si>
  <si>
    <t xml:space="preserve">   Vertical Filing Cabinet, 2 drawer, unanchored laterally</t>
  </si>
  <si>
    <t xml:space="preserve">   Bookcase, 2 shelves, unanchored laterally</t>
  </si>
  <si>
    <t xml:space="preserve">   Cold or Hot Potable  - Small Diameter Threaded Steel - (2.5 inches in diameter or less), SDC A or B, PIPING FRAGILITY</t>
  </si>
  <si>
    <t xml:space="preserve">   HVAC Galvanized Sheet Metal Ducting -  6 sq. ft cross sectional area or greater, SDC A or B</t>
  </si>
  <si>
    <t xml:space="preserve">   HVAC Galvanized Sheet Metal Ducting less than 6 sq. ft in cross sectional area, SDC A or B</t>
  </si>
  <si>
    <t xml:space="preserve">   HVAC Drops / Diffusers in suspended ceilings - No independent safety wires, SDC A or B</t>
  </si>
  <si>
    <t xml:space="preserve">   Variable Air Volume (VAV) box with in-line coil, SDC A or B</t>
  </si>
  <si>
    <t xml:space="preserve">   Independent Pendant Lighting - non seismic</t>
  </si>
  <si>
    <t xml:space="preserve">   Fire Sprinkler Water Piping - Horizontal Mains and Branches - Old Style Victaulic - Thin Wall Steel - No bracing, SDC A or B, PIPING FRAGILITY</t>
  </si>
  <si>
    <t xml:space="preserve">   Fire Sprinkler Drop Standard Threaded Steel - Dropping into unbraced lay-in tile SOFT ceiling - 6 ft. long drop maximum, SDC A or B</t>
  </si>
  <si>
    <t xml:space="preserve">   Low Voltage Switchgear - Capacity: 100 to &lt;350 Amp - Unanchored equipment that is not vibration isolated - Equipment fragility only</t>
  </si>
  <si>
    <t xml:space="preserve">   Traction Elevator – Applies to most California Installations 1976 or later, most western states installations 1982 or later and most other U.S installations 1998 or later.</t>
  </si>
  <si>
    <t xml:space="preserve">   Chiller - Capacity: &lt; 100 Ton - Unanchored equipment that is not vibration isolated - Equipment fragility only</t>
  </si>
  <si>
    <t xml:space="preserve">   Cooling Tower - Capacity: &lt; 100 Ton - Unanchored equipment that is not vibration isolated - Equipment fragility only</t>
  </si>
  <si>
    <t xml:space="preserve">   Air Handling Unit - Capacity: &lt;5000 CFM - Unanchored equipment that is not vibration isolated - Equipment fragility only</t>
  </si>
  <si>
    <t xml:space="preserve">   Motor Control Center - Capacity: all - Unanchored equipment that is not vibration isolated - Equipment fragility only</t>
  </si>
  <si>
    <t>B.20.22.001</t>
  </si>
  <si>
    <t>B.30.11.011</t>
  </si>
  <si>
    <t>C.10.11.001a</t>
  </si>
  <si>
    <t>C.30.11.001a</t>
  </si>
  <si>
    <t>C.30.27.001</t>
  </si>
  <si>
    <t>C.30.32.001a</t>
  </si>
  <si>
    <t>E.20.22.112a</t>
  </si>
  <si>
    <t>E.20.22.102a</t>
  </si>
  <si>
    <t>D.20.21.011a</t>
  </si>
  <si>
    <t>D.30.41.012a</t>
  </si>
  <si>
    <t>D.30.41.011a</t>
  </si>
  <si>
    <t>D.30.41.031a</t>
  </si>
  <si>
    <t>D.30.41.041a</t>
  </si>
  <si>
    <t>C.30.34.001</t>
  </si>
  <si>
    <t>D.40.11.021a</t>
  </si>
  <si>
    <t>D.40.11.031a</t>
  </si>
  <si>
    <t>D.50.12.021a</t>
  </si>
  <si>
    <t>D.10.14.011</t>
  </si>
  <si>
    <t>D.30.31.011a</t>
  </si>
  <si>
    <t>D.30.31.021a</t>
  </si>
  <si>
    <t>D.30.52.011a</t>
  </si>
  <si>
    <t>D.50.12.013a</t>
  </si>
  <si>
    <t>C2011.001b</t>
  </si>
  <si>
    <t>C.20.11.001b</t>
  </si>
  <si>
    <t xml:space="preserve">   Prefabricated steel stair with steel treads and landings with no seismic joint.</t>
  </si>
  <si>
    <t>E20.22.102a</t>
  </si>
  <si>
    <t>Modification log</t>
  </si>
  <si>
    <t>Removed (Peak floor velocity dependent (non recorded parameter)</t>
  </si>
  <si>
    <t>Peak floor acceleration at floor #0 added in modeling to simplify inputs for components below</t>
  </si>
  <si>
    <t>Structural components (manually added)</t>
  </si>
  <si>
    <t>B1031.001</t>
  </si>
  <si>
    <t>Bolted shear tab gravity connections</t>
  </si>
  <si>
    <t>Note: all columns in the building are above 300 pounds/linear feet.</t>
  </si>
  <si>
    <t>B1031.011c</t>
  </si>
  <si>
    <t>Steel Column Base Plates, Column W &gt; 300 plf</t>
  </si>
  <si>
    <t>N/A</t>
  </si>
  <si>
    <t>Column splices, not modeled</t>
  </si>
  <si>
    <t>B1031.021X</t>
  </si>
  <si>
    <t>Post-Northridge RBS connection with welded web, beams both sides of column, beam depth &gt;= W30</t>
  </si>
  <si>
    <t>Post-Northridge RBS connection with welded web, beam one side of column only, beam depth &gt;= W30</t>
  </si>
  <si>
    <t>B1035.002</t>
  </si>
  <si>
    <t>B1035.012</t>
  </si>
  <si>
    <t>2--4</t>
  </si>
  <si>
    <t>B1035.011</t>
  </si>
  <si>
    <t>B1035.001</t>
  </si>
  <si>
    <t>5--19</t>
  </si>
  <si>
    <t>Post-Northridge RBS connection with welded web, beam one side of column only, beam depth &lt;= W27</t>
  </si>
  <si>
    <t>Post-Northridge RBS connection with welded web, beams both sides of column, beam depth &lt;= W27</t>
  </si>
  <si>
    <t>B.10.31.001</t>
  </si>
  <si>
    <t>B.10.31.011c</t>
  </si>
  <si>
    <t>B.10.35.012</t>
  </si>
  <si>
    <t>B.10.35.002</t>
  </si>
  <si>
    <t>B.10.35.011</t>
  </si>
  <si>
    <t>B.10.35.001</t>
  </si>
  <si>
    <t>1--19</t>
  </si>
  <si>
    <t>1--13</t>
  </si>
  <si>
    <t>14--19</t>
  </si>
  <si>
    <t>Removed (Non conventional construction element)</t>
  </si>
  <si>
    <t>Removed (excluded from the assessment)</t>
  </si>
  <si>
    <t>excessiveRID (ea, all, 1,1,,Excessive residual drift)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</si>
</sst>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474747"/>
      <name val="Arial"/>
      <family val="2"/>
    </font>
    <font>
      <sz val="11"/>
      <color rgb="FFFF0000"/>
      <name val="Arial"/>
      <family val="2"/>
    </font>
    <font>
      <sz val="8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0" fontId="4" fillId="2" borderId="0" xfId="0" applyFont="1" applyFill="1"/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3" fillId="2" borderId="0" xfId="0" applyFont="1" applyFill="1"/>
    <xf numFmtId="0" fontId="1" fillId="2" borderId="0" xfId="0" applyFont="1" applyFill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2" borderId="0" xfId="0" applyFont="1" applyFill="1"/>
    <xf numFmtId="0" fontId="6" fillId="2" borderId="1" xfId="0" applyFont="1" applyFill="1" applyBorder="1"/>
    <xf numFmtId="0" fontId="7" fillId="0" borderId="0" xfId="0" applyFont="1"/>
    <xf numFmtId="0" fontId="8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20C3-9998-4A4D-B899-E370DDACC00A}">
  <dimension ref="A1:I39"/>
  <sheetViews>
    <sheetView tabSelected="1" workbookViewId="0">
      <selection activeCell="C13" sqref="C13"/>
    </sheetView>
  </sheetViews>
  <sheetFormatPr defaultRowHeight="15" x14ac:dyDescent="0.25"/>
  <cols>
    <col min="1" max="1" width="25" style="18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9" x14ac:dyDescent="0.25">
      <c r="A2" s="18" t="s">
        <v>146</v>
      </c>
      <c r="B2" t="s">
        <v>119</v>
      </c>
      <c r="C2" t="s">
        <v>108</v>
      </c>
      <c r="D2" s="2">
        <v>1</v>
      </c>
      <c r="E2">
        <v>3375</v>
      </c>
      <c r="F2">
        <v>225</v>
      </c>
      <c r="G2" t="s">
        <v>124</v>
      </c>
    </row>
    <row r="3" spans="1:9" x14ac:dyDescent="0.25">
      <c r="A3" s="18" t="s">
        <v>146</v>
      </c>
      <c r="B3" t="s">
        <v>119</v>
      </c>
      <c r="C3">
        <v>1</v>
      </c>
      <c r="D3" s="2">
        <v>1</v>
      </c>
      <c r="E3">
        <v>674.99999999999989</v>
      </c>
      <c r="F3">
        <v>44.999999999999993</v>
      </c>
      <c r="G3" t="s">
        <v>124</v>
      </c>
    </row>
    <row r="4" spans="1:9" x14ac:dyDescent="0.25">
      <c r="A4" s="23" t="s">
        <v>147</v>
      </c>
      <c r="B4" s="24" t="s">
        <v>119</v>
      </c>
      <c r="C4" s="24" t="s">
        <v>108</v>
      </c>
      <c r="D4" s="25">
        <v>1</v>
      </c>
      <c r="E4" s="24">
        <v>6075</v>
      </c>
      <c r="F4" s="24">
        <v>61</v>
      </c>
      <c r="G4" s="24" t="s">
        <v>125</v>
      </c>
      <c r="H4" s="24"/>
      <c r="I4" s="24"/>
    </row>
    <row r="5" spans="1:9" x14ac:dyDescent="0.25">
      <c r="A5" s="23" t="s">
        <v>147</v>
      </c>
      <c r="B5" s="24" t="s">
        <v>119</v>
      </c>
      <c r="C5" s="24">
        <v>1</v>
      </c>
      <c r="D5" s="25">
        <v>1</v>
      </c>
      <c r="E5" s="24">
        <v>11250</v>
      </c>
      <c r="F5" s="24">
        <v>113</v>
      </c>
      <c r="G5" s="24" t="s">
        <v>125</v>
      </c>
      <c r="H5" s="24"/>
      <c r="I5" s="24"/>
    </row>
    <row r="6" spans="1:9" x14ac:dyDescent="0.25">
      <c r="A6" s="23" t="s">
        <v>148</v>
      </c>
      <c r="B6" s="24" t="s">
        <v>120</v>
      </c>
      <c r="C6" s="24" t="s">
        <v>108</v>
      </c>
      <c r="D6" s="25">
        <v>1</v>
      </c>
      <c r="E6" s="24">
        <v>1125</v>
      </c>
      <c r="F6" s="24">
        <v>23</v>
      </c>
      <c r="G6" s="24" t="s">
        <v>126</v>
      </c>
      <c r="H6" s="24"/>
      <c r="I6" s="24"/>
    </row>
    <row r="7" spans="1:9" x14ac:dyDescent="0.25">
      <c r="A7" s="23" t="s">
        <v>148</v>
      </c>
      <c r="B7" s="24" t="s">
        <v>120</v>
      </c>
      <c r="C7" s="24">
        <v>1</v>
      </c>
      <c r="D7" s="25">
        <v>1</v>
      </c>
      <c r="E7" s="24">
        <v>112.5</v>
      </c>
      <c r="F7" s="24">
        <v>3</v>
      </c>
      <c r="G7" s="24" t="s">
        <v>126</v>
      </c>
      <c r="H7" s="24"/>
      <c r="I7" s="24"/>
    </row>
    <row r="8" spans="1:9" x14ac:dyDescent="0.25">
      <c r="A8" s="23" t="s">
        <v>149</v>
      </c>
      <c r="B8" s="24" t="s">
        <v>120</v>
      </c>
      <c r="C8" s="24" t="s">
        <v>108</v>
      </c>
      <c r="D8" s="25">
        <v>1</v>
      </c>
      <c r="E8" s="24">
        <v>170.10000000000002</v>
      </c>
      <c r="F8" s="24">
        <v>2</v>
      </c>
      <c r="G8" s="24" t="s">
        <v>127</v>
      </c>
      <c r="H8" s="24"/>
      <c r="I8" s="24"/>
    </row>
    <row r="9" spans="1:9" x14ac:dyDescent="0.25">
      <c r="A9" s="23" t="s">
        <v>149</v>
      </c>
      <c r="B9" s="24" t="s">
        <v>120</v>
      </c>
      <c r="C9" s="24">
        <v>1</v>
      </c>
      <c r="D9" s="25">
        <v>1</v>
      </c>
      <c r="E9" s="24">
        <v>242.99999999999997</v>
      </c>
      <c r="F9" s="24">
        <v>3</v>
      </c>
      <c r="G9" s="24" t="s">
        <v>127</v>
      </c>
      <c r="H9" s="24"/>
      <c r="I9" s="24"/>
    </row>
    <row r="10" spans="1:9" x14ac:dyDescent="0.25">
      <c r="A10" s="23" t="s">
        <v>151</v>
      </c>
      <c r="B10" s="24" t="s">
        <v>119</v>
      </c>
      <c r="C10" s="24" t="s">
        <v>109</v>
      </c>
      <c r="D10" s="25">
        <v>1</v>
      </c>
      <c r="E10" s="24">
        <v>20250</v>
      </c>
      <c r="F10" s="24">
        <v>81</v>
      </c>
      <c r="G10" s="24" t="s">
        <v>129</v>
      </c>
      <c r="H10" s="24"/>
      <c r="I10" s="24"/>
    </row>
    <row r="11" spans="1:9" x14ac:dyDescent="0.25">
      <c r="A11" s="23" t="s">
        <v>154</v>
      </c>
      <c r="B11" s="24" t="s">
        <v>120</v>
      </c>
      <c r="C11" s="24" t="s">
        <v>108</v>
      </c>
      <c r="D11" s="25">
        <v>1</v>
      </c>
      <c r="E11" s="24">
        <v>945</v>
      </c>
      <c r="F11" s="24">
        <v>1</v>
      </c>
      <c r="G11" s="24" t="s">
        <v>132</v>
      </c>
      <c r="H11" s="24"/>
      <c r="I11" s="24"/>
    </row>
    <row r="12" spans="1:9" x14ac:dyDescent="0.25">
      <c r="A12" s="23" t="s">
        <v>154</v>
      </c>
      <c r="B12" s="24" t="s">
        <v>120</v>
      </c>
      <c r="C12" s="24">
        <v>1</v>
      </c>
      <c r="D12" s="25">
        <v>1</v>
      </c>
      <c r="E12" s="24">
        <v>675</v>
      </c>
      <c r="F12" s="24">
        <v>1</v>
      </c>
      <c r="G12" s="24" t="s">
        <v>132</v>
      </c>
      <c r="H12" s="24"/>
      <c r="I12" s="24"/>
    </row>
    <row r="13" spans="1:9" x14ac:dyDescent="0.25">
      <c r="A13" s="23" t="s">
        <v>155</v>
      </c>
      <c r="B13" s="24" t="s">
        <v>120</v>
      </c>
      <c r="C13" s="24" t="s">
        <v>108</v>
      </c>
      <c r="D13" s="25">
        <v>1</v>
      </c>
      <c r="E13" s="24">
        <v>450</v>
      </c>
      <c r="F13" s="24">
        <v>1</v>
      </c>
      <c r="G13" s="24" t="s">
        <v>133</v>
      </c>
      <c r="H13" s="24"/>
      <c r="I13" s="24"/>
    </row>
    <row r="14" spans="1:9" x14ac:dyDescent="0.25">
      <c r="A14" s="23" t="s">
        <v>155</v>
      </c>
      <c r="B14" s="24" t="s">
        <v>120</v>
      </c>
      <c r="C14" s="24">
        <v>1</v>
      </c>
      <c r="D14" s="25">
        <v>1</v>
      </c>
      <c r="E14" s="24">
        <v>1125</v>
      </c>
      <c r="F14" s="24">
        <v>2</v>
      </c>
      <c r="G14" s="24" t="s">
        <v>133</v>
      </c>
      <c r="H14" s="24"/>
      <c r="I14" s="24"/>
    </row>
    <row r="15" spans="1:9" x14ac:dyDescent="0.25">
      <c r="A15" s="23" t="s">
        <v>156</v>
      </c>
      <c r="B15" s="24" t="s">
        <v>120</v>
      </c>
      <c r="C15" s="24" t="s">
        <v>108</v>
      </c>
      <c r="D15" s="25">
        <v>1</v>
      </c>
      <c r="E15" s="24">
        <v>1687.4999999999998</v>
      </c>
      <c r="F15" s="24">
        <v>2</v>
      </c>
      <c r="G15" s="24" t="s">
        <v>134</v>
      </c>
      <c r="H15" s="24"/>
      <c r="I15" s="24"/>
    </row>
    <row r="16" spans="1:9" x14ac:dyDescent="0.25">
      <c r="A16" s="23" t="s">
        <v>156</v>
      </c>
      <c r="B16" s="24" t="s">
        <v>120</v>
      </c>
      <c r="C16" s="24">
        <v>1</v>
      </c>
      <c r="D16" s="25">
        <v>1</v>
      </c>
      <c r="E16" s="24">
        <v>112.5</v>
      </c>
      <c r="F16" s="24">
        <v>1</v>
      </c>
      <c r="G16" s="24" t="s">
        <v>134</v>
      </c>
      <c r="H16" s="24"/>
      <c r="I16" s="24"/>
    </row>
    <row r="17" spans="1:9" x14ac:dyDescent="0.25">
      <c r="A17" s="23" t="s">
        <v>157</v>
      </c>
      <c r="B17" s="24" t="s">
        <v>113</v>
      </c>
      <c r="C17" s="24" t="s">
        <v>108</v>
      </c>
      <c r="D17" s="25">
        <v>1</v>
      </c>
      <c r="E17" s="24">
        <v>203</v>
      </c>
      <c r="F17" s="24">
        <v>21</v>
      </c>
      <c r="G17" s="24" t="s">
        <v>135</v>
      </c>
      <c r="H17" s="24"/>
      <c r="I17" s="24"/>
    </row>
    <row r="18" spans="1:9" x14ac:dyDescent="0.25">
      <c r="A18" s="23" t="s">
        <v>158</v>
      </c>
      <c r="B18" s="24" t="s">
        <v>113</v>
      </c>
      <c r="C18" s="24" t="s">
        <v>108</v>
      </c>
      <c r="D18" s="25">
        <v>1</v>
      </c>
      <c r="E18" s="24">
        <v>113</v>
      </c>
      <c r="F18" s="24">
        <v>12</v>
      </c>
      <c r="G18" s="24" t="s">
        <v>136</v>
      </c>
      <c r="H18" s="24"/>
      <c r="I18" s="24"/>
    </row>
    <row r="19" spans="1:9" x14ac:dyDescent="0.25">
      <c r="A19" s="23" t="s">
        <v>158</v>
      </c>
      <c r="B19" s="24" t="s">
        <v>113</v>
      </c>
      <c r="C19" s="24">
        <v>1</v>
      </c>
      <c r="D19" s="25">
        <v>1</v>
      </c>
      <c r="E19" s="24">
        <v>90</v>
      </c>
      <c r="F19" s="24">
        <v>9</v>
      </c>
      <c r="G19" s="24" t="s">
        <v>136</v>
      </c>
      <c r="H19" s="24"/>
      <c r="I19" s="24"/>
    </row>
    <row r="20" spans="1:9" x14ac:dyDescent="0.25">
      <c r="A20" s="23" t="s">
        <v>159</v>
      </c>
      <c r="B20" s="24" t="s">
        <v>113</v>
      </c>
      <c r="C20" s="24" t="s">
        <v>109</v>
      </c>
      <c r="D20" s="25">
        <v>1</v>
      </c>
      <c r="E20" s="24">
        <v>338</v>
      </c>
      <c r="F20" s="24">
        <v>338</v>
      </c>
      <c r="G20" s="24" t="s">
        <v>137</v>
      </c>
      <c r="H20" s="24"/>
      <c r="I20" s="24"/>
    </row>
    <row r="21" spans="1:9" x14ac:dyDescent="0.25">
      <c r="A21" s="23" t="s">
        <v>160</v>
      </c>
      <c r="B21" s="24" t="s">
        <v>120</v>
      </c>
      <c r="C21" s="24" t="s">
        <v>108</v>
      </c>
      <c r="D21" s="25">
        <v>1</v>
      </c>
      <c r="E21" s="24">
        <v>4500</v>
      </c>
      <c r="F21" s="24">
        <v>5</v>
      </c>
      <c r="G21" s="24" t="s">
        <v>138</v>
      </c>
      <c r="H21" s="24"/>
      <c r="I21" s="24"/>
    </row>
    <row r="22" spans="1:9" x14ac:dyDescent="0.25">
      <c r="A22" s="23" t="s">
        <v>160</v>
      </c>
      <c r="B22" s="24" t="s">
        <v>120</v>
      </c>
      <c r="C22" s="24">
        <v>1</v>
      </c>
      <c r="D22" s="25">
        <v>1</v>
      </c>
      <c r="E22" s="24">
        <v>4050</v>
      </c>
      <c r="F22" s="24">
        <v>5</v>
      </c>
      <c r="G22" s="24" t="s">
        <v>138</v>
      </c>
      <c r="H22" s="24"/>
      <c r="I22" s="24"/>
    </row>
    <row r="23" spans="1:9" x14ac:dyDescent="0.25">
      <c r="A23" s="23" t="s">
        <v>161</v>
      </c>
      <c r="B23" s="24" t="s">
        <v>113</v>
      </c>
      <c r="C23" s="24" t="s">
        <v>108</v>
      </c>
      <c r="D23" s="25">
        <v>1</v>
      </c>
      <c r="E23" s="24">
        <v>203</v>
      </c>
      <c r="F23" s="24">
        <v>3</v>
      </c>
      <c r="G23" s="24" t="s">
        <v>139</v>
      </c>
      <c r="H23" s="24"/>
      <c r="I23" s="24"/>
    </row>
    <row r="24" spans="1:9" x14ac:dyDescent="0.25">
      <c r="A24" s="23" t="s">
        <v>161</v>
      </c>
      <c r="B24" s="24" t="s">
        <v>113</v>
      </c>
      <c r="C24" s="24">
        <v>1</v>
      </c>
      <c r="D24" s="25">
        <v>1</v>
      </c>
      <c r="E24" s="24">
        <v>180</v>
      </c>
      <c r="F24" s="24">
        <v>2</v>
      </c>
      <c r="G24" s="24" t="s">
        <v>139</v>
      </c>
      <c r="H24" s="24"/>
      <c r="I24" s="24"/>
    </row>
    <row r="25" spans="1:9" x14ac:dyDescent="0.25">
      <c r="A25" s="23" t="s">
        <v>169</v>
      </c>
      <c r="B25" s="24" t="s">
        <v>113</v>
      </c>
      <c r="C25" s="24" t="s">
        <v>109</v>
      </c>
      <c r="D25" s="25">
        <v>1</v>
      </c>
      <c r="E25" s="24">
        <v>3</v>
      </c>
      <c r="F25" s="24">
        <v>3</v>
      </c>
      <c r="G25" s="24" t="s">
        <v>170</v>
      </c>
      <c r="H25" s="24"/>
      <c r="I25" s="24"/>
    </row>
    <row r="26" spans="1:9" x14ac:dyDescent="0.25">
      <c r="A26" s="23" t="s">
        <v>162</v>
      </c>
      <c r="B26" s="24" t="s">
        <v>113</v>
      </c>
      <c r="C26" s="24" t="s">
        <v>109</v>
      </c>
      <c r="D26" s="25">
        <v>1</v>
      </c>
      <c r="E26" s="24">
        <v>1</v>
      </c>
      <c r="F26" s="24">
        <v>1</v>
      </c>
      <c r="G26" s="24" t="s">
        <v>140</v>
      </c>
      <c r="H26" s="24"/>
      <c r="I26" s="24"/>
    </row>
    <row r="27" spans="1:9" x14ac:dyDescent="0.25">
      <c r="A27" s="23" t="s">
        <v>163</v>
      </c>
      <c r="B27" s="24" t="s">
        <v>113</v>
      </c>
      <c r="C27" s="24">
        <v>19</v>
      </c>
      <c r="D27" s="25">
        <v>1</v>
      </c>
      <c r="E27" s="24">
        <v>14</v>
      </c>
      <c r="F27" s="24">
        <v>14</v>
      </c>
      <c r="G27" s="24" t="s">
        <v>141</v>
      </c>
      <c r="H27" s="24"/>
      <c r="I27" s="24"/>
    </row>
    <row r="28" spans="1:9" x14ac:dyDescent="0.25">
      <c r="A28" s="23" t="s">
        <v>164</v>
      </c>
      <c r="B28" s="24" t="s">
        <v>113</v>
      </c>
      <c r="C28" s="24">
        <v>19</v>
      </c>
      <c r="D28" s="25">
        <v>1</v>
      </c>
      <c r="E28" s="24">
        <v>16</v>
      </c>
      <c r="F28" s="24">
        <v>16</v>
      </c>
      <c r="G28" s="24" t="s">
        <v>142</v>
      </c>
      <c r="H28" s="24"/>
      <c r="I28" s="24"/>
    </row>
    <row r="29" spans="1:9" x14ac:dyDescent="0.25">
      <c r="A29" s="23" t="s">
        <v>165</v>
      </c>
      <c r="B29" s="24" t="s">
        <v>113</v>
      </c>
      <c r="C29" s="24">
        <v>19</v>
      </c>
      <c r="D29" s="25">
        <v>1</v>
      </c>
      <c r="E29" s="24">
        <v>16</v>
      </c>
      <c r="F29" s="24">
        <v>16</v>
      </c>
      <c r="G29" s="24" t="s">
        <v>143</v>
      </c>
      <c r="H29" s="24"/>
      <c r="I29" s="24"/>
    </row>
    <row r="30" spans="1:9" x14ac:dyDescent="0.25">
      <c r="A30" s="23" t="s">
        <v>166</v>
      </c>
      <c r="B30" s="24" t="s">
        <v>113</v>
      </c>
      <c r="C30" s="24">
        <v>19</v>
      </c>
      <c r="D30" s="25">
        <v>1</v>
      </c>
      <c r="E30" s="24">
        <v>71</v>
      </c>
      <c r="F30" s="24">
        <v>71</v>
      </c>
      <c r="G30" s="24" t="s">
        <v>144</v>
      </c>
      <c r="H30" s="24"/>
      <c r="I30" s="24"/>
    </row>
    <row r="31" spans="1:9" x14ac:dyDescent="0.25">
      <c r="A31" s="18" t="s">
        <v>167</v>
      </c>
      <c r="B31" t="s">
        <v>113</v>
      </c>
      <c r="C31">
        <v>19</v>
      </c>
      <c r="D31" s="2">
        <v>1</v>
      </c>
      <c r="E31">
        <v>17</v>
      </c>
      <c r="F31">
        <v>17</v>
      </c>
      <c r="G31" t="s">
        <v>145</v>
      </c>
    </row>
    <row r="32" spans="1:9" x14ac:dyDescent="0.25">
      <c r="A32" s="18" t="s">
        <v>194</v>
      </c>
      <c r="B32" s="2" t="s">
        <v>113</v>
      </c>
      <c r="C32" s="2" t="s">
        <v>200</v>
      </c>
      <c r="D32" s="2">
        <v>1</v>
      </c>
      <c r="E32" s="2">
        <v>40</v>
      </c>
      <c r="F32" s="2">
        <f>E32</f>
        <v>40</v>
      </c>
      <c r="G32" t="s">
        <v>177</v>
      </c>
    </row>
    <row r="33" spans="1:7" x14ac:dyDescent="0.25">
      <c r="A33" s="18" t="s">
        <v>195</v>
      </c>
      <c r="B33" s="2" t="s">
        <v>113</v>
      </c>
      <c r="C33" s="2">
        <v>1</v>
      </c>
      <c r="D33" s="2">
        <v>1</v>
      </c>
      <c r="E33" s="2">
        <v>36</v>
      </c>
      <c r="F33" s="2">
        <f>E33</f>
        <v>36</v>
      </c>
      <c r="G33" t="s">
        <v>180</v>
      </c>
    </row>
    <row r="34" spans="1:7" x14ac:dyDescent="0.25">
      <c r="A34" s="18" t="s">
        <v>196</v>
      </c>
      <c r="B34" s="2" t="s">
        <v>113</v>
      </c>
      <c r="C34" s="2" t="s">
        <v>201</v>
      </c>
      <c r="D34" s="2">
        <v>1</v>
      </c>
      <c r="E34" s="2">
        <v>8</v>
      </c>
      <c r="F34" s="2">
        <v>8</v>
      </c>
      <c r="G34" t="s">
        <v>184</v>
      </c>
    </row>
    <row r="35" spans="1:7" x14ac:dyDescent="0.25">
      <c r="A35" s="18" t="s">
        <v>197</v>
      </c>
      <c r="B35" s="2" t="s">
        <v>113</v>
      </c>
      <c r="C35" s="2" t="s">
        <v>201</v>
      </c>
      <c r="D35" s="2">
        <v>1</v>
      </c>
      <c r="E35" s="2">
        <v>4</v>
      </c>
      <c r="F35" s="2">
        <v>4</v>
      </c>
      <c r="G35" t="s">
        <v>185</v>
      </c>
    </row>
    <row r="36" spans="1:7" x14ac:dyDescent="0.25">
      <c r="A36" s="18" t="s">
        <v>198</v>
      </c>
      <c r="B36" s="2" t="s">
        <v>113</v>
      </c>
      <c r="C36" s="2" t="s">
        <v>202</v>
      </c>
      <c r="D36" s="2">
        <v>1</v>
      </c>
      <c r="E36" s="2">
        <v>8</v>
      </c>
      <c r="F36" s="2">
        <v>8</v>
      </c>
      <c r="G36" t="s">
        <v>193</v>
      </c>
    </row>
    <row r="37" spans="1:7" x14ac:dyDescent="0.25">
      <c r="A37" s="18" t="s">
        <v>199</v>
      </c>
      <c r="B37" s="2" t="s">
        <v>113</v>
      </c>
      <c r="C37" s="2" t="s">
        <v>202</v>
      </c>
      <c r="D37" s="2">
        <v>1</v>
      </c>
      <c r="E37" s="2">
        <v>4</v>
      </c>
      <c r="F37" s="2">
        <v>4</v>
      </c>
      <c r="G37" t="s">
        <v>192</v>
      </c>
    </row>
    <row r="38" spans="1:7" x14ac:dyDescent="0.25">
      <c r="A38" s="18" t="s">
        <v>115</v>
      </c>
      <c r="B38" t="s">
        <v>113</v>
      </c>
      <c r="C38">
        <v>19</v>
      </c>
      <c r="D38" s="2">
        <v>1</v>
      </c>
      <c r="E38">
        <v>1</v>
      </c>
      <c r="G38" t="s">
        <v>116</v>
      </c>
    </row>
    <row r="39" spans="1:7" x14ac:dyDescent="0.25">
      <c r="A39" s="18" t="s">
        <v>117</v>
      </c>
      <c r="B39" t="s">
        <v>113</v>
      </c>
      <c r="C39">
        <v>19</v>
      </c>
      <c r="D39" s="2">
        <v>1</v>
      </c>
      <c r="E39">
        <v>1</v>
      </c>
      <c r="G39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09E8-BC68-420A-90BC-29D467F84A34}">
  <dimension ref="A1:G54"/>
  <sheetViews>
    <sheetView workbookViewId="0">
      <selection activeCell="A11" sqref="A11:G16"/>
    </sheetView>
  </sheetViews>
  <sheetFormatPr defaultRowHeight="15" x14ac:dyDescent="0.25"/>
  <cols>
    <col min="1" max="1" width="2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146</v>
      </c>
      <c r="B2" t="s">
        <v>119</v>
      </c>
      <c r="C2" t="s">
        <v>108</v>
      </c>
      <c r="D2">
        <v>1</v>
      </c>
      <c r="E2">
        <v>3375</v>
      </c>
      <c r="F2">
        <v>225</v>
      </c>
      <c r="G2" t="s">
        <v>124</v>
      </c>
    </row>
    <row r="3" spans="1:7" x14ac:dyDescent="0.25">
      <c r="A3" t="s">
        <v>146</v>
      </c>
      <c r="B3" t="s">
        <v>119</v>
      </c>
      <c r="C3">
        <v>1</v>
      </c>
      <c r="D3">
        <v>1</v>
      </c>
      <c r="E3">
        <v>674.99999999999989</v>
      </c>
      <c r="F3">
        <v>44.999999999999993</v>
      </c>
      <c r="G3" t="s">
        <v>124</v>
      </c>
    </row>
    <row r="4" spans="1:7" x14ac:dyDescent="0.25">
      <c r="A4" t="s">
        <v>147</v>
      </c>
      <c r="B4" t="s">
        <v>119</v>
      </c>
      <c r="C4" t="s">
        <v>108</v>
      </c>
      <c r="D4">
        <v>1</v>
      </c>
      <c r="E4">
        <v>6075</v>
      </c>
      <c r="F4">
        <v>61</v>
      </c>
      <c r="G4" t="s">
        <v>125</v>
      </c>
    </row>
    <row r="5" spans="1:7" x14ac:dyDescent="0.25">
      <c r="A5" t="s">
        <v>147</v>
      </c>
      <c r="B5" t="s">
        <v>119</v>
      </c>
      <c r="C5">
        <v>1</v>
      </c>
      <c r="D5">
        <v>1</v>
      </c>
      <c r="E5">
        <v>11250</v>
      </c>
      <c r="F5">
        <v>113</v>
      </c>
      <c r="G5" t="s">
        <v>125</v>
      </c>
    </row>
    <row r="6" spans="1:7" x14ac:dyDescent="0.25">
      <c r="A6" t="s">
        <v>148</v>
      </c>
      <c r="B6" t="s">
        <v>120</v>
      </c>
      <c r="C6" t="s">
        <v>108</v>
      </c>
      <c r="D6">
        <v>1</v>
      </c>
      <c r="E6">
        <v>1125</v>
      </c>
      <c r="F6">
        <v>23</v>
      </c>
      <c r="G6" t="s">
        <v>126</v>
      </c>
    </row>
    <row r="7" spans="1:7" x14ac:dyDescent="0.25">
      <c r="A7" t="s">
        <v>148</v>
      </c>
      <c r="B7" t="s">
        <v>120</v>
      </c>
      <c r="C7">
        <v>1</v>
      </c>
      <c r="D7">
        <v>1</v>
      </c>
      <c r="E7">
        <v>112.5</v>
      </c>
      <c r="F7">
        <v>3</v>
      </c>
      <c r="G7" t="s">
        <v>126</v>
      </c>
    </row>
    <row r="8" spans="1:7" x14ac:dyDescent="0.25">
      <c r="A8" t="s">
        <v>149</v>
      </c>
      <c r="B8" t="s">
        <v>120</v>
      </c>
      <c r="C8" t="s">
        <v>108</v>
      </c>
      <c r="D8">
        <v>1</v>
      </c>
      <c r="E8">
        <v>170.10000000000002</v>
      </c>
      <c r="F8">
        <v>2</v>
      </c>
      <c r="G8" t="s">
        <v>127</v>
      </c>
    </row>
    <row r="9" spans="1:7" x14ac:dyDescent="0.25">
      <c r="A9" t="s">
        <v>149</v>
      </c>
      <c r="B9" t="s">
        <v>120</v>
      </c>
      <c r="C9">
        <v>1</v>
      </c>
      <c r="D9">
        <v>1</v>
      </c>
      <c r="E9">
        <v>242.99999999999997</v>
      </c>
      <c r="F9">
        <v>3</v>
      </c>
      <c r="G9" t="s">
        <v>127</v>
      </c>
    </row>
    <row r="10" spans="1:7" x14ac:dyDescent="0.25">
      <c r="A10" t="s">
        <v>150</v>
      </c>
      <c r="B10" t="s">
        <v>119</v>
      </c>
      <c r="C10" t="s">
        <v>108</v>
      </c>
      <c r="D10">
        <v>1</v>
      </c>
      <c r="E10">
        <v>16875</v>
      </c>
      <c r="F10">
        <v>169</v>
      </c>
      <c r="G10" t="s">
        <v>128</v>
      </c>
    </row>
    <row r="11" spans="1:7" x14ac:dyDescent="0.25">
      <c r="A11" s="24" t="s">
        <v>151</v>
      </c>
      <c r="B11" s="24" t="s">
        <v>119</v>
      </c>
      <c r="C11" s="24" t="s">
        <v>109</v>
      </c>
      <c r="D11" s="24">
        <v>1</v>
      </c>
      <c r="E11" s="24">
        <v>20250</v>
      </c>
      <c r="F11" s="24">
        <v>81</v>
      </c>
      <c r="G11" s="24" t="s">
        <v>129</v>
      </c>
    </row>
    <row r="12" spans="1:7" x14ac:dyDescent="0.25">
      <c r="A12" s="24" t="s">
        <v>152</v>
      </c>
      <c r="B12" s="24" t="s">
        <v>113</v>
      </c>
      <c r="C12" s="24" t="s">
        <v>108</v>
      </c>
      <c r="D12" s="24">
        <v>1</v>
      </c>
      <c r="E12" s="24">
        <v>18</v>
      </c>
      <c r="F12" s="24">
        <v>18</v>
      </c>
      <c r="G12" s="24" t="s">
        <v>130</v>
      </c>
    </row>
    <row r="13" spans="1:7" x14ac:dyDescent="0.25">
      <c r="A13" s="24" t="s">
        <v>153</v>
      </c>
      <c r="B13" s="24" t="s">
        <v>113</v>
      </c>
      <c r="C13" s="24" t="s">
        <v>108</v>
      </c>
      <c r="D13" s="24">
        <v>1</v>
      </c>
      <c r="E13" s="24">
        <v>45</v>
      </c>
      <c r="F13" s="24">
        <v>45</v>
      </c>
      <c r="G13" s="24" t="s">
        <v>131</v>
      </c>
    </row>
    <row r="14" spans="1:7" x14ac:dyDescent="0.25">
      <c r="A14" s="24" t="s">
        <v>154</v>
      </c>
      <c r="B14" s="24" t="s">
        <v>120</v>
      </c>
      <c r="C14" s="24" t="s">
        <v>108</v>
      </c>
      <c r="D14" s="24">
        <v>1</v>
      </c>
      <c r="E14" s="24">
        <v>945</v>
      </c>
      <c r="F14" s="24">
        <v>1</v>
      </c>
      <c r="G14" s="24" t="s">
        <v>132</v>
      </c>
    </row>
    <row r="15" spans="1:7" x14ac:dyDescent="0.25">
      <c r="A15" s="24" t="s">
        <v>154</v>
      </c>
      <c r="B15" s="24" t="s">
        <v>120</v>
      </c>
      <c r="C15" s="24">
        <v>1</v>
      </c>
      <c r="D15" s="24">
        <v>1</v>
      </c>
      <c r="E15" s="24">
        <v>675</v>
      </c>
      <c r="F15" s="24">
        <v>1</v>
      </c>
      <c r="G15" s="24" t="s">
        <v>132</v>
      </c>
    </row>
    <row r="16" spans="1:7" x14ac:dyDescent="0.25">
      <c r="A16" s="24" t="s">
        <v>155</v>
      </c>
      <c r="B16" s="24" t="s">
        <v>120</v>
      </c>
      <c r="C16" s="24" t="s">
        <v>108</v>
      </c>
      <c r="D16" s="24">
        <v>1</v>
      </c>
      <c r="E16" s="24">
        <v>450</v>
      </c>
      <c r="F16" s="24">
        <v>1</v>
      </c>
      <c r="G16" s="24" t="s">
        <v>133</v>
      </c>
    </row>
    <row r="17" spans="1:7" x14ac:dyDescent="0.25">
      <c r="A17" t="s">
        <v>155</v>
      </c>
      <c r="B17" t="s">
        <v>120</v>
      </c>
      <c r="C17">
        <v>1</v>
      </c>
      <c r="D17">
        <v>1</v>
      </c>
      <c r="E17">
        <v>1125</v>
      </c>
      <c r="F17">
        <v>2</v>
      </c>
      <c r="G17" t="s">
        <v>133</v>
      </c>
    </row>
    <row r="18" spans="1:7" x14ac:dyDescent="0.25">
      <c r="A18" t="s">
        <v>156</v>
      </c>
      <c r="B18" t="s">
        <v>120</v>
      </c>
      <c r="C18" t="s">
        <v>108</v>
      </c>
      <c r="D18">
        <v>1</v>
      </c>
      <c r="E18">
        <v>1687.4999999999998</v>
      </c>
      <c r="F18">
        <v>2</v>
      </c>
      <c r="G18" t="s">
        <v>134</v>
      </c>
    </row>
    <row r="19" spans="1:7" x14ac:dyDescent="0.25">
      <c r="A19" t="s">
        <v>156</v>
      </c>
      <c r="B19" t="s">
        <v>120</v>
      </c>
      <c r="C19">
        <v>1</v>
      </c>
      <c r="D19">
        <v>1</v>
      </c>
      <c r="E19">
        <v>112.5</v>
      </c>
      <c r="F19">
        <v>1</v>
      </c>
      <c r="G19" t="s">
        <v>134</v>
      </c>
    </row>
    <row r="20" spans="1:7" x14ac:dyDescent="0.25">
      <c r="A20" t="s">
        <v>157</v>
      </c>
      <c r="B20" t="s">
        <v>113</v>
      </c>
      <c r="C20" t="s">
        <v>108</v>
      </c>
      <c r="D20">
        <v>1</v>
      </c>
      <c r="E20">
        <v>203</v>
      </c>
      <c r="F20">
        <v>21</v>
      </c>
      <c r="G20" t="s">
        <v>135</v>
      </c>
    </row>
    <row r="21" spans="1:7" x14ac:dyDescent="0.25">
      <c r="A21" t="s">
        <v>158</v>
      </c>
      <c r="B21" t="s">
        <v>113</v>
      </c>
      <c r="C21" t="s">
        <v>108</v>
      </c>
      <c r="D21">
        <v>1</v>
      </c>
      <c r="E21">
        <v>113</v>
      </c>
      <c r="F21">
        <v>12</v>
      </c>
      <c r="G21" t="s">
        <v>136</v>
      </c>
    </row>
    <row r="22" spans="1:7" x14ac:dyDescent="0.25">
      <c r="A22" t="s">
        <v>158</v>
      </c>
      <c r="B22" t="s">
        <v>113</v>
      </c>
      <c r="C22">
        <v>1</v>
      </c>
      <c r="D22">
        <v>1</v>
      </c>
      <c r="E22">
        <v>90</v>
      </c>
      <c r="F22">
        <v>9</v>
      </c>
      <c r="G22" t="s">
        <v>136</v>
      </c>
    </row>
    <row r="23" spans="1:7" x14ac:dyDescent="0.25">
      <c r="A23" t="s">
        <v>159</v>
      </c>
      <c r="B23" t="s">
        <v>113</v>
      </c>
      <c r="C23" t="s">
        <v>109</v>
      </c>
      <c r="D23">
        <v>1</v>
      </c>
      <c r="E23">
        <v>338</v>
      </c>
      <c r="F23">
        <v>338</v>
      </c>
      <c r="G23" t="s">
        <v>137</v>
      </c>
    </row>
    <row r="24" spans="1:7" x14ac:dyDescent="0.25">
      <c r="A24" t="s">
        <v>160</v>
      </c>
      <c r="B24" t="s">
        <v>120</v>
      </c>
      <c r="C24" t="s">
        <v>108</v>
      </c>
      <c r="D24">
        <v>1</v>
      </c>
      <c r="E24">
        <v>4500</v>
      </c>
      <c r="F24">
        <v>5</v>
      </c>
      <c r="G24" t="s">
        <v>138</v>
      </c>
    </row>
    <row r="25" spans="1:7" x14ac:dyDescent="0.25">
      <c r="A25" t="s">
        <v>160</v>
      </c>
      <c r="B25" t="s">
        <v>120</v>
      </c>
      <c r="C25">
        <v>1</v>
      </c>
      <c r="D25">
        <v>1</v>
      </c>
      <c r="E25">
        <v>4050</v>
      </c>
      <c r="F25">
        <v>5</v>
      </c>
      <c r="G25" t="s">
        <v>138</v>
      </c>
    </row>
    <row r="26" spans="1:7" x14ac:dyDescent="0.25">
      <c r="A26" t="s">
        <v>161</v>
      </c>
      <c r="B26" t="s">
        <v>113</v>
      </c>
      <c r="C26" t="s">
        <v>108</v>
      </c>
      <c r="D26">
        <v>1</v>
      </c>
      <c r="E26">
        <v>203</v>
      </c>
      <c r="F26">
        <v>3</v>
      </c>
      <c r="G26" t="s">
        <v>139</v>
      </c>
    </row>
    <row r="27" spans="1:7" x14ac:dyDescent="0.25">
      <c r="A27" t="s">
        <v>161</v>
      </c>
      <c r="B27" t="s">
        <v>113</v>
      </c>
      <c r="C27">
        <v>1</v>
      </c>
      <c r="D27">
        <v>1</v>
      </c>
      <c r="E27">
        <v>180</v>
      </c>
      <c r="F27">
        <v>2</v>
      </c>
      <c r="G27" t="s">
        <v>139</v>
      </c>
    </row>
    <row r="28" spans="1:7" x14ac:dyDescent="0.25">
      <c r="A28" t="s">
        <v>169</v>
      </c>
      <c r="B28" t="s">
        <v>113</v>
      </c>
      <c r="C28" t="s">
        <v>109</v>
      </c>
      <c r="D28">
        <v>1</v>
      </c>
      <c r="E28">
        <v>3</v>
      </c>
      <c r="F28">
        <v>3</v>
      </c>
      <c r="G28" t="s">
        <v>170</v>
      </c>
    </row>
    <row r="29" spans="1:7" x14ac:dyDescent="0.25">
      <c r="A29" t="s">
        <v>162</v>
      </c>
      <c r="B29" t="s">
        <v>113</v>
      </c>
      <c r="C29" t="s">
        <v>109</v>
      </c>
      <c r="D29">
        <v>1</v>
      </c>
      <c r="E29">
        <v>1</v>
      </c>
      <c r="F29">
        <v>1</v>
      </c>
      <c r="G29" t="s">
        <v>140</v>
      </c>
    </row>
    <row r="30" spans="1:7" x14ac:dyDescent="0.25">
      <c r="A30" t="s">
        <v>163</v>
      </c>
      <c r="B30" t="s">
        <v>113</v>
      </c>
      <c r="C30" t="s">
        <v>109</v>
      </c>
      <c r="D30">
        <v>1</v>
      </c>
      <c r="E30">
        <v>14</v>
      </c>
      <c r="F30">
        <v>14</v>
      </c>
      <c r="G30" t="s">
        <v>141</v>
      </c>
    </row>
    <row r="31" spans="1:7" x14ac:dyDescent="0.25">
      <c r="A31" t="s">
        <v>164</v>
      </c>
      <c r="B31" t="s">
        <v>113</v>
      </c>
      <c r="C31" t="s">
        <v>109</v>
      </c>
      <c r="D31">
        <v>1</v>
      </c>
      <c r="E31">
        <v>16</v>
      </c>
      <c r="F31">
        <v>16</v>
      </c>
      <c r="G31" t="s">
        <v>142</v>
      </c>
    </row>
    <row r="32" spans="1:7" x14ac:dyDescent="0.25">
      <c r="A32" t="s">
        <v>165</v>
      </c>
      <c r="B32" t="s">
        <v>113</v>
      </c>
      <c r="C32" t="s">
        <v>109</v>
      </c>
      <c r="D32">
        <v>1</v>
      </c>
      <c r="E32">
        <v>16</v>
      </c>
      <c r="F32">
        <v>16</v>
      </c>
      <c r="G32" t="s">
        <v>143</v>
      </c>
    </row>
    <row r="33" spans="1:7" x14ac:dyDescent="0.25">
      <c r="A33" t="s">
        <v>166</v>
      </c>
      <c r="B33" t="s">
        <v>113</v>
      </c>
      <c r="C33" t="s">
        <v>109</v>
      </c>
      <c r="D33">
        <v>1</v>
      </c>
      <c r="E33">
        <v>71</v>
      </c>
      <c r="F33">
        <v>71</v>
      </c>
      <c r="G33" t="s">
        <v>144</v>
      </c>
    </row>
    <row r="34" spans="1:7" x14ac:dyDescent="0.25">
      <c r="A34" t="s">
        <v>167</v>
      </c>
      <c r="B34" t="s">
        <v>113</v>
      </c>
      <c r="C34" t="s">
        <v>109</v>
      </c>
      <c r="D34">
        <v>1</v>
      </c>
      <c r="E34">
        <v>17</v>
      </c>
      <c r="F34">
        <v>17</v>
      </c>
      <c r="G34" t="s">
        <v>145</v>
      </c>
    </row>
    <row r="35" spans="1:7" x14ac:dyDescent="0.25">
      <c r="A35" t="s">
        <v>112</v>
      </c>
      <c r="B35" t="s">
        <v>113</v>
      </c>
      <c r="C35" t="s">
        <v>109</v>
      </c>
      <c r="D35">
        <v>1</v>
      </c>
      <c r="E35">
        <v>1</v>
      </c>
      <c r="G35" t="s">
        <v>114</v>
      </c>
    </row>
    <row r="36" spans="1:7" x14ac:dyDescent="0.25">
      <c r="A36" t="s">
        <v>115</v>
      </c>
      <c r="B36" t="s">
        <v>113</v>
      </c>
      <c r="C36">
        <v>19</v>
      </c>
      <c r="D36">
        <v>1</v>
      </c>
      <c r="E36">
        <v>1</v>
      </c>
      <c r="G36" t="s">
        <v>116</v>
      </c>
    </row>
    <row r="37" spans="1:7" x14ac:dyDescent="0.25">
      <c r="A37" t="s">
        <v>117</v>
      </c>
      <c r="B37" t="s">
        <v>113</v>
      </c>
      <c r="C37">
        <v>19</v>
      </c>
      <c r="D37">
        <v>1</v>
      </c>
      <c r="E37">
        <v>1</v>
      </c>
      <c r="G37" t="s">
        <v>118</v>
      </c>
    </row>
    <row r="41" spans="1:7" x14ac:dyDescent="0.25">
      <c r="A41" s="3" t="s">
        <v>172</v>
      </c>
    </row>
    <row r="42" spans="1:7" x14ac:dyDescent="0.25">
      <c r="A42" s="3" t="s">
        <v>152</v>
      </c>
      <c r="B42" s="3" t="s">
        <v>173</v>
      </c>
    </row>
    <row r="43" spans="1:7" x14ac:dyDescent="0.25">
      <c r="A43" s="3" t="s">
        <v>171</v>
      </c>
      <c r="B43" s="3" t="s">
        <v>173</v>
      </c>
    </row>
    <row r="44" spans="1:7" x14ac:dyDescent="0.25">
      <c r="A44" s="3" t="s">
        <v>150</v>
      </c>
      <c r="B44" s="3" t="s">
        <v>203</v>
      </c>
    </row>
    <row r="45" spans="1:7" x14ac:dyDescent="0.25">
      <c r="A45" s="3" t="s">
        <v>205</v>
      </c>
      <c r="B45" s="3" t="s">
        <v>204</v>
      </c>
    </row>
    <row r="47" spans="1:7" x14ac:dyDescent="0.25">
      <c r="A47" s="3" t="s">
        <v>174</v>
      </c>
    </row>
    <row r="48" spans="1:7" x14ac:dyDescent="0.25">
      <c r="A48" s="3" t="s">
        <v>147</v>
      </c>
    </row>
    <row r="49" spans="1:1" x14ac:dyDescent="0.25">
      <c r="A49" s="3" t="s">
        <v>162</v>
      </c>
    </row>
    <row r="50" spans="1:1" x14ac:dyDescent="0.25">
      <c r="A50" s="3" t="s">
        <v>163</v>
      </c>
    </row>
    <row r="51" spans="1:1" x14ac:dyDescent="0.25">
      <c r="A51" s="3" t="s">
        <v>164</v>
      </c>
    </row>
    <row r="52" spans="1:1" x14ac:dyDescent="0.25">
      <c r="A52" s="3" t="s">
        <v>165</v>
      </c>
    </row>
    <row r="53" spans="1:1" x14ac:dyDescent="0.25">
      <c r="A53" s="3" t="s">
        <v>166</v>
      </c>
    </row>
    <row r="54" spans="1:1" x14ac:dyDescent="0.25">
      <c r="A54" s="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9F1B-2B81-45AB-A67A-87B3D444D624}">
  <dimension ref="A2:L52"/>
  <sheetViews>
    <sheetView topLeftCell="A4" workbookViewId="0">
      <selection activeCell="D30" sqref="D30"/>
    </sheetView>
  </sheetViews>
  <sheetFormatPr defaultRowHeight="15" x14ac:dyDescent="0.25"/>
  <cols>
    <col min="2" max="2" width="15.7109375" customWidth="1"/>
  </cols>
  <sheetData>
    <row r="2" spans="2:8" x14ac:dyDescent="0.25">
      <c r="B2" t="s">
        <v>110</v>
      </c>
    </row>
    <row r="3" spans="2:8" x14ac:dyDescent="0.25">
      <c r="B3" t="s">
        <v>111</v>
      </c>
    </row>
    <row r="5" spans="2:8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</row>
    <row r="6" spans="2:8" x14ac:dyDescent="0.25">
      <c r="B6" t="str">
        <f>'Raw quantities'!Q4</f>
        <v>B2022.001</v>
      </c>
      <c r="C6" s="2" t="s">
        <v>119</v>
      </c>
      <c r="D6" s="2" t="s">
        <v>108</v>
      </c>
      <c r="E6" s="2">
        <v>1</v>
      </c>
      <c r="F6">
        <f>'Raw quantities'!V4*0.5</f>
        <v>3375</v>
      </c>
      <c r="G6" s="18">
        <f>'Raw quantities'!V34</f>
        <v>225</v>
      </c>
      <c r="H6" t="str">
        <f>'Raw quantities'!T4</f>
        <v xml:space="preserve">   Curtain Walls - Generic Midrise Stick-Built Curtain wall, Config: Monolithic, Lamination: Unknown, Glass Type: Unknown, Details: Aspect ratio = 6:5,  Other details Unknown</v>
      </c>
    </row>
    <row r="7" spans="2:8" x14ac:dyDescent="0.25">
      <c r="B7" t="str">
        <f>'Raw quantities'!Q4</f>
        <v>B2022.001</v>
      </c>
      <c r="C7" s="2" t="s">
        <v>119</v>
      </c>
      <c r="D7" s="2">
        <v>1</v>
      </c>
      <c r="E7" s="2">
        <v>1</v>
      </c>
      <c r="F7">
        <f>'Raw quantities'!AN4*0.5</f>
        <v>674.99999999999989</v>
      </c>
      <c r="G7" s="18">
        <f>'Raw quantities'!AN34</f>
        <v>44.999999999999993</v>
      </c>
      <c r="H7" t="str">
        <f>'Raw quantities'!T4</f>
        <v xml:space="preserve">   Curtain Walls - Generic Midrise Stick-Built Curtain wall, Config: Monolithic, Lamination: Unknown, Glass Type: Unknown, Details: Aspect ratio = 6:5,  Other details Unknown</v>
      </c>
    </row>
    <row r="8" spans="2:8" x14ac:dyDescent="0.25">
      <c r="B8" t="str">
        <f>'Raw quantities'!Q5</f>
        <v>B3011.011</v>
      </c>
      <c r="C8" s="2" t="s">
        <v>119</v>
      </c>
      <c r="D8" s="2" t="s">
        <v>108</v>
      </c>
      <c r="E8" s="2">
        <v>1</v>
      </c>
      <c r="F8">
        <f>'Raw quantities'!V5</f>
        <v>6075</v>
      </c>
      <c r="G8">
        <f>_xlfn.CEILING.MATH('Raw quantities'!V35)</f>
        <v>61</v>
      </c>
      <c r="H8" t="str">
        <f>'Raw quantities'!T5</f>
        <v xml:space="preserve">   Concrete tile roof, tiles secured and compliant with UBC94</v>
      </c>
    </row>
    <row r="9" spans="2:8" x14ac:dyDescent="0.25">
      <c r="B9" t="str">
        <f>'Raw quantities'!Q5</f>
        <v>B3011.011</v>
      </c>
      <c r="C9" s="2" t="s">
        <v>119</v>
      </c>
      <c r="D9" s="2">
        <v>1</v>
      </c>
      <c r="E9" s="2">
        <v>1</v>
      </c>
      <c r="F9">
        <f>'Raw quantities'!AN5</f>
        <v>11250</v>
      </c>
      <c r="G9">
        <f>_xlfn.CEILING.MATH('Raw quantities'!AN35)</f>
        <v>113</v>
      </c>
      <c r="H9" t="str">
        <f>'Raw quantities'!T5</f>
        <v xml:space="preserve">   Concrete tile roof, tiles secured and compliant with UBC94</v>
      </c>
    </row>
    <row r="10" spans="2:8" x14ac:dyDescent="0.25">
      <c r="B10" t="str">
        <f>'Raw quantities'!Q6</f>
        <v>C1011.001a</v>
      </c>
      <c r="C10" s="2" t="s">
        <v>120</v>
      </c>
      <c r="D10" s="2" t="s">
        <v>108</v>
      </c>
      <c r="E10" s="2">
        <v>1</v>
      </c>
      <c r="F10">
        <f>'Raw quantities'!V6*0.5</f>
        <v>1125</v>
      </c>
      <c r="G10">
        <f>_xlfn.CEILING.MATH('Raw quantities'!V36)</f>
        <v>23</v>
      </c>
      <c r="H10" t="str">
        <f>'Raw quantities'!T6</f>
        <v xml:space="preserve">   Wall Partition, Type: Gypsum with metal studs, Full Height, Fixed Below, Fixed Above</v>
      </c>
    </row>
    <row r="11" spans="2:8" x14ac:dyDescent="0.25">
      <c r="B11" t="str">
        <f>'Raw quantities'!Q6</f>
        <v>C1011.001a</v>
      </c>
      <c r="C11" s="2" t="s">
        <v>120</v>
      </c>
      <c r="D11" s="2">
        <v>1</v>
      </c>
      <c r="E11" s="2">
        <v>1</v>
      </c>
      <c r="F11">
        <f>'Raw quantities'!AN6*0.5</f>
        <v>112.5</v>
      </c>
      <c r="G11">
        <f>_xlfn.CEILING.MATH('Raw quantities'!AN36)</f>
        <v>3</v>
      </c>
      <c r="H11" t="str">
        <f>'Raw quantities'!T6</f>
        <v xml:space="preserve">   Wall Partition, Type: Gypsum with metal studs, Full Height, Fixed Below, Fixed Above</v>
      </c>
    </row>
    <row r="12" spans="2:8" x14ac:dyDescent="0.25">
      <c r="B12" t="str">
        <f>'Raw quantities'!Q7</f>
        <v>C3011.001a</v>
      </c>
      <c r="C12" s="2" t="s">
        <v>120</v>
      </c>
      <c r="D12" s="2" t="s">
        <v>108</v>
      </c>
      <c r="E12" s="2">
        <v>1</v>
      </c>
      <c r="F12">
        <f>'Raw quantities'!V7</f>
        <v>170.10000000000002</v>
      </c>
      <c r="G12">
        <f>_xlfn.CEILING.MATH('Raw quantities'!V37)</f>
        <v>2</v>
      </c>
      <c r="H12" t="str">
        <f>'Raw quantities'!T7</f>
        <v xml:space="preserve">   Wall Partition, Type: Gypsum + Wallpaper, Full Height, Fixed Below, Fixed Above</v>
      </c>
    </row>
    <row r="13" spans="2:8" x14ac:dyDescent="0.25">
      <c r="B13" t="str">
        <f>'Raw quantities'!Q7</f>
        <v>C3011.001a</v>
      </c>
      <c r="C13" s="2" t="s">
        <v>120</v>
      </c>
      <c r="D13" s="2">
        <v>1</v>
      </c>
      <c r="E13" s="2">
        <v>1</v>
      </c>
      <c r="F13">
        <f>'Raw quantities'!AN7</f>
        <v>242.99999999999997</v>
      </c>
      <c r="G13">
        <f>_xlfn.CEILING.MATH('Raw quantities'!AN37)</f>
        <v>3</v>
      </c>
      <c r="H13" t="str">
        <f>'Raw quantities'!T7</f>
        <v xml:space="preserve">   Wall Partition, Type: Gypsum + Wallpaper, Full Height, Fixed Below, Fixed Above</v>
      </c>
    </row>
    <row r="14" spans="2:8" x14ac:dyDescent="0.25">
      <c r="B14" t="str">
        <f>'Raw quantities'!Q8</f>
        <v>C3027.001</v>
      </c>
      <c r="C14" s="2" t="s">
        <v>119</v>
      </c>
      <c r="D14" s="2" t="s">
        <v>108</v>
      </c>
      <c r="E14" s="2">
        <v>1</v>
      </c>
      <c r="F14">
        <f>'Raw quantities'!V8</f>
        <v>16875</v>
      </c>
      <c r="G14">
        <f>_xlfn.CEILING.MATH('Raw quantities'!V38)</f>
        <v>169</v>
      </c>
      <c r="H14" t="str">
        <f>'Raw quantities'!T8</f>
        <v xml:space="preserve">   Raised Access Floor, non seismically rated.</v>
      </c>
    </row>
    <row r="15" spans="2:8" x14ac:dyDescent="0.25">
      <c r="B15" t="str">
        <f>'Raw quantities'!Q9</f>
        <v>C3032.001a</v>
      </c>
      <c r="C15" s="2" t="s">
        <v>119</v>
      </c>
      <c r="D15" s="2" t="s">
        <v>109</v>
      </c>
      <c r="E15" s="2">
        <v>1</v>
      </c>
      <c r="F15">
        <f>'Raw quantities'!V9</f>
        <v>20250</v>
      </c>
      <c r="G15">
        <f>'Raw quantities'!V39</f>
        <v>81</v>
      </c>
      <c r="H15" t="str">
        <f>'Raw quantities'!T9</f>
        <v xml:space="preserve">   Suspended Ceiling, SDC A,B,C, Area (A): A &lt; 250, Vert support only</v>
      </c>
    </row>
    <row r="16" spans="2:8" x14ac:dyDescent="0.25">
      <c r="B16" t="str">
        <f>'Raw quantities'!Q10</f>
        <v>E2022.112a</v>
      </c>
      <c r="C16" s="2" t="s">
        <v>113</v>
      </c>
      <c r="D16" s="2" t="s">
        <v>108</v>
      </c>
      <c r="E16" s="2">
        <v>1</v>
      </c>
      <c r="F16">
        <f>'Raw quantities'!V10</f>
        <v>18</v>
      </c>
      <c r="G16">
        <f>'Raw quantities'!V40</f>
        <v>18</v>
      </c>
      <c r="H16" t="str">
        <f>'Raw quantities'!T10</f>
        <v xml:space="preserve">   Vertical Filing Cabinet, 2 drawer, unanchored laterally</v>
      </c>
    </row>
    <row r="17" spans="2:8" x14ac:dyDescent="0.25">
      <c r="B17" t="str">
        <f>'Raw quantities'!Q11</f>
        <v>E2022.102a</v>
      </c>
      <c r="C17" s="2" t="s">
        <v>113</v>
      </c>
      <c r="D17" s="2" t="s">
        <v>108</v>
      </c>
      <c r="E17" s="2">
        <v>1</v>
      </c>
      <c r="F17">
        <f>'Raw quantities'!V11</f>
        <v>45</v>
      </c>
      <c r="G17">
        <f>'Raw quantities'!V41</f>
        <v>45</v>
      </c>
      <c r="H17" t="str">
        <f>'Raw quantities'!T11</f>
        <v xml:space="preserve">   Bookcase, 2 shelves, unanchored laterally</v>
      </c>
    </row>
    <row r="18" spans="2:8" x14ac:dyDescent="0.25">
      <c r="B18" t="str">
        <f>'Raw quantities'!Q12</f>
        <v>D2021.011a</v>
      </c>
      <c r="C18" s="2" t="s">
        <v>120</v>
      </c>
      <c r="D18" s="2" t="s">
        <v>108</v>
      </c>
      <c r="E18" s="2">
        <v>1</v>
      </c>
      <c r="F18">
        <f>'Raw quantities'!V12</f>
        <v>945</v>
      </c>
      <c r="G18">
        <f>_xlfn.CEILING.MATH('Raw quantities'!V42)</f>
        <v>1</v>
      </c>
      <c r="H18" t="str">
        <f>'Raw quantities'!T12</f>
        <v xml:space="preserve">   Cold or Hot Potable  - Small Diameter Threaded Steel - (2.5 inches in diameter or less), SDC A or B, PIPING FRAGILITY</v>
      </c>
    </row>
    <row r="19" spans="2:8" x14ac:dyDescent="0.25">
      <c r="B19" t="str">
        <f>'Raw quantities'!Q12</f>
        <v>D2021.011a</v>
      </c>
      <c r="C19" s="2" t="s">
        <v>120</v>
      </c>
      <c r="D19" s="2">
        <v>1</v>
      </c>
      <c r="E19" s="2">
        <v>1</v>
      </c>
      <c r="F19">
        <f>'Raw quantities'!AN12</f>
        <v>675</v>
      </c>
      <c r="G19">
        <f>_xlfn.CEILING.MATH('Raw quantities'!AN42)</f>
        <v>1</v>
      </c>
      <c r="H19" t="str">
        <f>'Raw quantities'!T12</f>
        <v xml:space="preserve">   Cold or Hot Potable  - Small Diameter Threaded Steel - (2.5 inches in diameter or less), SDC A or B, PIPING FRAGILITY</v>
      </c>
    </row>
    <row r="20" spans="2:8" x14ac:dyDescent="0.25">
      <c r="B20" t="str">
        <f>'Raw quantities'!Q13</f>
        <v>D3041.012a</v>
      </c>
      <c r="C20" s="2" t="s">
        <v>120</v>
      </c>
      <c r="D20" s="2" t="s">
        <v>108</v>
      </c>
      <c r="E20" s="2">
        <v>1</v>
      </c>
      <c r="F20">
        <f>'Raw quantities'!V13</f>
        <v>450</v>
      </c>
      <c r="G20">
        <f>_xlfn.CEILING.MATH('Raw quantities'!V43)</f>
        <v>1</v>
      </c>
      <c r="H20" t="str">
        <f>'Raw quantities'!T13</f>
        <v xml:space="preserve">   HVAC Galvanized Sheet Metal Ducting -  6 sq. ft cross sectional area or greater, SDC A or B</v>
      </c>
    </row>
    <row r="21" spans="2:8" x14ac:dyDescent="0.25">
      <c r="B21" t="str">
        <f>'Raw quantities'!Q13</f>
        <v>D3041.012a</v>
      </c>
      <c r="C21" s="2" t="s">
        <v>120</v>
      </c>
      <c r="D21" s="2">
        <v>1</v>
      </c>
      <c r="E21" s="2">
        <v>1</v>
      </c>
      <c r="F21">
        <f>'Raw quantities'!AN13</f>
        <v>1125</v>
      </c>
      <c r="G21">
        <f>_xlfn.CEILING.MATH('Raw quantities'!AN43)</f>
        <v>2</v>
      </c>
      <c r="H21" t="str">
        <f>'Raw quantities'!T13</f>
        <v xml:space="preserve">   HVAC Galvanized Sheet Metal Ducting -  6 sq. ft cross sectional area or greater, SDC A or B</v>
      </c>
    </row>
    <row r="22" spans="2:8" x14ac:dyDescent="0.25">
      <c r="B22" t="str">
        <f>'Raw quantities'!Q14</f>
        <v>D3041.011a</v>
      </c>
      <c r="C22" s="2" t="s">
        <v>120</v>
      </c>
      <c r="D22" s="2" t="s">
        <v>108</v>
      </c>
      <c r="E22" s="2">
        <v>1</v>
      </c>
      <c r="F22">
        <f>'Raw quantities'!V14</f>
        <v>1687.4999999999998</v>
      </c>
      <c r="G22">
        <f>_xlfn.CEILING.MATH('Raw quantities'!V44)</f>
        <v>2</v>
      </c>
      <c r="H22" t="str">
        <f>'Raw quantities'!T14</f>
        <v xml:space="preserve">   HVAC Galvanized Sheet Metal Ducting less than 6 sq. ft in cross sectional area, SDC A or B</v>
      </c>
    </row>
    <row r="23" spans="2:8" x14ac:dyDescent="0.25">
      <c r="B23" t="str">
        <f>'Raw quantities'!Q14</f>
        <v>D3041.011a</v>
      </c>
      <c r="C23" s="2" t="s">
        <v>120</v>
      </c>
      <c r="D23" s="2">
        <v>1</v>
      </c>
      <c r="E23" s="2">
        <v>1</v>
      </c>
      <c r="F23">
        <f>'Raw quantities'!AN14</f>
        <v>112.5</v>
      </c>
      <c r="G23">
        <f>_xlfn.CEILING.MATH('Raw quantities'!AN44)</f>
        <v>1</v>
      </c>
      <c r="H23" t="str">
        <f>'Raw quantities'!T14</f>
        <v xml:space="preserve">   HVAC Galvanized Sheet Metal Ducting less than 6 sq. ft in cross sectional area, SDC A or B</v>
      </c>
    </row>
    <row r="24" spans="2:8" x14ac:dyDescent="0.25">
      <c r="B24" t="str">
        <f>'Raw quantities'!Q15</f>
        <v>D3041.031a</v>
      </c>
      <c r="C24" s="2" t="s">
        <v>113</v>
      </c>
      <c r="D24" s="2" t="s">
        <v>108</v>
      </c>
      <c r="E24" s="2">
        <v>1</v>
      </c>
      <c r="F24">
        <f>_xlfn.CEILING.MATH('Raw quantities'!V15)</f>
        <v>203</v>
      </c>
      <c r="G24">
        <f>_xlfn.CEILING.MATH('Raw quantities'!V45)</f>
        <v>21</v>
      </c>
      <c r="H24" t="str">
        <f>'Raw quantities'!T15</f>
        <v xml:space="preserve">   HVAC Drops / Diffusers in suspended ceilings - No independent safety wires, SDC A or B</v>
      </c>
    </row>
    <row r="25" spans="2:8" x14ac:dyDescent="0.25">
      <c r="B25" t="str">
        <f>'Raw quantities'!Q16</f>
        <v>D3041.041a</v>
      </c>
      <c r="C25" s="2" t="s">
        <v>113</v>
      </c>
      <c r="D25" s="2" t="s">
        <v>108</v>
      </c>
      <c r="E25" s="2">
        <v>1</v>
      </c>
      <c r="F25">
        <f>_xlfn.CEILING.MATH('Raw quantities'!V16)</f>
        <v>113</v>
      </c>
      <c r="G25">
        <f>_xlfn.CEILING.MATH('Raw quantities'!V46)</f>
        <v>12</v>
      </c>
      <c r="H25" t="str">
        <f>'Raw quantities'!T16</f>
        <v xml:space="preserve">   Variable Air Volume (VAV) box with in-line coil, SDC A or B</v>
      </c>
    </row>
    <row r="26" spans="2:8" x14ac:dyDescent="0.25">
      <c r="B26" t="str">
        <f>'Raw quantities'!Q16</f>
        <v>D3041.041a</v>
      </c>
      <c r="C26" s="2" t="s">
        <v>113</v>
      </c>
      <c r="D26" s="2">
        <v>1</v>
      </c>
      <c r="E26" s="2">
        <v>1</v>
      </c>
      <c r="F26">
        <f>'Raw quantities'!AN16</f>
        <v>90</v>
      </c>
      <c r="G26">
        <f>'Raw quantities'!AN46</f>
        <v>9</v>
      </c>
      <c r="H26" t="str">
        <f>'Raw quantities'!T16</f>
        <v xml:space="preserve">   Variable Air Volume (VAV) box with in-line coil, SDC A or B</v>
      </c>
    </row>
    <row r="27" spans="2:8" x14ac:dyDescent="0.25">
      <c r="B27" t="str">
        <f>'Raw quantities'!Q17</f>
        <v>C3034.001</v>
      </c>
      <c r="C27" s="2" t="s">
        <v>113</v>
      </c>
      <c r="D27" s="2" t="s">
        <v>109</v>
      </c>
      <c r="E27" s="2">
        <v>1</v>
      </c>
      <c r="F27">
        <f>_xlfn.CEILING.MATH('Raw quantities'!V17)</f>
        <v>338</v>
      </c>
      <c r="G27">
        <f>_xlfn.CEILING.MATH('Raw quantities'!V47)</f>
        <v>338</v>
      </c>
      <c r="H27" t="str">
        <f>'Raw quantities'!T17</f>
        <v xml:space="preserve">   Independent Pendant Lighting - non seismic</v>
      </c>
    </row>
    <row r="28" spans="2:8" x14ac:dyDescent="0.25">
      <c r="B28" t="str">
        <f>'Raw quantities'!Q18</f>
        <v>D4011.021a</v>
      </c>
      <c r="C28" s="2" t="s">
        <v>120</v>
      </c>
      <c r="D28" s="2" t="s">
        <v>108</v>
      </c>
      <c r="E28" s="2">
        <v>1</v>
      </c>
      <c r="F28">
        <f>'Raw quantities'!V18</f>
        <v>4500</v>
      </c>
      <c r="G28">
        <f>_xlfn.CEILING.MATH('Raw quantities'!V48)</f>
        <v>5</v>
      </c>
      <c r="H28" t="str">
        <f>'Raw quantities'!T18</f>
        <v xml:space="preserve">   Fire Sprinkler Water Piping - Horizontal Mains and Branches - Old Style Victaulic - Thin Wall Steel - No bracing, SDC A or B, PIPING FRAGILITY</v>
      </c>
    </row>
    <row r="29" spans="2:8" x14ac:dyDescent="0.25">
      <c r="B29" t="str">
        <f>'Raw quantities'!Q18</f>
        <v>D4011.021a</v>
      </c>
      <c r="C29" s="2" t="s">
        <v>120</v>
      </c>
      <c r="D29" s="2">
        <v>1</v>
      </c>
      <c r="E29" s="2">
        <v>1</v>
      </c>
      <c r="F29">
        <f>'Raw quantities'!AN18</f>
        <v>4050</v>
      </c>
      <c r="G29">
        <f>_xlfn.CEILING.MATH('Raw quantities'!AN48)</f>
        <v>5</v>
      </c>
      <c r="H29" t="str">
        <f>'Raw quantities'!T18</f>
        <v xml:space="preserve">   Fire Sprinkler Water Piping - Horizontal Mains and Branches - Old Style Victaulic - Thin Wall Steel - No bracing, SDC A or B, PIPING FRAGILITY</v>
      </c>
    </row>
    <row r="30" spans="2:8" x14ac:dyDescent="0.25">
      <c r="B30" t="str">
        <f>'Raw quantities'!Q19</f>
        <v>D4011.031a</v>
      </c>
      <c r="C30" s="2" t="s">
        <v>113</v>
      </c>
      <c r="D30" s="2" t="s">
        <v>108</v>
      </c>
      <c r="E30" s="2">
        <v>1</v>
      </c>
      <c r="F30">
        <f>_xlfn.CEILING.MATH('Raw quantities'!V19)</f>
        <v>203</v>
      </c>
      <c r="G30">
        <f>_xlfn.CEILING.MATH('Raw quantities'!V49)</f>
        <v>3</v>
      </c>
      <c r="H30" t="str">
        <f>'Raw quantities'!T19</f>
        <v xml:space="preserve">   Fire Sprinkler Drop Standard Threaded Steel - Dropping into unbraced lay-in tile SOFT ceiling - 6 ft. long drop maximum, SDC A or B</v>
      </c>
    </row>
    <row r="31" spans="2:8" x14ac:dyDescent="0.25">
      <c r="B31" t="str">
        <f>'Raw quantities'!Q19</f>
        <v>D4011.031a</v>
      </c>
      <c r="C31" s="2" t="s">
        <v>113</v>
      </c>
      <c r="D31" s="2">
        <v>1</v>
      </c>
      <c r="E31" s="2">
        <v>1</v>
      </c>
      <c r="F31">
        <f>'Raw quantities'!AN19</f>
        <v>180</v>
      </c>
      <c r="G31">
        <f>_xlfn.CEILING.MATH('Raw quantities'!AN49)</f>
        <v>2</v>
      </c>
      <c r="H31" t="str">
        <f>'Raw quantities'!T19</f>
        <v xml:space="preserve">   Fire Sprinkler Drop Standard Threaded Steel - Dropping into unbraced lay-in tile SOFT ceiling - 6 ft. long drop maximum, SDC A or B</v>
      </c>
    </row>
    <row r="32" spans="2:8" x14ac:dyDescent="0.25">
      <c r="B32" s="19" t="s">
        <v>168</v>
      </c>
      <c r="C32" s="2" t="s">
        <v>113</v>
      </c>
      <c r="D32" s="2" t="s">
        <v>109</v>
      </c>
      <c r="E32" s="2">
        <v>1</v>
      </c>
      <c r="F32">
        <f>_xlfn.CEILING.MATH('Raw quantities'!V21*0.5)</f>
        <v>3</v>
      </c>
      <c r="G32">
        <f>_xlfn.CEILING.MATH('Raw quantities'!V51)</f>
        <v>3</v>
      </c>
      <c r="H32" t="str">
        <f>'Raw quantities'!T21</f>
        <v xml:space="preserve">   Prefabricated steel stair with steel treads and landings with seismic joints that accommodate drift.</v>
      </c>
    </row>
    <row r="33" spans="1:12" x14ac:dyDescent="0.25">
      <c r="A33" s="3" t="s">
        <v>122</v>
      </c>
      <c r="B33" t="str">
        <f>'Raw quantities'!Q22</f>
        <v>D5012.021a</v>
      </c>
      <c r="C33" s="15" t="str">
        <f>'Raw quantities'!U22</f>
        <v>AP</v>
      </c>
      <c r="D33" s="2" t="s">
        <v>109</v>
      </c>
      <c r="E33" s="2">
        <v>1</v>
      </c>
      <c r="F33">
        <f>_xlfn.CEILING.MATH('Raw quantities'!V22*0.5/225)</f>
        <v>1</v>
      </c>
      <c r="G33">
        <f>_xlfn.CEILING.MATH('Raw quantities'!V52)</f>
        <v>1</v>
      </c>
      <c r="H33" t="str">
        <f>'Raw quantities'!T22</f>
        <v xml:space="preserve">   Low Voltage Switchgear - Capacity: 100 to &lt;350 Amp - Unanchored equipment that is not vibration isolated - Equipment fragility only</v>
      </c>
    </row>
    <row r="34" spans="1:12" x14ac:dyDescent="0.25">
      <c r="A34" s="3"/>
      <c r="B34" t="str">
        <f>'Raw quantities'!Q23</f>
        <v>D1014.011</v>
      </c>
      <c r="C34" s="2" t="s">
        <v>113</v>
      </c>
      <c r="D34" s="2" t="s">
        <v>109</v>
      </c>
      <c r="E34" s="2">
        <v>1</v>
      </c>
      <c r="F34">
        <f>_xlfn.CEILING.MATH('Raw quantities'!AO23)</f>
        <v>14</v>
      </c>
      <c r="G34">
        <f>_xlfn.CEILING.MATH('Raw quantities'!AO53)</f>
        <v>14</v>
      </c>
      <c r="H34" t="str">
        <f>'Raw quantities'!T23</f>
        <v xml:space="preserve">   Traction Elevator – Applies to most California Installations 1976 or later, most western states installations 1982 or later and most other U.S installations 1998 or later.</v>
      </c>
    </row>
    <row r="35" spans="1:12" x14ac:dyDescent="0.25">
      <c r="A35" s="3" t="s">
        <v>123</v>
      </c>
      <c r="B35" t="str">
        <f>'Raw quantities'!Q24</f>
        <v>D3031.011a</v>
      </c>
      <c r="C35" s="15" t="str">
        <f>'Raw quantities'!U24</f>
        <v>TN</v>
      </c>
      <c r="D35" s="2" t="s">
        <v>109</v>
      </c>
      <c r="E35" s="2">
        <v>1</v>
      </c>
      <c r="F35">
        <f>_xlfn.CEILING.MATH('Raw quantities'!AO24/75)</f>
        <v>16</v>
      </c>
      <c r="G35">
        <f>_xlfn.CEILING.MATH('Raw quantities'!AO54)</f>
        <v>16</v>
      </c>
      <c r="H35" t="str">
        <f>'Raw quantities'!T24</f>
        <v xml:space="preserve">   Chiller - Capacity: &lt; 100 Ton - Unanchored equipment that is not vibration isolated - Equipment fragility only</v>
      </c>
    </row>
    <row r="36" spans="1:12" x14ac:dyDescent="0.25">
      <c r="A36" s="3" t="s">
        <v>123</v>
      </c>
      <c r="B36" t="str">
        <f>'Raw quantities'!Q25</f>
        <v>D3031.021a</v>
      </c>
      <c r="C36" s="15" t="str">
        <f>'Raw quantities'!U25</f>
        <v>TN</v>
      </c>
      <c r="D36" s="2" t="s">
        <v>109</v>
      </c>
      <c r="E36" s="2">
        <v>1</v>
      </c>
      <c r="F36">
        <f>_xlfn.CEILING.MATH('Raw quantities'!AO25/75)</f>
        <v>16</v>
      </c>
      <c r="G36">
        <f>_xlfn.CEILING.MATH('Raw quantities'!AO55)</f>
        <v>16</v>
      </c>
      <c r="H36" t="str">
        <f>'Raw quantities'!T25</f>
        <v xml:space="preserve">   Cooling Tower - Capacity: &lt; 100 Ton - Unanchored equipment that is not vibration isolated - Equipment fragility only</v>
      </c>
    </row>
    <row r="37" spans="1:12" x14ac:dyDescent="0.25">
      <c r="A37" s="3" t="s">
        <v>123</v>
      </c>
      <c r="B37" t="str">
        <f>'Raw quantities'!Q26</f>
        <v>D3052.011a</v>
      </c>
      <c r="C37" s="15" t="str">
        <f>'Raw quantities'!U26</f>
        <v>CF</v>
      </c>
      <c r="D37" s="2" t="s">
        <v>109</v>
      </c>
      <c r="E37" s="2">
        <v>1</v>
      </c>
      <c r="F37">
        <f>_xlfn.CEILING.MATH('Raw quantities'!AO26/4000)</f>
        <v>71</v>
      </c>
      <c r="G37">
        <f>_xlfn.CEILING.MATH('Raw quantities'!AO56)</f>
        <v>71</v>
      </c>
      <c r="H37" t="str">
        <f>'Raw quantities'!T26</f>
        <v xml:space="preserve">   Air Handling Unit - Capacity: &lt;5000 CFM - Unanchored equipment that is not vibration isolated - Equipment fragility only</v>
      </c>
    </row>
    <row r="38" spans="1:12" x14ac:dyDescent="0.25">
      <c r="B38" t="str">
        <f>'Raw quantities'!Q27</f>
        <v>D5012.013a</v>
      </c>
      <c r="C38" s="2" t="s">
        <v>113</v>
      </c>
      <c r="D38" s="2" t="s">
        <v>109</v>
      </c>
      <c r="E38" s="2">
        <v>1</v>
      </c>
      <c r="F38">
        <f>_xlfn.CEILING.MATH('Raw quantities'!AO27)</f>
        <v>17</v>
      </c>
      <c r="G38">
        <f>_xlfn.CEILING.MATH('Raw quantities'!AO57)</f>
        <v>17</v>
      </c>
      <c r="H38" t="str">
        <f>'Raw quantities'!T27</f>
        <v xml:space="preserve">   Motor Control Center - Capacity: all - Unanchored equipment that is not vibration isolated - Equipment fragility only</v>
      </c>
    </row>
    <row r="40" spans="1:12" x14ac:dyDescent="0.25">
      <c r="B40" t="s">
        <v>112</v>
      </c>
      <c r="C40" t="s">
        <v>113</v>
      </c>
      <c r="D40" t="s">
        <v>109</v>
      </c>
      <c r="E40">
        <v>1</v>
      </c>
      <c r="F40">
        <v>1</v>
      </c>
      <c r="H40" t="s">
        <v>114</v>
      </c>
    </row>
    <row r="41" spans="1:12" x14ac:dyDescent="0.25">
      <c r="B41" t="s">
        <v>115</v>
      </c>
      <c r="C41" t="s">
        <v>113</v>
      </c>
      <c r="D41">
        <v>0</v>
      </c>
      <c r="E41">
        <v>1</v>
      </c>
      <c r="F41">
        <v>1</v>
      </c>
      <c r="H41" t="s">
        <v>116</v>
      </c>
    </row>
    <row r="42" spans="1:12" x14ac:dyDescent="0.25">
      <c r="B42" t="s">
        <v>117</v>
      </c>
      <c r="C42" t="s">
        <v>113</v>
      </c>
      <c r="D42">
        <v>0</v>
      </c>
      <c r="E42">
        <v>1</v>
      </c>
      <c r="F42">
        <v>1</v>
      </c>
      <c r="H42" t="s">
        <v>118</v>
      </c>
    </row>
    <row r="45" spans="1:12" x14ac:dyDescent="0.25">
      <c r="B45" s="1" t="s">
        <v>175</v>
      </c>
    </row>
    <row r="46" spans="1:12" x14ac:dyDescent="0.25">
      <c r="B46" t="s">
        <v>176</v>
      </c>
      <c r="C46" s="2" t="s">
        <v>113</v>
      </c>
      <c r="D46" s="2" t="s">
        <v>108</v>
      </c>
      <c r="E46" s="2">
        <v>1</v>
      </c>
      <c r="F46" s="2">
        <v>40</v>
      </c>
      <c r="G46" s="2">
        <f>F46</f>
        <v>40</v>
      </c>
      <c r="H46" t="s">
        <v>177</v>
      </c>
    </row>
    <row r="47" spans="1:12" x14ac:dyDescent="0.25">
      <c r="B47" t="s">
        <v>179</v>
      </c>
      <c r="C47" s="2" t="s">
        <v>113</v>
      </c>
      <c r="D47" s="2">
        <v>1</v>
      </c>
      <c r="E47" s="2">
        <v>1</v>
      </c>
      <c r="F47" s="2">
        <v>36</v>
      </c>
      <c r="G47" s="2">
        <f>F47</f>
        <v>36</v>
      </c>
      <c r="H47" t="s">
        <v>180</v>
      </c>
      <c r="L47" t="s">
        <v>178</v>
      </c>
    </row>
    <row r="48" spans="1:12" x14ac:dyDescent="0.25">
      <c r="B48" s="3" t="s">
        <v>183</v>
      </c>
      <c r="C48" s="15" t="s">
        <v>113</v>
      </c>
      <c r="D48" s="15" t="s">
        <v>181</v>
      </c>
      <c r="E48" s="15" t="s">
        <v>181</v>
      </c>
      <c r="F48" s="15" t="s">
        <v>181</v>
      </c>
      <c r="G48" s="15" t="s">
        <v>181</v>
      </c>
      <c r="H48" s="3" t="s">
        <v>182</v>
      </c>
    </row>
    <row r="49" spans="2:8" x14ac:dyDescent="0.25">
      <c r="B49" t="s">
        <v>187</v>
      </c>
      <c r="C49" s="2" t="s">
        <v>113</v>
      </c>
      <c r="D49" s="2" t="s">
        <v>188</v>
      </c>
      <c r="E49" s="2">
        <v>1</v>
      </c>
      <c r="F49" s="2">
        <v>8</v>
      </c>
      <c r="G49" s="2">
        <v>8</v>
      </c>
      <c r="H49" t="s">
        <v>184</v>
      </c>
    </row>
    <row r="50" spans="2:8" x14ac:dyDescent="0.25">
      <c r="B50" t="s">
        <v>186</v>
      </c>
      <c r="C50" s="2" t="s">
        <v>113</v>
      </c>
      <c r="D50" s="2" t="s">
        <v>188</v>
      </c>
      <c r="E50" s="2">
        <v>1</v>
      </c>
      <c r="F50" s="2">
        <v>4</v>
      </c>
      <c r="G50" s="2">
        <v>4</v>
      </c>
      <c r="H50" t="s">
        <v>185</v>
      </c>
    </row>
    <row r="51" spans="2:8" x14ac:dyDescent="0.25">
      <c r="B51" t="s">
        <v>189</v>
      </c>
      <c r="C51" s="2" t="s">
        <v>113</v>
      </c>
      <c r="D51" s="2" t="s">
        <v>191</v>
      </c>
      <c r="E51" s="2">
        <v>1</v>
      </c>
      <c r="F51" s="2">
        <v>8</v>
      </c>
      <c r="G51" s="2">
        <v>8</v>
      </c>
      <c r="H51" t="s">
        <v>193</v>
      </c>
    </row>
    <row r="52" spans="2:8" x14ac:dyDescent="0.25">
      <c r="B52" t="s">
        <v>190</v>
      </c>
      <c r="C52" s="2" t="s">
        <v>113</v>
      </c>
      <c r="D52" s="2" t="s">
        <v>191</v>
      </c>
      <c r="E52" s="2">
        <v>1</v>
      </c>
      <c r="F52" s="2">
        <v>4</v>
      </c>
      <c r="G52" s="2">
        <v>4</v>
      </c>
      <c r="H52" t="s">
        <v>192</v>
      </c>
    </row>
  </sheetData>
  <phoneticPr fontId="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7F76-2459-4EB2-A7DE-47863A27A8D0}">
  <dimension ref="B1:AQ444"/>
  <sheetViews>
    <sheetView topLeftCell="J1" workbookViewId="0">
      <selection activeCell="S83" sqref="S83"/>
    </sheetView>
  </sheetViews>
  <sheetFormatPr defaultRowHeight="15" x14ac:dyDescent="0.25"/>
  <cols>
    <col min="17" max="17" width="12.42578125" customWidth="1"/>
    <col min="19" max="19" width="13.7109375" customWidth="1"/>
    <col min="20" max="20" width="59.85546875" customWidth="1"/>
  </cols>
  <sheetData>
    <row r="1" spans="2:43" ht="15.75" thickBot="1" x14ac:dyDescent="0.3">
      <c r="P1" s="4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4"/>
      <c r="AQ1" s="4"/>
    </row>
    <row r="2" spans="2:43" x14ac:dyDescent="0.25">
      <c r="C2" s="21" t="s">
        <v>53</v>
      </c>
      <c r="D2" s="21"/>
      <c r="E2" s="21"/>
      <c r="F2" s="21"/>
      <c r="G2" s="21"/>
      <c r="H2" s="21"/>
      <c r="I2" s="21"/>
      <c r="J2" s="21"/>
      <c r="P2" s="4"/>
      <c r="Q2" s="20" t="s">
        <v>52</v>
      </c>
      <c r="R2" s="20"/>
      <c r="S2" s="20"/>
      <c r="T2" s="20"/>
      <c r="U2" s="20"/>
      <c r="V2" s="20" t="s">
        <v>105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4"/>
      <c r="AQ2" s="4"/>
    </row>
    <row r="3" spans="2:43" ht="15.75" thickBot="1" x14ac:dyDescent="0.3">
      <c r="B3" s="1" t="s">
        <v>104</v>
      </c>
      <c r="C3" s="1" t="s">
        <v>54</v>
      </c>
      <c r="D3" s="1" t="s">
        <v>75</v>
      </c>
      <c r="E3" s="1" t="s">
        <v>76</v>
      </c>
      <c r="F3" s="1" t="s">
        <v>77</v>
      </c>
      <c r="G3" s="1" t="s">
        <v>78</v>
      </c>
      <c r="H3" s="1" t="s">
        <v>79</v>
      </c>
      <c r="I3" s="1" t="s">
        <v>80</v>
      </c>
      <c r="J3" s="1" t="s">
        <v>81</v>
      </c>
      <c r="L3" s="1" t="s">
        <v>4</v>
      </c>
      <c r="P3" s="4"/>
      <c r="Q3" s="11" t="s">
        <v>54</v>
      </c>
      <c r="R3" s="11" t="s">
        <v>55</v>
      </c>
      <c r="S3" s="11" t="s">
        <v>82</v>
      </c>
      <c r="T3" s="11" t="s">
        <v>83</v>
      </c>
      <c r="U3" s="11" t="s">
        <v>0</v>
      </c>
      <c r="V3" s="11" t="s">
        <v>84</v>
      </c>
      <c r="W3" s="11" t="s">
        <v>85</v>
      </c>
      <c r="X3" s="11" t="s">
        <v>86</v>
      </c>
      <c r="Y3" s="11" t="s">
        <v>87</v>
      </c>
      <c r="Z3" s="11" t="s">
        <v>88</v>
      </c>
      <c r="AA3" s="11" t="s">
        <v>89</v>
      </c>
      <c r="AB3" s="11" t="s">
        <v>90</v>
      </c>
      <c r="AC3" s="11" t="s">
        <v>91</v>
      </c>
      <c r="AD3" s="11" t="s">
        <v>92</v>
      </c>
      <c r="AE3" s="11" t="s">
        <v>93</v>
      </c>
      <c r="AF3" s="11" t="s">
        <v>94</v>
      </c>
      <c r="AG3" s="11" t="s">
        <v>95</v>
      </c>
      <c r="AH3" s="11" t="s">
        <v>96</v>
      </c>
      <c r="AI3" s="11" t="s">
        <v>97</v>
      </c>
      <c r="AJ3" s="11" t="s">
        <v>98</v>
      </c>
      <c r="AK3" s="11" t="s">
        <v>99</v>
      </c>
      <c r="AL3" s="11" t="s">
        <v>100</v>
      </c>
      <c r="AM3" s="11" t="s">
        <v>101</v>
      </c>
      <c r="AN3" s="11" t="s">
        <v>102</v>
      </c>
      <c r="AO3" s="11" t="s">
        <v>103</v>
      </c>
      <c r="AP3" s="4"/>
      <c r="AQ3" s="4"/>
    </row>
    <row r="4" spans="2:43" x14ac:dyDescent="0.25">
      <c r="B4" s="2" t="s">
        <v>84</v>
      </c>
      <c r="C4" t="s">
        <v>6</v>
      </c>
      <c r="D4" t="s">
        <v>29</v>
      </c>
      <c r="E4" t="s">
        <v>56</v>
      </c>
      <c r="F4">
        <v>225</v>
      </c>
      <c r="G4" t="s">
        <v>57</v>
      </c>
      <c r="H4" t="s">
        <v>58</v>
      </c>
      <c r="I4">
        <v>6750</v>
      </c>
      <c r="J4" t="s">
        <v>59</v>
      </c>
      <c r="L4">
        <f>MAX(F4:G4)</f>
        <v>225</v>
      </c>
      <c r="P4" s="4"/>
      <c r="Q4" s="4" t="str" cm="1">
        <f t="array" ref="Q4:Q27">_xlfn.UNIQUE(C4:C444)</f>
        <v>B2022.001</v>
      </c>
      <c r="R4" s="4" t="str" cm="1">
        <f t="array" ref="R4:R27">VLOOKUP(_xlfn.ANCHORARRAY(Q4),C4:D444,2,FALSE)</f>
        <v>B2022.001    Curtain Walls - Generic Midrise Stick-Built Curtain wall, Config: Monolithic, Lamination: Unknown, Glass Type: Unknown, Details: Aspect ratio = 6:5,  Other details Unknown</v>
      </c>
      <c r="S4" s="4" t="s">
        <v>29</v>
      </c>
      <c r="T4" s="5" t="str">
        <f>RIGHT(S4,LEN(S4)-FIND(" ",S4))</f>
        <v xml:space="preserve">   Curtain Walls - Generic Midrise Stick-Built Curtain wall, Config: Monolithic, Lamination: Unknown, Glass Type: Unknown, Details: Aspect ratio = 6:5,  Other details Unknown</v>
      </c>
      <c r="U4" s="6" t="str" cm="1">
        <f t="array" ref="U4:U27">VLOOKUP(_xlfn.ANCHORARRAY(Q4),C4:J444,8,FALSE)</f>
        <v>SF</v>
      </c>
      <c r="V4" s="6" cm="1">
        <f t="array" ref="V4">INDEX($I$4:$I$444,MATCH(1,($C$4:$C$444=$Q4)*($B$4:$B$444=V$3),0))</f>
        <v>6750</v>
      </c>
      <c r="W4" s="6" cm="1">
        <f t="array" ref="W4">INDEX($I$4:$I$444,MATCH(1,($C$4:$C$444=$Q4)*($B$4:$B$444=W$3),0))</f>
        <v>6750</v>
      </c>
      <c r="X4" s="6" cm="1">
        <f t="array" ref="X4">INDEX($I$4:$I$444,MATCH(1,($C$4:$C$444=$Q4)*($B$4:$B$444=X$3),0))</f>
        <v>6750</v>
      </c>
      <c r="Y4" s="6" cm="1">
        <f t="array" ref="Y4">INDEX($I$4:$I$444,MATCH(1,($C$4:$C$444=$Q4)*($B$4:$B$444=Y$3),0))</f>
        <v>6750</v>
      </c>
      <c r="Z4" s="6" cm="1">
        <f t="array" ref="Z4">INDEX($I$4:$I$444,MATCH(1,($C$4:$C$444=$Q4)*($B$4:$B$444=Z$3),0))</f>
        <v>6750</v>
      </c>
      <c r="AA4" s="6" cm="1">
        <f t="array" ref="AA4">INDEX($I$4:$I$444,MATCH(1,($C$4:$C$444=$Q4)*($B$4:$B$444=AA$3),0))</f>
        <v>6750</v>
      </c>
      <c r="AB4" s="6" cm="1">
        <f t="array" ref="AB4">INDEX($I$4:$I$444,MATCH(1,($C$4:$C$444=$Q4)*($B$4:$B$444=AB$3),0))</f>
        <v>6750</v>
      </c>
      <c r="AC4" s="6" cm="1">
        <f t="array" ref="AC4">INDEX($I$4:$I$444,MATCH(1,($C$4:$C$444=$Q4)*($B$4:$B$444=AC$3),0))</f>
        <v>6750</v>
      </c>
      <c r="AD4" s="6" cm="1">
        <f t="array" ref="AD4">INDEX($I$4:$I$444,MATCH(1,($C$4:$C$444=$Q4)*($B$4:$B$444=AD$3),0))</f>
        <v>6750</v>
      </c>
      <c r="AE4" s="6" cm="1">
        <f t="array" ref="AE4">INDEX($I$4:$I$444,MATCH(1,($C$4:$C$444=$Q4)*($B$4:$B$444=AE$3),0))</f>
        <v>6750</v>
      </c>
      <c r="AF4" s="6" cm="1">
        <f t="array" ref="AF4">INDEX($I$4:$I$444,MATCH(1,($C$4:$C$444=$Q4)*($B$4:$B$444=AF$3),0))</f>
        <v>6750</v>
      </c>
      <c r="AG4" s="6" cm="1">
        <f t="array" ref="AG4">INDEX($I$4:$I$444,MATCH(1,($C$4:$C$444=$Q4)*($B$4:$B$444=AG$3),0))</f>
        <v>6750</v>
      </c>
      <c r="AH4" s="6" cm="1">
        <f t="array" ref="AH4">INDEX($I$4:$I$444,MATCH(1,($C$4:$C$444=$Q4)*($B$4:$B$444=AH$3),0))</f>
        <v>6750</v>
      </c>
      <c r="AI4" s="6" cm="1">
        <f t="array" ref="AI4">INDEX($I$4:$I$444,MATCH(1,($C$4:$C$444=$Q4)*($B$4:$B$444=AI$3),0))</f>
        <v>6750</v>
      </c>
      <c r="AJ4" s="6" cm="1">
        <f t="array" ref="AJ4">INDEX($I$4:$I$444,MATCH(1,($C$4:$C$444=$Q4)*($B$4:$B$444=AJ$3),0))</f>
        <v>6750</v>
      </c>
      <c r="AK4" s="6" cm="1">
        <f t="array" ref="AK4">INDEX($I$4:$I$444,MATCH(1,($C$4:$C$444=$Q4)*($B$4:$B$444=AK$3),0))</f>
        <v>6750</v>
      </c>
      <c r="AL4" s="6" cm="1">
        <f t="array" ref="AL4">INDEX($I$4:$I$444,MATCH(1,($C$4:$C$444=$Q4)*($B$4:$B$444=AL$3),0))</f>
        <v>6750</v>
      </c>
      <c r="AM4" s="6" cm="1">
        <f t="array" ref="AM4">INDEX($I$4:$I$444,MATCH(1,($C$4:$C$444=$Q4)*($B$4:$B$444=AM$3),0))</f>
        <v>6750</v>
      </c>
      <c r="AN4" s="6" cm="1">
        <f t="array" ref="AN4">INDEX($I$4:$I$444,MATCH(1,($C$4:$C$444=$Q4)*($B$4:$B$444=AN$3),0))</f>
        <v>1349.9999999999998</v>
      </c>
      <c r="AO4" s="7" t="s">
        <v>107</v>
      </c>
      <c r="AP4" s="4"/>
      <c r="AQ4" s="4"/>
    </row>
    <row r="5" spans="2:43" x14ac:dyDescent="0.25">
      <c r="B5" s="2" t="s">
        <v>84</v>
      </c>
      <c r="C5" t="s">
        <v>7</v>
      </c>
      <c r="D5" t="s">
        <v>30</v>
      </c>
      <c r="E5" t="s">
        <v>60</v>
      </c>
      <c r="F5" t="s">
        <v>57</v>
      </c>
      <c r="G5">
        <v>60.75</v>
      </c>
      <c r="H5" t="s">
        <v>58</v>
      </c>
      <c r="I5">
        <v>6075</v>
      </c>
      <c r="J5" t="s">
        <v>59</v>
      </c>
      <c r="L5">
        <f t="shared" ref="L5:L68" si="0">MAX(F5:G5)</f>
        <v>60.75</v>
      </c>
      <c r="P5" s="4"/>
      <c r="Q5" s="4" t="str">
        <v>B3011.011</v>
      </c>
      <c r="R5" s="4" t="str">
        <v>B3011.011    Concrete tile roof, tiles secured and compliant with UBC94</v>
      </c>
      <c r="S5" s="4" t="s">
        <v>30</v>
      </c>
      <c r="T5" s="8" t="str">
        <f t="shared" ref="T5:T27" si="1">RIGHT(S5,LEN(S5)-FIND(" ",S5))</f>
        <v xml:space="preserve">   Concrete tile roof, tiles secured and compliant with UBC94</v>
      </c>
      <c r="U5" s="6" t="str">
        <v>SF</v>
      </c>
      <c r="V5" s="6" cm="1">
        <f t="array" ref="V5">INDEX($I$4:$I$444,MATCH(1,($C$4:$C$444=$Q5)*($B$4:$B$444=V$3),0))</f>
        <v>6075</v>
      </c>
      <c r="W5" s="6" cm="1">
        <f t="array" ref="W5">INDEX($I$4:$I$444,MATCH(1,($C$4:$C$444=$Q5)*($B$4:$B$444=W$3),0))</f>
        <v>6075</v>
      </c>
      <c r="X5" s="6" cm="1">
        <f t="array" ref="X5">INDEX($I$4:$I$444,MATCH(1,($C$4:$C$444=$Q5)*($B$4:$B$444=X$3),0))</f>
        <v>6075</v>
      </c>
      <c r="Y5" s="6" cm="1">
        <f t="array" ref="Y5">INDEX($I$4:$I$444,MATCH(1,($C$4:$C$444=$Q5)*($B$4:$B$444=Y$3),0))</f>
        <v>6075</v>
      </c>
      <c r="Z5" s="6" cm="1">
        <f t="array" ref="Z5">INDEX($I$4:$I$444,MATCH(1,($C$4:$C$444=$Q5)*($B$4:$B$444=Z$3),0))</f>
        <v>6075</v>
      </c>
      <c r="AA5" s="6" cm="1">
        <f t="array" ref="AA5">INDEX($I$4:$I$444,MATCH(1,($C$4:$C$444=$Q5)*($B$4:$B$444=AA$3),0))</f>
        <v>6075</v>
      </c>
      <c r="AB5" s="6" cm="1">
        <f t="array" ref="AB5">INDEX($I$4:$I$444,MATCH(1,($C$4:$C$444=$Q5)*($B$4:$B$444=AB$3),0))</f>
        <v>6075</v>
      </c>
      <c r="AC5" s="6" cm="1">
        <f t="array" ref="AC5">INDEX($I$4:$I$444,MATCH(1,($C$4:$C$444=$Q5)*($B$4:$B$444=AC$3),0))</f>
        <v>6075</v>
      </c>
      <c r="AD5" s="6" cm="1">
        <f t="array" ref="AD5">INDEX($I$4:$I$444,MATCH(1,($C$4:$C$444=$Q5)*($B$4:$B$444=AD$3),0))</f>
        <v>6075</v>
      </c>
      <c r="AE5" s="6" cm="1">
        <f t="array" ref="AE5">INDEX($I$4:$I$444,MATCH(1,($C$4:$C$444=$Q5)*($B$4:$B$444=AE$3),0))</f>
        <v>6075</v>
      </c>
      <c r="AF5" s="6" cm="1">
        <f t="array" ref="AF5">INDEX($I$4:$I$444,MATCH(1,($C$4:$C$444=$Q5)*($B$4:$B$444=AF$3),0))</f>
        <v>6075</v>
      </c>
      <c r="AG5" s="6" cm="1">
        <f t="array" ref="AG5">INDEX($I$4:$I$444,MATCH(1,($C$4:$C$444=$Q5)*($B$4:$B$444=AG$3),0))</f>
        <v>6075</v>
      </c>
      <c r="AH5" s="6" cm="1">
        <f t="array" ref="AH5">INDEX($I$4:$I$444,MATCH(1,($C$4:$C$444=$Q5)*($B$4:$B$444=AH$3),0))</f>
        <v>6075</v>
      </c>
      <c r="AI5" s="6" cm="1">
        <f t="array" ref="AI5">INDEX($I$4:$I$444,MATCH(1,($C$4:$C$444=$Q5)*($B$4:$B$444=AI$3),0))</f>
        <v>6075</v>
      </c>
      <c r="AJ5" s="6" cm="1">
        <f t="array" ref="AJ5">INDEX($I$4:$I$444,MATCH(1,($C$4:$C$444=$Q5)*($B$4:$B$444=AJ$3),0))</f>
        <v>6075</v>
      </c>
      <c r="AK5" s="6" cm="1">
        <f t="array" ref="AK5">INDEX($I$4:$I$444,MATCH(1,($C$4:$C$444=$Q5)*($B$4:$B$444=AK$3),0))</f>
        <v>6075</v>
      </c>
      <c r="AL5" s="6" cm="1">
        <f t="array" ref="AL5">INDEX($I$4:$I$444,MATCH(1,($C$4:$C$444=$Q5)*($B$4:$B$444=AL$3),0))</f>
        <v>6075</v>
      </c>
      <c r="AM5" s="6" cm="1">
        <f t="array" ref="AM5">INDEX($I$4:$I$444,MATCH(1,($C$4:$C$444=$Q5)*($B$4:$B$444=AM$3),0))</f>
        <v>6075</v>
      </c>
      <c r="AN5" s="6" cm="1">
        <f t="array" ref="AN5">INDEX($I$4:$I$444,MATCH(1,($C$4:$C$444=$Q5)*($B$4:$B$444=AN$3),0))</f>
        <v>11250</v>
      </c>
      <c r="AO5" s="7" t="s">
        <v>107</v>
      </c>
      <c r="AP5" s="4"/>
      <c r="AQ5" s="4"/>
    </row>
    <row r="6" spans="2:43" x14ac:dyDescent="0.25">
      <c r="B6" s="2" t="s">
        <v>84</v>
      </c>
      <c r="C6" t="s">
        <v>8</v>
      </c>
      <c r="D6" t="s">
        <v>31</v>
      </c>
      <c r="E6" t="s">
        <v>61</v>
      </c>
      <c r="F6">
        <v>22.5</v>
      </c>
      <c r="G6" t="s">
        <v>57</v>
      </c>
      <c r="H6" t="s">
        <v>58</v>
      </c>
      <c r="I6">
        <v>2250</v>
      </c>
      <c r="J6" t="s">
        <v>62</v>
      </c>
      <c r="L6">
        <f t="shared" si="0"/>
        <v>22.5</v>
      </c>
      <c r="P6" s="4"/>
      <c r="Q6" s="4" t="str">
        <v>C1011.001a</v>
      </c>
      <c r="R6" s="4" t="str">
        <v>C1011.001a    Wall Partition, Type: Gypsum with metal studs, Full Height, Fixed Below, Fixed Above</v>
      </c>
      <c r="S6" s="4" t="s">
        <v>31</v>
      </c>
      <c r="T6" s="5" t="str">
        <f t="shared" si="1"/>
        <v xml:space="preserve">   Wall Partition, Type: Gypsum with metal studs, Full Height, Fixed Below, Fixed Above</v>
      </c>
      <c r="U6" s="6" t="str">
        <v>LF</v>
      </c>
      <c r="V6" s="6" cm="1">
        <f t="array" ref="V6">INDEX($I$4:$I$444,MATCH(1,($C$4:$C$444=$Q6)*($B$4:$B$444=V$3),0))</f>
        <v>2250</v>
      </c>
      <c r="W6" s="6" cm="1">
        <f t="array" ref="W6">INDEX($I$4:$I$444,MATCH(1,($C$4:$C$444=$Q6)*($B$4:$B$444=W$3),0))</f>
        <v>2250</v>
      </c>
      <c r="X6" s="6" cm="1">
        <f t="array" ref="X6">INDEX($I$4:$I$444,MATCH(1,($C$4:$C$444=$Q6)*($B$4:$B$444=X$3),0))</f>
        <v>2250</v>
      </c>
      <c r="Y6" s="6" cm="1">
        <f t="array" ref="Y6">INDEX($I$4:$I$444,MATCH(1,($C$4:$C$444=$Q6)*($B$4:$B$444=Y$3),0))</f>
        <v>2250</v>
      </c>
      <c r="Z6" s="6" cm="1">
        <f t="array" ref="Z6">INDEX($I$4:$I$444,MATCH(1,($C$4:$C$444=$Q6)*($B$4:$B$444=Z$3),0))</f>
        <v>2250</v>
      </c>
      <c r="AA6" s="6" cm="1">
        <f t="array" ref="AA6">INDEX($I$4:$I$444,MATCH(1,($C$4:$C$444=$Q6)*($B$4:$B$444=AA$3),0))</f>
        <v>2250</v>
      </c>
      <c r="AB6" s="6" cm="1">
        <f t="array" ref="AB6">INDEX($I$4:$I$444,MATCH(1,($C$4:$C$444=$Q6)*($B$4:$B$444=AB$3),0))</f>
        <v>2250</v>
      </c>
      <c r="AC6" s="6" cm="1">
        <f t="array" ref="AC6">INDEX($I$4:$I$444,MATCH(1,($C$4:$C$444=$Q6)*($B$4:$B$444=AC$3),0))</f>
        <v>2250</v>
      </c>
      <c r="AD6" s="6" cm="1">
        <f t="array" ref="AD6">INDEX($I$4:$I$444,MATCH(1,($C$4:$C$444=$Q6)*($B$4:$B$444=AD$3),0))</f>
        <v>2250</v>
      </c>
      <c r="AE6" s="6" cm="1">
        <f t="array" ref="AE6">INDEX($I$4:$I$444,MATCH(1,($C$4:$C$444=$Q6)*($B$4:$B$444=AE$3),0))</f>
        <v>2250</v>
      </c>
      <c r="AF6" s="6" cm="1">
        <f t="array" ref="AF6">INDEX($I$4:$I$444,MATCH(1,($C$4:$C$444=$Q6)*($B$4:$B$444=AF$3),0))</f>
        <v>2250</v>
      </c>
      <c r="AG6" s="6" cm="1">
        <f t="array" ref="AG6">INDEX($I$4:$I$444,MATCH(1,($C$4:$C$444=$Q6)*($B$4:$B$444=AG$3),0))</f>
        <v>2250</v>
      </c>
      <c r="AH6" s="6" cm="1">
        <f t="array" ref="AH6">INDEX($I$4:$I$444,MATCH(1,($C$4:$C$444=$Q6)*($B$4:$B$444=AH$3),0))</f>
        <v>2250</v>
      </c>
      <c r="AI6" s="6" cm="1">
        <f t="array" ref="AI6">INDEX($I$4:$I$444,MATCH(1,($C$4:$C$444=$Q6)*($B$4:$B$444=AI$3),0))</f>
        <v>2250</v>
      </c>
      <c r="AJ6" s="6" cm="1">
        <f t="array" ref="AJ6">INDEX($I$4:$I$444,MATCH(1,($C$4:$C$444=$Q6)*($B$4:$B$444=AJ$3),0))</f>
        <v>2250</v>
      </c>
      <c r="AK6" s="6" cm="1">
        <f t="array" ref="AK6">INDEX($I$4:$I$444,MATCH(1,($C$4:$C$444=$Q6)*($B$4:$B$444=AK$3),0))</f>
        <v>2250</v>
      </c>
      <c r="AL6" s="6" cm="1">
        <f t="array" ref="AL6">INDEX($I$4:$I$444,MATCH(1,($C$4:$C$444=$Q6)*($B$4:$B$444=AL$3),0))</f>
        <v>2250</v>
      </c>
      <c r="AM6" s="6" cm="1">
        <f t="array" ref="AM6">INDEX($I$4:$I$444,MATCH(1,($C$4:$C$444=$Q6)*($B$4:$B$444=AM$3),0))</f>
        <v>2250</v>
      </c>
      <c r="AN6" s="6" cm="1">
        <f t="array" ref="AN6">INDEX($I$4:$I$444,MATCH(1,($C$4:$C$444=$Q6)*($B$4:$B$444=AN$3),0))</f>
        <v>225</v>
      </c>
      <c r="AO6" s="7" t="s">
        <v>107</v>
      </c>
      <c r="AP6" s="4"/>
      <c r="AQ6" s="4"/>
    </row>
    <row r="7" spans="2:43" x14ac:dyDescent="0.25">
      <c r="B7" s="2" t="s">
        <v>84</v>
      </c>
      <c r="C7" t="s">
        <v>9</v>
      </c>
      <c r="D7" t="s">
        <v>32</v>
      </c>
      <c r="E7" t="s">
        <v>61</v>
      </c>
      <c r="F7">
        <v>1.7010000000000003</v>
      </c>
      <c r="G7" t="s">
        <v>57</v>
      </c>
      <c r="H7" t="s">
        <v>58</v>
      </c>
      <c r="I7">
        <v>170.10000000000002</v>
      </c>
      <c r="J7" t="s">
        <v>62</v>
      </c>
      <c r="L7">
        <f t="shared" si="0"/>
        <v>1.7010000000000003</v>
      </c>
      <c r="P7" s="4"/>
      <c r="Q7" s="4" t="str">
        <v>C3011.001a</v>
      </c>
      <c r="R7" s="4" t="str">
        <v>C3011.001a    Wall Partition, Type: Gypsum + Wallpaper, Full Height, Fixed Below, Fixed Above</v>
      </c>
      <c r="S7" s="4" t="s">
        <v>32</v>
      </c>
      <c r="T7" s="5" t="str">
        <f t="shared" si="1"/>
        <v xml:space="preserve">   Wall Partition, Type: Gypsum + Wallpaper, Full Height, Fixed Below, Fixed Above</v>
      </c>
      <c r="U7" s="6" t="str">
        <v>LF</v>
      </c>
      <c r="V7" s="6" cm="1">
        <f t="array" ref="V7">INDEX($I$4:$I$444,MATCH(1,($C$4:$C$444=$Q7)*($B$4:$B$444=V$3),0))</f>
        <v>170.10000000000002</v>
      </c>
      <c r="W7" s="6" cm="1">
        <f t="array" ref="W7">INDEX($I$4:$I$444,MATCH(1,($C$4:$C$444=$Q7)*($B$4:$B$444=W$3),0))</f>
        <v>170.10000000000002</v>
      </c>
      <c r="X7" s="6" cm="1">
        <f t="array" ref="X7">INDEX($I$4:$I$444,MATCH(1,($C$4:$C$444=$Q7)*($B$4:$B$444=X$3),0))</f>
        <v>170.10000000000002</v>
      </c>
      <c r="Y7" s="6" cm="1">
        <f t="array" ref="Y7">INDEX($I$4:$I$444,MATCH(1,($C$4:$C$444=$Q7)*($B$4:$B$444=Y$3),0))</f>
        <v>170.10000000000002</v>
      </c>
      <c r="Z7" s="6" cm="1">
        <f t="array" ref="Z7">INDEX($I$4:$I$444,MATCH(1,($C$4:$C$444=$Q7)*($B$4:$B$444=Z$3),0))</f>
        <v>170.10000000000002</v>
      </c>
      <c r="AA7" s="6" cm="1">
        <f t="array" ref="AA7">INDEX($I$4:$I$444,MATCH(1,($C$4:$C$444=$Q7)*($B$4:$B$444=AA$3),0))</f>
        <v>170.10000000000002</v>
      </c>
      <c r="AB7" s="6" cm="1">
        <f t="array" ref="AB7">INDEX($I$4:$I$444,MATCH(1,($C$4:$C$444=$Q7)*($B$4:$B$444=AB$3),0))</f>
        <v>170.10000000000002</v>
      </c>
      <c r="AC7" s="6" cm="1">
        <f t="array" ref="AC7">INDEX($I$4:$I$444,MATCH(1,($C$4:$C$444=$Q7)*($B$4:$B$444=AC$3),0))</f>
        <v>170.10000000000002</v>
      </c>
      <c r="AD7" s="6" cm="1">
        <f t="array" ref="AD7">INDEX($I$4:$I$444,MATCH(1,($C$4:$C$444=$Q7)*($B$4:$B$444=AD$3),0))</f>
        <v>170.10000000000002</v>
      </c>
      <c r="AE7" s="6" cm="1">
        <f t="array" ref="AE7">INDEX($I$4:$I$444,MATCH(1,($C$4:$C$444=$Q7)*($B$4:$B$444=AE$3),0))</f>
        <v>170.10000000000002</v>
      </c>
      <c r="AF7" s="6" cm="1">
        <f t="array" ref="AF7">INDEX($I$4:$I$444,MATCH(1,($C$4:$C$444=$Q7)*($B$4:$B$444=AF$3),0))</f>
        <v>170.10000000000002</v>
      </c>
      <c r="AG7" s="6" cm="1">
        <f t="array" ref="AG7">INDEX($I$4:$I$444,MATCH(1,($C$4:$C$444=$Q7)*($B$4:$B$444=AG$3),0))</f>
        <v>170.10000000000002</v>
      </c>
      <c r="AH7" s="6" cm="1">
        <f t="array" ref="AH7">INDEX($I$4:$I$444,MATCH(1,($C$4:$C$444=$Q7)*($B$4:$B$444=AH$3),0))</f>
        <v>170.10000000000002</v>
      </c>
      <c r="AI7" s="6" cm="1">
        <f t="array" ref="AI7">INDEX($I$4:$I$444,MATCH(1,($C$4:$C$444=$Q7)*($B$4:$B$444=AI$3),0))</f>
        <v>170.10000000000002</v>
      </c>
      <c r="AJ7" s="6" cm="1">
        <f t="array" ref="AJ7">INDEX($I$4:$I$444,MATCH(1,($C$4:$C$444=$Q7)*($B$4:$B$444=AJ$3),0))</f>
        <v>170.10000000000002</v>
      </c>
      <c r="AK7" s="6" cm="1">
        <f t="array" ref="AK7">INDEX($I$4:$I$444,MATCH(1,($C$4:$C$444=$Q7)*($B$4:$B$444=AK$3),0))</f>
        <v>170.10000000000002</v>
      </c>
      <c r="AL7" s="6" cm="1">
        <f t="array" ref="AL7">INDEX($I$4:$I$444,MATCH(1,($C$4:$C$444=$Q7)*($B$4:$B$444=AL$3),0))</f>
        <v>170.10000000000002</v>
      </c>
      <c r="AM7" s="6" cm="1">
        <f t="array" ref="AM7">INDEX($I$4:$I$444,MATCH(1,($C$4:$C$444=$Q7)*($B$4:$B$444=AM$3),0))</f>
        <v>170.10000000000002</v>
      </c>
      <c r="AN7" s="6" cm="1">
        <f t="array" ref="AN7">INDEX($I$4:$I$444,MATCH(1,($C$4:$C$444=$Q7)*($B$4:$B$444=AN$3),0))</f>
        <v>242.99999999999997</v>
      </c>
      <c r="AO7" s="7" t="s">
        <v>107</v>
      </c>
      <c r="AP7" s="4"/>
      <c r="AQ7" s="4"/>
    </row>
    <row r="8" spans="2:43" x14ac:dyDescent="0.25">
      <c r="B8" s="2" t="s">
        <v>84</v>
      </c>
      <c r="C8" t="s">
        <v>10</v>
      </c>
      <c r="D8" t="s">
        <v>33</v>
      </c>
      <c r="E8" t="s">
        <v>60</v>
      </c>
      <c r="F8" t="s">
        <v>57</v>
      </c>
      <c r="G8">
        <v>168.75</v>
      </c>
      <c r="H8" t="s">
        <v>58</v>
      </c>
      <c r="I8">
        <v>16875</v>
      </c>
      <c r="J8" t="s">
        <v>59</v>
      </c>
      <c r="L8">
        <f t="shared" si="0"/>
        <v>168.75</v>
      </c>
      <c r="P8" s="4"/>
      <c r="Q8" s="4" t="str">
        <v>C3027.001</v>
      </c>
      <c r="R8" s="4" t="str">
        <v>C3027.001    Raised Access Floor, non seismically rated.</v>
      </c>
      <c r="S8" s="4" t="s">
        <v>33</v>
      </c>
      <c r="T8" s="8" t="str">
        <f t="shared" si="1"/>
        <v xml:space="preserve">   Raised Access Floor, non seismically rated.</v>
      </c>
      <c r="U8" s="6" t="str">
        <v>SF</v>
      </c>
      <c r="V8" s="6" cm="1">
        <f t="array" ref="V8">INDEX($I$4:$I$444,MATCH(1,($C$4:$C$444=$Q8)*($B$4:$B$444=V$3),0))</f>
        <v>16875</v>
      </c>
      <c r="W8" s="6" cm="1">
        <f t="array" ref="W8">INDEX($I$4:$I$444,MATCH(1,($C$4:$C$444=$Q8)*($B$4:$B$444=W$3),0))</f>
        <v>16875</v>
      </c>
      <c r="X8" s="6" cm="1">
        <f t="array" ref="X8">INDEX($I$4:$I$444,MATCH(1,($C$4:$C$444=$Q8)*($B$4:$B$444=X$3),0))</f>
        <v>16875</v>
      </c>
      <c r="Y8" s="6" cm="1">
        <f t="array" ref="Y8">INDEX($I$4:$I$444,MATCH(1,($C$4:$C$444=$Q8)*($B$4:$B$444=Y$3),0))</f>
        <v>16875</v>
      </c>
      <c r="Z8" s="6" cm="1">
        <f t="array" ref="Z8">INDEX($I$4:$I$444,MATCH(1,($C$4:$C$444=$Q8)*($B$4:$B$444=Z$3),0))</f>
        <v>16875</v>
      </c>
      <c r="AA8" s="6" cm="1">
        <f t="array" ref="AA8">INDEX($I$4:$I$444,MATCH(1,($C$4:$C$444=$Q8)*($B$4:$B$444=AA$3),0))</f>
        <v>16875</v>
      </c>
      <c r="AB8" s="6" cm="1">
        <f t="array" ref="AB8">INDEX($I$4:$I$444,MATCH(1,($C$4:$C$444=$Q8)*($B$4:$B$444=AB$3),0))</f>
        <v>16875</v>
      </c>
      <c r="AC8" s="6" cm="1">
        <f t="array" ref="AC8">INDEX($I$4:$I$444,MATCH(1,($C$4:$C$444=$Q8)*($B$4:$B$444=AC$3),0))</f>
        <v>16875</v>
      </c>
      <c r="AD8" s="6" cm="1">
        <f t="array" ref="AD8">INDEX($I$4:$I$444,MATCH(1,($C$4:$C$444=$Q8)*($B$4:$B$444=AD$3),0))</f>
        <v>16875</v>
      </c>
      <c r="AE8" s="6" cm="1">
        <f t="array" ref="AE8">INDEX($I$4:$I$444,MATCH(1,($C$4:$C$444=$Q8)*($B$4:$B$444=AE$3),0))</f>
        <v>16875</v>
      </c>
      <c r="AF8" s="6" cm="1">
        <f t="array" ref="AF8">INDEX($I$4:$I$444,MATCH(1,($C$4:$C$444=$Q8)*($B$4:$B$444=AF$3),0))</f>
        <v>16875</v>
      </c>
      <c r="AG8" s="6" cm="1">
        <f t="array" ref="AG8">INDEX($I$4:$I$444,MATCH(1,($C$4:$C$444=$Q8)*($B$4:$B$444=AG$3),0))</f>
        <v>16875</v>
      </c>
      <c r="AH8" s="6" cm="1">
        <f t="array" ref="AH8">INDEX($I$4:$I$444,MATCH(1,($C$4:$C$444=$Q8)*($B$4:$B$444=AH$3),0))</f>
        <v>16875</v>
      </c>
      <c r="AI8" s="6" cm="1">
        <f t="array" ref="AI8">INDEX($I$4:$I$444,MATCH(1,($C$4:$C$444=$Q8)*($B$4:$B$444=AI$3),0))</f>
        <v>16875</v>
      </c>
      <c r="AJ8" s="6" cm="1">
        <f t="array" ref="AJ8">INDEX($I$4:$I$444,MATCH(1,($C$4:$C$444=$Q8)*($B$4:$B$444=AJ$3),0))</f>
        <v>16875</v>
      </c>
      <c r="AK8" s="6" cm="1">
        <f t="array" ref="AK8">INDEX($I$4:$I$444,MATCH(1,($C$4:$C$444=$Q8)*($B$4:$B$444=AK$3),0))</f>
        <v>16875</v>
      </c>
      <c r="AL8" s="6" cm="1">
        <f t="array" ref="AL8">INDEX($I$4:$I$444,MATCH(1,($C$4:$C$444=$Q8)*($B$4:$B$444=AL$3),0))</f>
        <v>16875</v>
      </c>
      <c r="AM8" s="6" cm="1">
        <f t="array" ref="AM8">INDEX($I$4:$I$444,MATCH(1,($C$4:$C$444=$Q8)*($B$4:$B$444=AM$3),0))</f>
        <v>16875</v>
      </c>
      <c r="AN8" s="7" t="s">
        <v>107</v>
      </c>
      <c r="AO8" s="7" t="s">
        <v>107</v>
      </c>
      <c r="AP8" s="4"/>
      <c r="AQ8" s="4"/>
    </row>
    <row r="9" spans="2:43" x14ac:dyDescent="0.25">
      <c r="B9" s="2" t="s">
        <v>84</v>
      </c>
      <c r="C9" t="s">
        <v>11</v>
      </c>
      <c r="D9" t="s">
        <v>34</v>
      </c>
      <c r="E9" t="s">
        <v>63</v>
      </c>
      <c r="F9" t="s">
        <v>57</v>
      </c>
      <c r="G9">
        <v>81</v>
      </c>
      <c r="H9" t="s">
        <v>58</v>
      </c>
      <c r="I9">
        <v>20250</v>
      </c>
      <c r="J9" t="s">
        <v>59</v>
      </c>
      <c r="L9">
        <f t="shared" si="0"/>
        <v>81</v>
      </c>
      <c r="P9" s="4"/>
      <c r="Q9" s="4" t="str">
        <v>C3032.001a</v>
      </c>
      <c r="R9" s="4" t="str">
        <v>C3032.001a    Suspended Ceiling, SDC A,B,C, Area (A): A &lt; 250, Vert support only</v>
      </c>
      <c r="S9" s="4" t="s">
        <v>34</v>
      </c>
      <c r="T9" s="8" t="str">
        <f t="shared" si="1"/>
        <v xml:space="preserve">   Suspended Ceiling, SDC A,B,C, Area (A): A &lt; 250, Vert support only</v>
      </c>
      <c r="U9" s="6" t="str">
        <v>SF</v>
      </c>
      <c r="V9" s="6" cm="1">
        <f t="array" ref="V9">INDEX($I$4:$I$444,MATCH(1,($C$4:$C$444=$Q9)*($B$4:$B$444=V$3),0))</f>
        <v>20250</v>
      </c>
      <c r="W9" s="6" cm="1">
        <f t="array" ref="W9">INDEX($I$4:$I$444,MATCH(1,($C$4:$C$444=$Q9)*($B$4:$B$444=W$3),0))</f>
        <v>20250</v>
      </c>
      <c r="X9" s="6" cm="1">
        <f t="array" ref="X9">INDEX($I$4:$I$444,MATCH(1,($C$4:$C$444=$Q9)*($B$4:$B$444=X$3),0))</f>
        <v>20250</v>
      </c>
      <c r="Y9" s="6" cm="1">
        <f t="array" ref="Y9">INDEX($I$4:$I$444,MATCH(1,($C$4:$C$444=$Q9)*($B$4:$B$444=Y$3),0))</f>
        <v>20250</v>
      </c>
      <c r="Z9" s="6" cm="1">
        <f t="array" ref="Z9">INDEX($I$4:$I$444,MATCH(1,($C$4:$C$444=$Q9)*($B$4:$B$444=Z$3),0))</f>
        <v>20250</v>
      </c>
      <c r="AA9" s="6" cm="1">
        <f t="array" ref="AA9">INDEX($I$4:$I$444,MATCH(1,($C$4:$C$444=$Q9)*($B$4:$B$444=AA$3),0))</f>
        <v>20250</v>
      </c>
      <c r="AB9" s="6" cm="1">
        <f t="array" ref="AB9">INDEX($I$4:$I$444,MATCH(1,($C$4:$C$444=$Q9)*($B$4:$B$444=AB$3),0))</f>
        <v>20250</v>
      </c>
      <c r="AC9" s="6" cm="1">
        <f t="array" ref="AC9">INDEX($I$4:$I$444,MATCH(1,($C$4:$C$444=$Q9)*($B$4:$B$444=AC$3),0))</f>
        <v>20250</v>
      </c>
      <c r="AD9" s="6" cm="1">
        <f t="array" ref="AD9">INDEX($I$4:$I$444,MATCH(1,($C$4:$C$444=$Q9)*($B$4:$B$444=AD$3),0))</f>
        <v>20250</v>
      </c>
      <c r="AE9" s="6" cm="1">
        <f t="array" ref="AE9">INDEX($I$4:$I$444,MATCH(1,($C$4:$C$444=$Q9)*($B$4:$B$444=AE$3),0))</f>
        <v>20250</v>
      </c>
      <c r="AF9" s="6" cm="1">
        <f t="array" ref="AF9">INDEX($I$4:$I$444,MATCH(1,($C$4:$C$444=$Q9)*($B$4:$B$444=AF$3),0))</f>
        <v>20250</v>
      </c>
      <c r="AG9" s="6" cm="1">
        <f t="array" ref="AG9">INDEX($I$4:$I$444,MATCH(1,($C$4:$C$444=$Q9)*($B$4:$B$444=AG$3),0))</f>
        <v>20250</v>
      </c>
      <c r="AH9" s="6" cm="1">
        <f t="array" ref="AH9">INDEX($I$4:$I$444,MATCH(1,($C$4:$C$444=$Q9)*($B$4:$B$444=AH$3),0))</f>
        <v>20250</v>
      </c>
      <c r="AI9" s="6" cm="1">
        <f t="array" ref="AI9">INDEX($I$4:$I$444,MATCH(1,($C$4:$C$444=$Q9)*($B$4:$B$444=AI$3),0))</f>
        <v>20250</v>
      </c>
      <c r="AJ9" s="6" cm="1">
        <f t="array" ref="AJ9">INDEX($I$4:$I$444,MATCH(1,($C$4:$C$444=$Q9)*($B$4:$B$444=AJ$3),0))</f>
        <v>20250</v>
      </c>
      <c r="AK9" s="6" cm="1">
        <f t="array" ref="AK9">INDEX($I$4:$I$444,MATCH(1,($C$4:$C$444=$Q9)*($B$4:$B$444=AK$3),0))</f>
        <v>20250</v>
      </c>
      <c r="AL9" s="6" cm="1">
        <f t="array" ref="AL9">INDEX($I$4:$I$444,MATCH(1,($C$4:$C$444=$Q9)*($B$4:$B$444=AL$3),0))</f>
        <v>20250</v>
      </c>
      <c r="AM9" s="6" cm="1">
        <f t="array" ref="AM9">INDEX($I$4:$I$444,MATCH(1,($C$4:$C$444=$Q9)*($B$4:$B$444=AM$3),0))</f>
        <v>20250</v>
      </c>
      <c r="AN9" s="6" cm="1">
        <f t="array" ref="AN9">INDEX($I$4:$I$444,MATCH(1,($C$4:$C$444=$Q9)*($B$4:$B$444=AN$3),0))</f>
        <v>20250</v>
      </c>
      <c r="AO9" s="7" t="s">
        <v>107</v>
      </c>
      <c r="AP9" s="4"/>
      <c r="AQ9" s="4"/>
    </row>
    <row r="10" spans="2:43" x14ac:dyDescent="0.25">
      <c r="B10" s="2" t="s">
        <v>84</v>
      </c>
      <c r="C10" t="s">
        <v>11</v>
      </c>
      <c r="D10" t="s">
        <v>34</v>
      </c>
      <c r="E10" t="s">
        <v>63</v>
      </c>
      <c r="F10" t="s">
        <v>57</v>
      </c>
      <c r="G10">
        <v>4.5</v>
      </c>
      <c r="H10" t="s">
        <v>58</v>
      </c>
      <c r="I10">
        <v>1125</v>
      </c>
      <c r="J10" t="s">
        <v>59</v>
      </c>
      <c r="L10">
        <f t="shared" si="0"/>
        <v>4.5</v>
      </c>
      <c r="P10" s="4"/>
      <c r="Q10" s="4" t="str">
        <v>E2022.112a</v>
      </c>
      <c r="R10" s="4" t="str">
        <v>E2022.112a    Vertical Filing Cabinet, 2 drawer, unanchored laterally</v>
      </c>
      <c r="S10" s="4" t="s">
        <v>35</v>
      </c>
      <c r="T10" s="8" t="str">
        <f t="shared" si="1"/>
        <v xml:space="preserve">   Vertical Filing Cabinet, 2 drawer, unanchored laterally</v>
      </c>
      <c r="U10" s="6" t="str">
        <v>EA</v>
      </c>
      <c r="V10" s="6" cm="1">
        <f t="array" ref="V10">INDEX($I$4:$I$444,MATCH(1,($C$4:$C$444=$Q10)*($B$4:$B$444=V$3),0))</f>
        <v>18</v>
      </c>
      <c r="W10" s="6" cm="1">
        <f t="array" ref="W10">INDEX($I$4:$I$444,MATCH(1,($C$4:$C$444=$Q10)*($B$4:$B$444=W$3),0))</f>
        <v>18</v>
      </c>
      <c r="X10" s="6" cm="1">
        <f t="array" ref="X10">INDEX($I$4:$I$444,MATCH(1,($C$4:$C$444=$Q10)*($B$4:$B$444=X$3),0))</f>
        <v>18</v>
      </c>
      <c r="Y10" s="6" cm="1">
        <f t="array" ref="Y10">INDEX($I$4:$I$444,MATCH(1,($C$4:$C$444=$Q10)*($B$4:$B$444=Y$3),0))</f>
        <v>18</v>
      </c>
      <c r="Z10" s="6" cm="1">
        <f t="array" ref="Z10">INDEX($I$4:$I$444,MATCH(1,($C$4:$C$444=$Q10)*($B$4:$B$444=Z$3),0))</f>
        <v>18</v>
      </c>
      <c r="AA10" s="6" cm="1">
        <f t="array" ref="AA10">INDEX($I$4:$I$444,MATCH(1,($C$4:$C$444=$Q10)*($B$4:$B$444=AA$3),0))</f>
        <v>18</v>
      </c>
      <c r="AB10" s="6" cm="1">
        <f t="array" ref="AB10">INDEX($I$4:$I$444,MATCH(1,($C$4:$C$444=$Q10)*($B$4:$B$444=AB$3),0))</f>
        <v>18</v>
      </c>
      <c r="AC10" s="6" cm="1">
        <f t="array" ref="AC10">INDEX($I$4:$I$444,MATCH(1,($C$4:$C$444=$Q10)*($B$4:$B$444=AC$3),0))</f>
        <v>18</v>
      </c>
      <c r="AD10" s="6" cm="1">
        <f t="array" ref="AD10">INDEX($I$4:$I$444,MATCH(1,($C$4:$C$444=$Q10)*($B$4:$B$444=AD$3),0))</f>
        <v>18</v>
      </c>
      <c r="AE10" s="6" cm="1">
        <f t="array" ref="AE10">INDEX($I$4:$I$444,MATCH(1,($C$4:$C$444=$Q10)*($B$4:$B$444=AE$3),0))</f>
        <v>18</v>
      </c>
      <c r="AF10" s="6" cm="1">
        <f t="array" ref="AF10">INDEX($I$4:$I$444,MATCH(1,($C$4:$C$444=$Q10)*($B$4:$B$444=AF$3),0))</f>
        <v>18</v>
      </c>
      <c r="AG10" s="6" cm="1">
        <f t="array" ref="AG10">INDEX($I$4:$I$444,MATCH(1,($C$4:$C$444=$Q10)*($B$4:$B$444=AG$3),0))</f>
        <v>18</v>
      </c>
      <c r="AH10" s="6" cm="1">
        <f t="array" ref="AH10">INDEX($I$4:$I$444,MATCH(1,($C$4:$C$444=$Q10)*($B$4:$B$444=AH$3),0))</f>
        <v>18</v>
      </c>
      <c r="AI10" s="6" cm="1">
        <f t="array" ref="AI10">INDEX($I$4:$I$444,MATCH(1,($C$4:$C$444=$Q10)*($B$4:$B$444=AI$3),0))</f>
        <v>18</v>
      </c>
      <c r="AJ10" s="6" cm="1">
        <f t="array" ref="AJ10">INDEX($I$4:$I$444,MATCH(1,($C$4:$C$444=$Q10)*($B$4:$B$444=AJ$3),0))</f>
        <v>18</v>
      </c>
      <c r="AK10" s="6" cm="1">
        <f t="array" ref="AK10">INDEX($I$4:$I$444,MATCH(1,($C$4:$C$444=$Q10)*($B$4:$B$444=AK$3),0))</f>
        <v>18</v>
      </c>
      <c r="AL10" s="6" cm="1">
        <f t="array" ref="AL10">INDEX($I$4:$I$444,MATCH(1,($C$4:$C$444=$Q10)*($B$4:$B$444=AL$3),0))</f>
        <v>18</v>
      </c>
      <c r="AM10" s="6" cm="1">
        <f t="array" ref="AM10">INDEX($I$4:$I$444,MATCH(1,($C$4:$C$444=$Q10)*($B$4:$B$444=AM$3),0))</f>
        <v>18</v>
      </c>
      <c r="AN10" s="7" t="s">
        <v>107</v>
      </c>
      <c r="AO10" s="7" t="s">
        <v>107</v>
      </c>
      <c r="AP10" s="4"/>
      <c r="AQ10" s="4"/>
    </row>
    <row r="11" spans="2:43" x14ac:dyDescent="0.25">
      <c r="B11" s="2" t="s">
        <v>84</v>
      </c>
      <c r="C11" t="s">
        <v>11</v>
      </c>
      <c r="D11" t="s">
        <v>34</v>
      </c>
      <c r="E11" t="s">
        <v>63</v>
      </c>
      <c r="F11" t="s">
        <v>57</v>
      </c>
      <c r="G11">
        <v>2.7</v>
      </c>
      <c r="H11" t="s">
        <v>58</v>
      </c>
      <c r="I11">
        <v>675</v>
      </c>
      <c r="J11" t="s">
        <v>59</v>
      </c>
      <c r="L11">
        <f t="shared" si="0"/>
        <v>2.7</v>
      </c>
      <c r="P11" s="4"/>
      <c r="Q11" s="4" t="str">
        <v>E2022.102a</v>
      </c>
      <c r="R11" s="4" t="str">
        <v>E2022.102a    Bookcase, 2 shelves, unanchored laterally</v>
      </c>
      <c r="S11" s="4" t="s">
        <v>36</v>
      </c>
      <c r="T11" s="8" t="str">
        <f t="shared" si="1"/>
        <v xml:space="preserve">   Bookcase, 2 shelves, unanchored laterally</v>
      </c>
      <c r="U11" s="6" t="str">
        <v>EA</v>
      </c>
      <c r="V11" s="6" cm="1">
        <f t="array" ref="V11">INDEX($I$4:$I$444,MATCH(1,($C$4:$C$444=$Q11)*($B$4:$B$444=V$3),0))</f>
        <v>45</v>
      </c>
      <c r="W11" s="6" cm="1">
        <f t="array" ref="W11">INDEX($I$4:$I$444,MATCH(1,($C$4:$C$444=$Q11)*($B$4:$B$444=W$3),0))</f>
        <v>45</v>
      </c>
      <c r="X11" s="6" cm="1">
        <f t="array" ref="X11">INDEX($I$4:$I$444,MATCH(1,($C$4:$C$444=$Q11)*($B$4:$B$444=X$3),0))</f>
        <v>45</v>
      </c>
      <c r="Y11" s="6" cm="1">
        <f t="array" ref="Y11">INDEX($I$4:$I$444,MATCH(1,($C$4:$C$444=$Q11)*($B$4:$B$444=Y$3),0))</f>
        <v>45</v>
      </c>
      <c r="Z11" s="6" cm="1">
        <f t="array" ref="Z11">INDEX($I$4:$I$444,MATCH(1,($C$4:$C$444=$Q11)*($B$4:$B$444=Z$3),0))</f>
        <v>45</v>
      </c>
      <c r="AA11" s="6" cm="1">
        <f t="array" ref="AA11">INDEX($I$4:$I$444,MATCH(1,($C$4:$C$444=$Q11)*($B$4:$B$444=AA$3),0))</f>
        <v>45</v>
      </c>
      <c r="AB11" s="6" cm="1">
        <f t="array" ref="AB11">INDEX($I$4:$I$444,MATCH(1,($C$4:$C$444=$Q11)*($B$4:$B$444=AB$3),0))</f>
        <v>45</v>
      </c>
      <c r="AC11" s="6" cm="1">
        <f t="array" ref="AC11">INDEX($I$4:$I$444,MATCH(1,($C$4:$C$444=$Q11)*($B$4:$B$444=AC$3),0))</f>
        <v>45</v>
      </c>
      <c r="AD11" s="6" cm="1">
        <f t="array" ref="AD11">INDEX($I$4:$I$444,MATCH(1,($C$4:$C$444=$Q11)*($B$4:$B$444=AD$3),0))</f>
        <v>45</v>
      </c>
      <c r="AE11" s="6" cm="1">
        <f t="array" ref="AE11">INDEX($I$4:$I$444,MATCH(1,($C$4:$C$444=$Q11)*($B$4:$B$444=AE$3),0))</f>
        <v>45</v>
      </c>
      <c r="AF11" s="6" cm="1">
        <f t="array" ref="AF11">INDEX($I$4:$I$444,MATCH(1,($C$4:$C$444=$Q11)*($B$4:$B$444=AF$3),0))</f>
        <v>45</v>
      </c>
      <c r="AG11" s="6" cm="1">
        <f t="array" ref="AG11">INDEX($I$4:$I$444,MATCH(1,($C$4:$C$444=$Q11)*($B$4:$B$444=AG$3),0))</f>
        <v>45</v>
      </c>
      <c r="AH11" s="6" cm="1">
        <f t="array" ref="AH11">INDEX($I$4:$I$444,MATCH(1,($C$4:$C$444=$Q11)*($B$4:$B$444=AH$3),0))</f>
        <v>45</v>
      </c>
      <c r="AI11" s="6" cm="1">
        <f t="array" ref="AI11">INDEX($I$4:$I$444,MATCH(1,($C$4:$C$444=$Q11)*($B$4:$B$444=AI$3),0))</f>
        <v>45</v>
      </c>
      <c r="AJ11" s="6" cm="1">
        <f t="array" ref="AJ11">INDEX($I$4:$I$444,MATCH(1,($C$4:$C$444=$Q11)*($B$4:$B$444=AJ$3),0))</f>
        <v>45</v>
      </c>
      <c r="AK11" s="6" cm="1">
        <f t="array" ref="AK11">INDEX($I$4:$I$444,MATCH(1,($C$4:$C$444=$Q11)*($B$4:$B$444=AK$3),0))</f>
        <v>45</v>
      </c>
      <c r="AL11" s="6" cm="1">
        <f t="array" ref="AL11">INDEX($I$4:$I$444,MATCH(1,($C$4:$C$444=$Q11)*($B$4:$B$444=AL$3),0))</f>
        <v>45</v>
      </c>
      <c r="AM11" s="6" cm="1">
        <f t="array" ref="AM11">INDEX($I$4:$I$444,MATCH(1,($C$4:$C$444=$Q11)*($B$4:$B$444=AM$3),0))</f>
        <v>45</v>
      </c>
      <c r="AN11" s="7" t="s">
        <v>107</v>
      </c>
      <c r="AO11" s="7" t="s">
        <v>107</v>
      </c>
      <c r="AP11" s="4"/>
      <c r="AQ11" s="4"/>
    </row>
    <row r="12" spans="2:43" x14ac:dyDescent="0.25">
      <c r="B12" s="2" t="s">
        <v>84</v>
      </c>
      <c r="C12" t="s">
        <v>11</v>
      </c>
      <c r="D12" t="s">
        <v>34</v>
      </c>
      <c r="E12" t="s">
        <v>63</v>
      </c>
      <c r="F12" t="s">
        <v>57</v>
      </c>
      <c r="G12">
        <v>1.7999999999999916</v>
      </c>
      <c r="H12" t="s">
        <v>58</v>
      </c>
      <c r="I12">
        <v>449.9999999999979</v>
      </c>
      <c r="J12" t="s">
        <v>59</v>
      </c>
      <c r="L12">
        <f t="shared" si="0"/>
        <v>1.7999999999999916</v>
      </c>
      <c r="P12" s="4"/>
      <c r="Q12" s="4" t="str">
        <v>D2021.011a</v>
      </c>
      <c r="R12" s="4" t="str">
        <v>D2021.011a    Cold or Hot Potable  - Small Diameter Threaded Steel - (2.5 inches in diameter or less), SDC A or B, PIPING FRAGILITY</v>
      </c>
      <c r="S12" s="4" t="s">
        <v>37</v>
      </c>
      <c r="T12" s="8" t="str">
        <f t="shared" si="1"/>
        <v xml:space="preserve">   Cold or Hot Potable  - Small Diameter Threaded Steel - (2.5 inches in diameter or less), SDC A or B, PIPING FRAGILITY</v>
      </c>
      <c r="U12" s="6" t="str">
        <v>LF</v>
      </c>
      <c r="V12" s="6" cm="1">
        <f t="array" ref="V12">INDEX($I$4:$I$444,MATCH(1,($C$4:$C$444=$Q12)*($B$4:$B$444=V$3),0))</f>
        <v>945</v>
      </c>
      <c r="W12" s="6" cm="1">
        <f t="array" ref="W12">INDEX($I$4:$I$444,MATCH(1,($C$4:$C$444=$Q12)*($B$4:$B$444=W$3),0))</f>
        <v>945</v>
      </c>
      <c r="X12" s="6" cm="1">
        <f t="array" ref="X12">INDEX($I$4:$I$444,MATCH(1,($C$4:$C$444=$Q12)*($B$4:$B$444=X$3),0))</f>
        <v>945</v>
      </c>
      <c r="Y12" s="6" cm="1">
        <f t="array" ref="Y12">INDEX($I$4:$I$444,MATCH(1,($C$4:$C$444=$Q12)*($B$4:$B$444=Y$3),0))</f>
        <v>945</v>
      </c>
      <c r="Z12" s="6" cm="1">
        <f t="array" ref="Z12">INDEX($I$4:$I$444,MATCH(1,($C$4:$C$444=$Q12)*($B$4:$B$444=Z$3),0))</f>
        <v>945</v>
      </c>
      <c r="AA12" s="6" cm="1">
        <f t="array" ref="AA12">INDEX($I$4:$I$444,MATCH(1,($C$4:$C$444=$Q12)*($B$4:$B$444=AA$3),0))</f>
        <v>945</v>
      </c>
      <c r="AB12" s="6" cm="1">
        <f t="array" ref="AB12">INDEX($I$4:$I$444,MATCH(1,($C$4:$C$444=$Q12)*($B$4:$B$444=AB$3),0))</f>
        <v>945</v>
      </c>
      <c r="AC12" s="6" cm="1">
        <f t="array" ref="AC12">INDEX($I$4:$I$444,MATCH(1,($C$4:$C$444=$Q12)*($B$4:$B$444=AC$3),0))</f>
        <v>945</v>
      </c>
      <c r="AD12" s="6" cm="1">
        <f t="array" ref="AD12">INDEX($I$4:$I$444,MATCH(1,($C$4:$C$444=$Q12)*($B$4:$B$444=AD$3),0))</f>
        <v>945</v>
      </c>
      <c r="AE12" s="6" cm="1">
        <f t="array" ref="AE12">INDEX($I$4:$I$444,MATCH(1,($C$4:$C$444=$Q12)*($B$4:$B$444=AE$3),0))</f>
        <v>945</v>
      </c>
      <c r="AF12" s="6" cm="1">
        <f t="array" ref="AF12">INDEX($I$4:$I$444,MATCH(1,($C$4:$C$444=$Q12)*($B$4:$B$444=AF$3),0))</f>
        <v>945</v>
      </c>
      <c r="AG12" s="6" cm="1">
        <f t="array" ref="AG12">INDEX($I$4:$I$444,MATCH(1,($C$4:$C$444=$Q12)*($B$4:$B$444=AG$3),0))</f>
        <v>945</v>
      </c>
      <c r="AH12" s="6" cm="1">
        <f t="array" ref="AH12">INDEX($I$4:$I$444,MATCH(1,($C$4:$C$444=$Q12)*($B$4:$B$444=AH$3),0))</f>
        <v>945</v>
      </c>
      <c r="AI12" s="6" cm="1">
        <f t="array" ref="AI12">INDEX($I$4:$I$444,MATCH(1,($C$4:$C$444=$Q12)*($B$4:$B$444=AI$3),0))</f>
        <v>945</v>
      </c>
      <c r="AJ12" s="6" cm="1">
        <f t="array" ref="AJ12">INDEX($I$4:$I$444,MATCH(1,($C$4:$C$444=$Q12)*($B$4:$B$444=AJ$3),0))</f>
        <v>945</v>
      </c>
      <c r="AK12" s="6" cm="1">
        <f t="array" ref="AK12">INDEX($I$4:$I$444,MATCH(1,($C$4:$C$444=$Q12)*($B$4:$B$444=AK$3),0))</f>
        <v>945</v>
      </c>
      <c r="AL12" s="6" cm="1">
        <f t="array" ref="AL12">INDEX($I$4:$I$444,MATCH(1,($C$4:$C$444=$Q12)*($B$4:$B$444=AL$3),0))</f>
        <v>945</v>
      </c>
      <c r="AM12" s="6" cm="1">
        <f t="array" ref="AM12">INDEX($I$4:$I$444,MATCH(1,($C$4:$C$444=$Q12)*($B$4:$B$444=AM$3),0))</f>
        <v>945</v>
      </c>
      <c r="AN12" s="6" cm="1">
        <f t="array" ref="AN12">INDEX($I$4:$I$444,MATCH(1,($C$4:$C$444=$Q12)*($B$4:$B$444=AN$3),0))</f>
        <v>675</v>
      </c>
      <c r="AO12" s="7" t="s">
        <v>107</v>
      </c>
      <c r="AP12" s="4"/>
      <c r="AQ12" s="4"/>
    </row>
    <row r="13" spans="2:43" x14ac:dyDescent="0.25">
      <c r="B13" s="2" t="s">
        <v>84</v>
      </c>
      <c r="C13" t="s">
        <v>12</v>
      </c>
      <c r="D13" t="s">
        <v>35</v>
      </c>
      <c r="E13" t="s">
        <v>64</v>
      </c>
      <c r="F13" t="s">
        <v>57</v>
      </c>
      <c r="G13">
        <v>18</v>
      </c>
      <c r="H13" t="s">
        <v>58</v>
      </c>
      <c r="I13">
        <v>18</v>
      </c>
      <c r="J13" t="s">
        <v>65</v>
      </c>
      <c r="L13">
        <f t="shared" si="0"/>
        <v>18</v>
      </c>
      <c r="P13" s="4"/>
      <c r="Q13" s="4" t="str">
        <v>D3041.012a</v>
      </c>
      <c r="R13" s="4" t="str">
        <v>D3041.012a    HVAC Galvanized Sheet Metal Ducting -  6 sq. ft cross sectional area or greater, SDC A or B</v>
      </c>
      <c r="S13" s="4" t="s">
        <v>38</v>
      </c>
      <c r="T13" s="8" t="str">
        <f t="shared" si="1"/>
        <v xml:space="preserve">   HVAC Galvanized Sheet Metal Ducting -  6 sq. ft cross sectional area or greater, SDC A or B</v>
      </c>
      <c r="U13" s="6" t="str">
        <v>LF</v>
      </c>
      <c r="V13" s="6" cm="1">
        <f t="array" ref="V13">INDEX($I$4:$I$444,MATCH(1,($C$4:$C$444=$Q13)*($B$4:$B$444=V$3),0))</f>
        <v>450</v>
      </c>
      <c r="W13" s="6" cm="1">
        <f t="array" ref="W13">INDEX($I$4:$I$444,MATCH(1,($C$4:$C$444=$Q13)*($B$4:$B$444=W$3),0))</f>
        <v>450</v>
      </c>
      <c r="X13" s="6" cm="1">
        <f t="array" ref="X13">INDEX($I$4:$I$444,MATCH(1,($C$4:$C$444=$Q13)*($B$4:$B$444=X$3),0))</f>
        <v>450</v>
      </c>
      <c r="Y13" s="6" cm="1">
        <f t="array" ref="Y13">INDEX($I$4:$I$444,MATCH(1,($C$4:$C$444=$Q13)*($B$4:$B$444=Y$3),0))</f>
        <v>450</v>
      </c>
      <c r="Z13" s="6" cm="1">
        <f t="array" ref="Z13">INDEX($I$4:$I$444,MATCH(1,($C$4:$C$444=$Q13)*($B$4:$B$444=Z$3),0))</f>
        <v>450</v>
      </c>
      <c r="AA13" s="6" cm="1">
        <f t="array" ref="AA13">INDEX($I$4:$I$444,MATCH(1,($C$4:$C$444=$Q13)*($B$4:$B$444=AA$3),0))</f>
        <v>450</v>
      </c>
      <c r="AB13" s="6" cm="1">
        <f t="array" ref="AB13">INDEX($I$4:$I$444,MATCH(1,($C$4:$C$444=$Q13)*($B$4:$B$444=AB$3),0))</f>
        <v>450</v>
      </c>
      <c r="AC13" s="6" cm="1">
        <f t="array" ref="AC13">INDEX($I$4:$I$444,MATCH(1,($C$4:$C$444=$Q13)*($B$4:$B$444=AC$3),0))</f>
        <v>450</v>
      </c>
      <c r="AD13" s="6" cm="1">
        <f t="array" ref="AD13">INDEX($I$4:$I$444,MATCH(1,($C$4:$C$444=$Q13)*($B$4:$B$444=AD$3),0))</f>
        <v>450</v>
      </c>
      <c r="AE13" s="6" cm="1">
        <f t="array" ref="AE13">INDEX($I$4:$I$444,MATCH(1,($C$4:$C$444=$Q13)*($B$4:$B$444=AE$3),0))</f>
        <v>450</v>
      </c>
      <c r="AF13" s="6" cm="1">
        <f t="array" ref="AF13">INDEX($I$4:$I$444,MATCH(1,($C$4:$C$444=$Q13)*($B$4:$B$444=AF$3),0))</f>
        <v>450</v>
      </c>
      <c r="AG13" s="6" cm="1">
        <f t="array" ref="AG13">INDEX($I$4:$I$444,MATCH(1,($C$4:$C$444=$Q13)*($B$4:$B$444=AG$3),0))</f>
        <v>450</v>
      </c>
      <c r="AH13" s="6" cm="1">
        <f t="array" ref="AH13">INDEX($I$4:$I$444,MATCH(1,($C$4:$C$444=$Q13)*($B$4:$B$444=AH$3),0))</f>
        <v>450</v>
      </c>
      <c r="AI13" s="6" cm="1">
        <f t="array" ref="AI13">INDEX($I$4:$I$444,MATCH(1,($C$4:$C$444=$Q13)*($B$4:$B$444=AI$3),0))</f>
        <v>450</v>
      </c>
      <c r="AJ13" s="6" cm="1">
        <f t="array" ref="AJ13">INDEX($I$4:$I$444,MATCH(1,($C$4:$C$444=$Q13)*($B$4:$B$444=AJ$3),0))</f>
        <v>450</v>
      </c>
      <c r="AK13" s="6" cm="1">
        <f t="array" ref="AK13">INDEX($I$4:$I$444,MATCH(1,($C$4:$C$444=$Q13)*($B$4:$B$444=AK$3),0))</f>
        <v>450</v>
      </c>
      <c r="AL13" s="6" cm="1">
        <f t="array" ref="AL13">INDEX($I$4:$I$444,MATCH(1,($C$4:$C$444=$Q13)*($B$4:$B$444=AL$3),0))</f>
        <v>450</v>
      </c>
      <c r="AM13" s="6" cm="1">
        <f t="array" ref="AM13">INDEX($I$4:$I$444,MATCH(1,($C$4:$C$444=$Q13)*($B$4:$B$444=AM$3),0))</f>
        <v>450</v>
      </c>
      <c r="AN13" s="6" cm="1">
        <f t="array" ref="AN13">INDEX($I$4:$I$444,MATCH(1,($C$4:$C$444=$Q13)*($B$4:$B$444=AN$3),0))</f>
        <v>1125</v>
      </c>
      <c r="AO13" s="7" t="s">
        <v>107</v>
      </c>
      <c r="AP13" s="4"/>
      <c r="AQ13" s="4"/>
    </row>
    <row r="14" spans="2:43" x14ac:dyDescent="0.25">
      <c r="B14" s="2" t="s">
        <v>84</v>
      </c>
      <c r="C14" t="s">
        <v>13</v>
      </c>
      <c r="D14" t="s">
        <v>36</v>
      </c>
      <c r="E14" t="s">
        <v>64</v>
      </c>
      <c r="F14" t="s">
        <v>57</v>
      </c>
      <c r="G14">
        <v>45</v>
      </c>
      <c r="H14" t="s">
        <v>58</v>
      </c>
      <c r="I14">
        <v>45</v>
      </c>
      <c r="J14" t="s">
        <v>65</v>
      </c>
      <c r="L14">
        <f t="shared" si="0"/>
        <v>45</v>
      </c>
      <c r="P14" s="4"/>
      <c r="Q14" s="4" t="str">
        <v>D3041.011a</v>
      </c>
      <c r="R14" s="4" t="str">
        <v>D3041.011a    HVAC Galvanized Sheet Metal Ducting less than 6 sq. ft in cross sectional area, SDC A or B</v>
      </c>
      <c r="S14" s="4" t="s">
        <v>39</v>
      </c>
      <c r="T14" s="8" t="str">
        <f t="shared" si="1"/>
        <v xml:space="preserve">   HVAC Galvanized Sheet Metal Ducting less than 6 sq. ft in cross sectional area, SDC A or B</v>
      </c>
      <c r="U14" s="6" t="str">
        <v>LF</v>
      </c>
      <c r="V14" s="6" cm="1">
        <f t="array" ref="V14">INDEX($I$4:$I$444,MATCH(1,($C$4:$C$444=$Q14)*($B$4:$B$444=V$3),0))</f>
        <v>1687.4999999999998</v>
      </c>
      <c r="W14" s="6" cm="1">
        <f t="array" ref="W14">INDEX($I$4:$I$444,MATCH(1,($C$4:$C$444=$Q14)*($B$4:$B$444=W$3),0))</f>
        <v>1687.4999999999998</v>
      </c>
      <c r="X14" s="6" cm="1">
        <f t="array" ref="X14">INDEX($I$4:$I$444,MATCH(1,($C$4:$C$444=$Q14)*($B$4:$B$444=X$3),0))</f>
        <v>1687.4999999999998</v>
      </c>
      <c r="Y14" s="6" cm="1">
        <f t="array" ref="Y14">INDEX($I$4:$I$444,MATCH(1,($C$4:$C$444=$Q14)*($B$4:$B$444=Y$3),0))</f>
        <v>1687.4999999999998</v>
      </c>
      <c r="Z14" s="6" cm="1">
        <f t="array" ref="Z14">INDEX($I$4:$I$444,MATCH(1,($C$4:$C$444=$Q14)*($B$4:$B$444=Z$3),0))</f>
        <v>1687.4999999999998</v>
      </c>
      <c r="AA14" s="6" cm="1">
        <f t="array" ref="AA14">INDEX($I$4:$I$444,MATCH(1,($C$4:$C$444=$Q14)*($B$4:$B$444=AA$3),0))</f>
        <v>1687.4999999999998</v>
      </c>
      <c r="AB14" s="6" cm="1">
        <f t="array" ref="AB14">INDEX($I$4:$I$444,MATCH(1,($C$4:$C$444=$Q14)*($B$4:$B$444=AB$3),0))</f>
        <v>1687.4999999999998</v>
      </c>
      <c r="AC14" s="6" cm="1">
        <f t="array" ref="AC14">INDEX($I$4:$I$444,MATCH(1,($C$4:$C$444=$Q14)*($B$4:$B$444=AC$3),0))</f>
        <v>1687.4999999999998</v>
      </c>
      <c r="AD14" s="6" cm="1">
        <f t="array" ref="AD14">INDEX($I$4:$I$444,MATCH(1,($C$4:$C$444=$Q14)*($B$4:$B$444=AD$3),0))</f>
        <v>1687.4999999999998</v>
      </c>
      <c r="AE14" s="6" cm="1">
        <f t="array" ref="AE14">INDEX($I$4:$I$444,MATCH(1,($C$4:$C$444=$Q14)*($B$4:$B$444=AE$3),0))</f>
        <v>1687.4999999999998</v>
      </c>
      <c r="AF14" s="6" cm="1">
        <f t="array" ref="AF14">INDEX($I$4:$I$444,MATCH(1,($C$4:$C$444=$Q14)*($B$4:$B$444=AF$3),0))</f>
        <v>1687.4999999999998</v>
      </c>
      <c r="AG14" s="6" cm="1">
        <f t="array" ref="AG14">INDEX($I$4:$I$444,MATCH(1,($C$4:$C$444=$Q14)*($B$4:$B$444=AG$3),0))</f>
        <v>1687.4999999999998</v>
      </c>
      <c r="AH14" s="6" cm="1">
        <f t="array" ref="AH14">INDEX($I$4:$I$444,MATCH(1,($C$4:$C$444=$Q14)*($B$4:$B$444=AH$3),0))</f>
        <v>1687.4999999999998</v>
      </c>
      <c r="AI14" s="6" cm="1">
        <f t="array" ref="AI14">INDEX($I$4:$I$444,MATCH(1,($C$4:$C$444=$Q14)*($B$4:$B$444=AI$3),0))</f>
        <v>1687.4999999999998</v>
      </c>
      <c r="AJ14" s="6" cm="1">
        <f t="array" ref="AJ14">INDEX($I$4:$I$444,MATCH(1,($C$4:$C$444=$Q14)*($B$4:$B$444=AJ$3),0))</f>
        <v>1687.4999999999998</v>
      </c>
      <c r="AK14" s="6" cm="1">
        <f t="array" ref="AK14">INDEX($I$4:$I$444,MATCH(1,($C$4:$C$444=$Q14)*($B$4:$B$444=AK$3),0))</f>
        <v>1687.4999999999998</v>
      </c>
      <c r="AL14" s="6" cm="1">
        <f t="array" ref="AL14">INDEX($I$4:$I$444,MATCH(1,($C$4:$C$444=$Q14)*($B$4:$B$444=AL$3),0))</f>
        <v>1687.4999999999998</v>
      </c>
      <c r="AM14" s="6" cm="1">
        <f t="array" ref="AM14">INDEX($I$4:$I$444,MATCH(1,($C$4:$C$444=$Q14)*($B$4:$B$444=AM$3),0))</f>
        <v>1687.4999999999998</v>
      </c>
      <c r="AN14" s="6" cm="1">
        <f t="array" ref="AN14">INDEX($I$4:$I$444,MATCH(1,($C$4:$C$444=$Q14)*($B$4:$B$444=AN$3),0))</f>
        <v>112.5</v>
      </c>
      <c r="AO14" s="7" t="s">
        <v>107</v>
      </c>
      <c r="AP14" s="4"/>
      <c r="AQ14" s="4"/>
    </row>
    <row r="15" spans="2:43" x14ac:dyDescent="0.25">
      <c r="B15" s="2" t="s">
        <v>84</v>
      </c>
      <c r="C15" t="s">
        <v>14</v>
      </c>
      <c r="D15" t="s">
        <v>37</v>
      </c>
      <c r="E15" t="s">
        <v>66</v>
      </c>
      <c r="F15" t="s">
        <v>57</v>
      </c>
      <c r="G15">
        <v>0.94499999999999995</v>
      </c>
      <c r="H15" t="s">
        <v>58</v>
      </c>
      <c r="I15">
        <v>945</v>
      </c>
      <c r="J15" t="s">
        <v>62</v>
      </c>
      <c r="L15">
        <f t="shared" si="0"/>
        <v>0.94499999999999995</v>
      </c>
      <c r="P15" s="4"/>
      <c r="Q15" s="4" t="str">
        <v>D3041.031a</v>
      </c>
      <c r="R15" s="4" t="str">
        <v>D3041.031a    HVAC Drops / Diffusers in suspended ceilings - No independent safety wires, SDC A or B</v>
      </c>
      <c r="S15" s="4" t="s">
        <v>40</v>
      </c>
      <c r="T15" s="8" t="str">
        <f t="shared" si="1"/>
        <v xml:space="preserve">   HVAC Drops / Diffusers in suspended ceilings - No independent safety wires, SDC A or B</v>
      </c>
      <c r="U15" s="6" t="str">
        <v>EA</v>
      </c>
      <c r="V15" s="6" cm="1">
        <f t="array" ref="V15">INDEX($I$4:$I$444,MATCH(1,($C$4:$C$444=$Q15)*($B$4:$B$444=V$3),0))</f>
        <v>202.49999999999997</v>
      </c>
      <c r="W15" s="6" cm="1">
        <f t="array" ref="W15">INDEX($I$4:$I$444,MATCH(1,($C$4:$C$444=$Q15)*($B$4:$B$444=W$3),0))</f>
        <v>202.49999999999997</v>
      </c>
      <c r="X15" s="6" cm="1">
        <f t="array" ref="X15">INDEX($I$4:$I$444,MATCH(1,($C$4:$C$444=$Q15)*($B$4:$B$444=X$3),0))</f>
        <v>202.49999999999997</v>
      </c>
      <c r="Y15" s="6" cm="1">
        <f t="array" ref="Y15">INDEX($I$4:$I$444,MATCH(1,($C$4:$C$444=$Q15)*($B$4:$B$444=Y$3),0))</f>
        <v>202.49999999999997</v>
      </c>
      <c r="Z15" s="6" cm="1">
        <f t="array" ref="Z15">INDEX($I$4:$I$444,MATCH(1,($C$4:$C$444=$Q15)*($B$4:$B$444=Z$3),0))</f>
        <v>202.49999999999997</v>
      </c>
      <c r="AA15" s="6" cm="1">
        <f t="array" ref="AA15">INDEX($I$4:$I$444,MATCH(1,($C$4:$C$444=$Q15)*($B$4:$B$444=AA$3),0))</f>
        <v>202.49999999999997</v>
      </c>
      <c r="AB15" s="6" cm="1">
        <f t="array" ref="AB15">INDEX($I$4:$I$444,MATCH(1,($C$4:$C$444=$Q15)*($B$4:$B$444=AB$3),0))</f>
        <v>202.49999999999997</v>
      </c>
      <c r="AC15" s="6" cm="1">
        <f t="array" ref="AC15">INDEX($I$4:$I$444,MATCH(1,($C$4:$C$444=$Q15)*($B$4:$B$444=AC$3),0))</f>
        <v>202.49999999999997</v>
      </c>
      <c r="AD15" s="6" cm="1">
        <f t="array" ref="AD15">INDEX($I$4:$I$444,MATCH(1,($C$4:$C$444=$Q15)*($B$4:$B$444=AD$3),0))</f>
        <v>202.49999999999997</v>
      </c>
      <c r="AE15" s="6" cm="1">
        <f t="array" ref="AE15">INDEX($I$4:$I$444,MATCH(1,($C$4:$C$444=$Q15)*($B$4:$B$444=AE$3),0))</f>
        <v>202.49999999999997</v>
      </c>
      <c r="AF15" s="6" cm="1">
        <f t="array" ref="AF15">INDEX($I$4:$I$444,MATCH(1,($C$4:$C$444=$Q15)*($B$4:$B$444=AF$3),0))</f>
        <v>202.49999999999997</v>
      </c>
      <c r="AG15" s="6" cm="1">
        <f t="array" ref="AG15">INDEX($I$4:$I$444,MATCH(1,($C$4:$C$444=$Q15)*($B$4:$B$444=AG$3),0))</f>
        <v>202.49999999999997</v>
      </c>
      <c r="AH15" s="6" cm="1">
        <f t="array" ref="AH15">INDEX($I$4:$I$444,MATCH(1,($C$4:$C$444=$Q15)*($B$4:$B$444=AH$3),0))</f>
        <v>202.49999999999997</v>
      </c>
      <c r="AI15" s="6" cm="1">
        <f t="array" ref="AI15">INDEX($I$4:$I$444,MATCH(1,($C$4:$C$444=$Q15)*($B$4:$B$444=AI$3),0))</f>
        <v>202.49999999999997</v>
      </c>
      <c r="AJ15" s="6" cm="1">
        <f t="array" ref="AJ15">INDEX($I$4:$I$444,MATCH(1,($C$4:$C$444=$Q15)*($B$4:$B$444=AJ$3),0))</f>
        <v>202.49999999999997</v>
      </c>
      <c r="AK15" s="6" cm="1">
        <f t="array" ref="AK15">INDEX($I$4:$I$444,MATCH(1,($C$4:$C$444=$Q15)*($B$4:$B$444=AK$3),0))</f>
        <v>202.49999999999997</v>
      </c>
      <c r="AL15" s="6" cm="1">
        <f t="array" ref="AL15">INDEX($I$4:$I$444,MATCH(1,($C$4:$C$444=$Q15)*($B$4:$B$444=AL$3),0))</f>
        <v>202.49999999999997</v>
      </c>
      <c r="AM15" s="6" cm="1">
        <f t="array" ref="AM15">INDEX($I$4:$I$444,MATCH(1,($C$4:$C$444=$Q15)*($B$4:$B$444=AM$3),0))</f>
        <v>202.49999999999997</v>
      </c>
      <c r="AN15" s="7" t="s">
        <v>107</v>
      </c>
      <c r="AO15" s="7" t="s">
        <v>107</v>
      </c>
      <c r="AP15" s="4"/>
      <c r="AQ15" s="4"/>
    </row>
    <row r="16" spans="2:43" x14ac:dyDescent="0.25">
      <c r="B16" s="2" t="s">
        <v>84</v>
      </c>
      <c r="C16" t="s">
        <v>15</v>
      </c>
      <c r="D16" t="s">
        <v>38</v>
      </c>
      <c r="E16" t="s">
        <v>66</v>
      </c>
      <c r="F16" t="s">
        <v>57</v>
      </c>
      <c r="G16">
        <v>0.45</v>
      </c>
      <c r="H16" t="s">
        <v>58</v>
      </c>
      <c r="I16">
        <v>450</v>
      </c>
      <c r="J16" t="s">
        <v>62</v>
      </c>
      <c r="L16">
        <f t="shared" si="0"/>
        <v>0.45</v>
      </c>
      <c r="P16" s="4"/>
      <c r="Q16" s="4" t="str">
        <v>D3041.041a</v>
      </c>
      <c r="R16" s="4" t="str">
        <v>D3041.041a    Variable Air Volume (VAV) box with in-line coil, SDC A or B</v>
      </c>
      <c r="S16" s="4" t="s">
        <v>41</v>
      </c>
      <c r="T16" s="8" t="str">
        <f t="shared" si="1"/>
        <v xml:space="preserve">   Variable Air Volume (VAV) box with in-line coil, SDC A or B</v>
      </c>
      <c r="U16" s="6" t="str">
        <v>EA</v>
      </c>
      <c r="V16" s="6" cm="1">
        <f t="array" ref="V16">INDEX($I$4:$I$444,MATCH(1,($C$4:$C$444=$Q16)*($B$4:$B$444=V$3),0))</f>
        <v>112.5</v>
      </c>
      <c r="W16" s="6" cm="1">
        <f t="array" ref="W16">INDEX($I$4:$I$444,MATCH(1,($C$4:$C$444=$Q16)*($B$4:$B$444=W$3),0))</f>
        <v>112.5</v>
      </c>
      <c r="X16" s="6" cm="1">
        <f t="array" ref="X16">INDEX($I$4:$I$444,MATCH(1,($C$4:$C$444=$Q16)*($B$4:$B$444=X$3),0))</f>
        <v>112.5</v>
      </c>
      <c r="Y16" s="6" cm="1">
        <f t="array" ref="Y16">INDEX($I$4:$I$444,MATCH(1,($C$4:$C$444=$Q16)*($B$4:$B$444=Y$3),0))</f>
        <v>112.5</v>
      </c>
      <c r="Z16" s="6" cm="1">
        <f t="array" ref="Z16">INDEX($I$4:$I$444,MATCH(1,($C$4:$C$444=$Q16)*($B$4:$B$444=Z$3),0))</f>
        <v>112.5</v>
      </c>
      <c r="AA16" s="6" cm="1">
        <f t="array" ref="AA16">INDEX($I$4:$I$444,MATCH(1,($C$4:$C$444=$Q16)*($B$4:$B$444=AA$3),0))</f>
        <v>112.5</v>
      </c>
      <c r="AB16" s="6" cm="1">
        <f t="array" ref="AB16">INDEX($I$4:$I$444,MATCH(1,($C$4:$C$444=$Q16)*($B$4:$B$444=AB$3),0))</f>
        <v>112.5</v>
      </c>
      <c r="AC16" s="6" cm="1">
        <f t="array" ref="AC16">INDEX($I$4:$I$444,MATCH(1,($C$4:$C$444=$Q16)*($B$4:$B$444=AC$3),0))</f>
        <v>112.5</v>
      </c>
      <c r="AD16" s="6" cm="1">
        <f t="array" ref="AD16">INDEX($I$4:$I$444,MATCH(1,($C$4:$C$444=$Q16)*($B$4:$B$444=AD$3),0))</f>
        <v>112.5</v>
      </c>
      <c r="AE16" s="6" cm="1">
        <f t="array" ref="AE16">INDEX($I$4:$I$444,MATCH(1,($C$4:$C$444=$Q16)*($B$4:$B$444=AE$3),0))</f>
        <v>112.5</v>
      </c>
      <c r="AF16" s="6" cm="1">
        <f t="array" ref="AF16">INDEX($I$4:$I$444,MATCH(1,($C$4:$C$444=$Q16)*($B$4:$B$444=AF$3),0))</f>
        <v>112.5</v>
      </c>
      <c r="AG16" s="6" cm="1">
        <f t="array" ref="AG16">INDEX($I$4:$I$444,MATCH(1,($C$4:$C$444=$Q16)*($B$4:$B$444=AG$3),0))</f>
        <v>112.5</v>
      </c>
      <c r="AH16" s="6" cm="1">
        <f t="array" ref="AH16">INDEX($I$4:$I$444,MATCH(1,($C$4:$C$444=$Q16)*($B$4:$B$444=AH$3),0))</f>
        <v>112.5</v>
      </c>
      <c r="AI16" s="6" cm="1">
        <f t="array" ref="AI16">INDEX($I$4:$I$444,MATCH(1,($C$4:$C$444=$Q16)*($B$4:$B$444=AI$3),0))</f>
        <v>112.5</v>
      </c>
      <c r="AJ16" s="6" cm="1">
        <f t="array" ref="AJ16">INDEX($I$4:$I$444,MATCH(1,($C$4:$C$444=$Q16)*($B$4:$B$444=AJ$3),0))</f>
        <v>112.5</v>
      </c>
      <c r="AK16" s="6" cm="1">
        <f t="array" ref="AK16">INDEX($I$4:$I$444,MATCH(1,($C$4:$C$444=$Q16)*($B$4:$B$444=AK$3),0))</f>
        <v>112.5</v>
      </c>
      <c r="AL16" s="6" cm="1">
        <f t="array" ref="AL16">INDEX($I$4:$I$444,MATCH(1,($C$4:$C$444=$Q16)*($B$4:$B$444=AL$3),0))</f>
        <v>112.5</v>
      </c>
      <c r="AM16" s="6" cm="1">
        <f t="array" ref="AM16">INDEX($I$4:$I$444,MATCH(1,($C$4:$C$444=$Q16)*($B$4:$B$444=AM$3),0))</f>
        <v>112.5</v>
      </c>
      <c r="AN16" s="6" cm="1">
        <f t="array" ref="AN16">INDEX($I$4:$I$444,MATCH(1,($C$4:$C$444=$Q16)*($B$4:$B$444=AN$3),0))</f>
        <v>90</v>
      </c>
      <c r="AO16" s="7" t="s">
        <v>107</v>
      </c>
      <c r="AP16" s="4"/>
      <c r="AQ16" s="4"/>
    </row>
    <row r="17" spans="2:43" x14ac:dyDescent="0.25">
      <c r="B17" s="2" t="s">
        <v>84</v>
      </c>
      <c r="C17" t="s">
        <v>16</v>
      </c>
      <c r="D17" t="s">
        <v>39</v>
      </c>
      <c r="E17" t="s">
        <v>66</v>
      </c>
      <c r="F17" t="s">
        <v>57</v>
      </c>
      <c r="G17">
        <v>1.6874999999999998</v>
      </c>
      <c r="H17" t="s">
        <v>58</v>
      </c>
      <c r="I17">
        <v>1687.4999999999998</v>
      </c>
      <c r="J17" t="s">
        <v>62</v>
      </c>
      <c r="L17">
        <f t="shared" si="0"/>
        <v>1.6874999999999998</v>
      </c>
      <c r="P17" s="4"/>
      <c r="Q17" s="4" t="str">
        <v>C3034.001</v>
      </c>
      <c r="R17" s="4" t="str">
        <v>C3034.001    Independent Pendant Lighting - non seismic</v>
      </c>
      <c r="S17" s="4" t="s">
        <v>42</v>
      </c>
      <c r="T17" s="8" t="str">
        <f t="shared" si="1"/>
        <v xml:space="preserve">   Independent Pendant Lighting - non seismic</v>
      </c>
      <c r="U17" s="6" t="str">
        <v>EA</v>
      </c>
      <c r="V17" s="6" cm="1">
        <f t="array" ref="V17">INDEX($I$4:$I$444,MATCH(1,($C$4:$C$444=$Q17)*($B$4:$B$444=V$3),0))</f>
        <v>337.5</v>
      </c>
      <c r="W17" s="6" cm="1">
        <f t="array" ref="W17">INDEX($I$4:$I$444,MATCH(1,($C$4:$C$444=$Q17)*($B$4:$B$444=W$3),0))</f>
        <v>337.5</v>
      </c>
      <c r="X17" s="6" cm="1">
        <f t="array" ref="X17">INDEX($I$4:$I$444,MATCH(1,($C$4:$C$444=$Q17)*($B$4:$B$444=X$3),0))</f>
        <v>337.5</v>
      </c>
      <c r="Y17" s="6" cm="1">
        <f t="array" ref="Y17">INDEX($I$4:$I$444,MATCH(1,($C$4:$C$444=$Q17)*($B$4:$B$444=Y$3),0))</f>
        <v>337.5</v>
      </c>
      <c r="Z17" s="6" cm="1">
        <f t="array" ref="Z17">INDEX($I$4:$I$444,MATCH(1,($C$4:$C$444=$Q17)*($B$4:$B$444=Z$3),0))</f>
        <v>337.5</v>
      </c>
      <c r="AA17" s="6" cm="1">
        <f t="array" ref="AA17">INDEX($I$4:$I$444,MATCH(1,($C$4:$C$444=$Q17)*($B$4:$B$444=AA$3),0))</f>
        <v>337.5</v>
      </c>
      <c r="AB17" s="6" cm="1">
        <f t="array" ref="AB17">INDEX($I$4:$I$444,MATCH(1,($C$4:$C$444=$Q17)*($B$4:$B$444=AB$3),0))</f>
        <v>337.5</v>
      </c>
      <c r="AC17" s="6" cm="1">
        <f t="array" ref="AC17">INDEX($I$4:$I$444,MATCH(1,($C$4:$C$444=$Q17)*($B$4:$B$444=AC$3),0))</f>
        <v>337.5</v>
      </c>
      <c r="AD17" s="6" cm="1">
        <f t="array" ref="AD17">INDEX($I$4:$I$444,MATCH(1,($C$4:$C$444=$Q17)*($B$4:$B$444=AD$3),0))</f>
        <v>337.5</v>
      </c>
      <c r="AE17" s="6" cm="1">
        <f t="array" ref="AE17">INDEX($I$4:$I$444,MATCH(1,($C$4:$C$444=$Q17)*($B$4:$B$444=AE$3),0))</f>
        <v>337.5</v>
      </c>
      <c r="AF17" s="6" cm="1">
        <f t="array" ref="AF17">INDEX($I$4:$I$444,MATCH(1,($C$4:$C$444=$Q17)*($B$4:$B$444=AF$3),0))</f>
        <v>337.5</v>
      </c>
      <c r="AG17" s="6" cm="1">
        <f t="array" ref="AG17">INDEX($I$4:$I$444,MATCH(1,($C$4:$C$444=$Q17)*($B$4:$B$444=AG$3),0))</f>
        <v>337.5</v>
      </c>
      <c r="AH17" s="6" cm="1">
        <f t="array" ref="AH17">INDEX($I$4:$I$444,MATCH(1,($C$4:$C$444=$Q17)*($B$4:$B$444=AH$3),0))</f>
        <v>337.5</v>
      </c>
      <c r="AI17" s="6" cm="1">
        <f t="array" ref="AI17">INDEX($I$4:$I$444,MATCH(1,($C$4:$C$444=$Q17)*($B$4:$B$444=AI$3),0))</f>
        <v>337.5</v>
      </c>
      <c r="AJ17" s="6" cm="1">
        <f t="array" ref="AJ17">INDEX($I$4:$I$444,MATCH(1,($C$4:$C$444=$Q17)*($B$4:$B$444=AJ$3),0))</f>
        <v>337.5</v>
      </c>
      <c r="AK17" s="6" cm="1">
        <f t="array" ref="AK17">INDEX($I$4:$I$444,MATCH(1,($C$4:$C$444=$Q17)*($B$4:$B$444=AK$3),0))</f>
        <v>337.5</v>
      </c>
      <c r="AL17" s="6" cm="1">
        <f t="array" ref="AL17">INDEX($I$4:$I$444,MATCH(1,($C$4:$C$444=$Q17)*($B$4:$B$444=AL$3),0))</f>
        <v>337.5</v>
      </c>
      <c r="AM17" s="6" cm="1">
        <f t="array" ref="AM17">INDEX($I$4:$I$444,MATCH(1,($C$4:$C$444=$Q17)*($B$4:$B$444=AM$3),0))</f>
        <v>337.5</v>
      </c>
      <c r="AN17" s="6" cm="1">
        <f t="array" ref="AN17">INDEX($I$4:$I$444,MATCH(1,($C$4:$C$444=$Q17)*($B$4:$B$444=AN$3),0))</f>
        <v>337.5</v>
      </c>
      <c r="AO17" s="7" t="s">
        <v>107</v>
      </c>
      <c r="AP17" s="4"/>
      <c r="AQ17" s="4"/>
    </row>
    <row r="18" spans="2:43" x14ac:dyDescent="0.25">
      <c r="B18" s="2" t="s">
        <v>84</v>
      </c>
      <c r="C18" t="s">
        <v>17</v>
      </c>
      <c r="D18" t="s">
        <v>40</v>
      </c>
      <c r="E18" t="s">
        <v>67</v>
      </c>
      <c r="F18" t="s">
        <v>57</v>
      </c>
      <c r="G18">
        <v>20.249999999999996</v>
      </c>
      <c r="H18" t="s">
        <v>58</v>
      </c>
      <c r="I18">
        <v>202.49999999999997</v>
      </c>
      <c r="J18" t="s">
        <v>65</v>
      </c>
      <c r="L18">
        <f t="shared" si="0"/>
        <v>20.249999999999996</v>
      </c>
      <c r="P18" s="4"/>
      <c r="Q18" s="4" t="str">
        <v>D4011.021a</v>
      </c>
      <c r="R18" s="4" t="str">
        <v>D4011.021a    Fire Sprinkler Water Piping - Horizontal Mains and Branches - Old Style Victaulic - Thin Wall Steel - No bracing, SDC A or B, PIPING FRAGILITY</v>
      </c>
      <c r="S18" s="4" t="s">
        <v>43</v>
      </c>
      <c r="T18" s="8" t="str">
        <f t="shared" si="1"/>
        <v xml:space="preserve">   Fire Sprinkler Water Piping - Horizontal Mains and Branches - Old Style Victaulic - Thin Wall Steel - No bracing, SDC A or B, PIPING FRAGILITY</v>
      </c>
      <c r="U18" s="6" t="str">
        <v>LF</v>
      </c>
      <c r="V18" s="6" cm="1">
        <f t="array" ref="V18">INDEX($I$4:$I$444,MATCH(1,($C$4:$C$444=$Q18)*($B$4:$B$444=V$3),0))</f>
        <v>4500</v>
      </c>
      <c r="W18" s="6" cm="1">
        <f t="array" ref="W18">INDEX($I$4:$I$444,MATCH(1,($C$4:$C$444=$Q18)*($B$4:$B$444=W$3),0))</f>
        <v>4500</v>
      </c>
      <c r="X18" s="6" cm="1">
        <f t="array" ref="X18">INDEX($I$4:$I$444,MATCH(1,($C$4:$C$444=$Q18)*($B$4:$B$444=X$3),0))</f>
        <v>4500</v>
      </c>
      <c r="Y18" s="6" cm="1">
        <f t="array" ref="Y18">INDEX($I$4:$I$444,MATCH(1,($C$4:$C$444=$Q18)*($B$4:$B$444=Y$3),0))</f>
        <v>4500</v>
      </c>
      <c r="Z18" s="6" cm="1">
        <f t="array" ref="Z18">INDEX($I$4:$I$444,MATCH(1,($C$4:$C$444=$Q18)*($B$4:$B$444=Z$3),0))</f>
        <v>4500</v>
      </c>
      <c r="AA18" s="6" cm="1">
        <f t="array" ref="AA18">INDEX($I$4:$I$444,MATCH(1,($C$4:$C$444=$Q18)*($B$4:$B$444=AA$3),0))</f>
        <v>4500</v>
      </c>
      <c r="AB18" s="6" cm="1">
        <f t="array" ref="AB18">INDEX($I$4:$I$444,MATCH(1,($C$4:$C$444=$Q18)*($B$4:$B$444=AB$3),0))</f>
        <v>4500</v>
      </c>
      <c r="AC18" s="6" cm="1">
        <f t="array" ref="AC18">INDEX($I$4:$I$444,MATCH(1,($C$4:$C$444=$Q18)*($B$4:$B$444=AC$3),0))</f>
        <v>4500</v>
      </c>
      <c r="AD18" s="6" cm="1">
        <f t="array" ref="AD18">INDEX($I$4:$I$444,MATCH(1,($C$4:$C$444=$Q18)*($B$4:$B$444=AD$3),0))</f>
        <v>4500</v>
      </c>
      <c r="AE18" s="6" cm="1">
        <f t="array" ref="AE18">INDEX($I$4:$I$444,MATCH(1,($C$4:$C$444=$Q18)*($B$4:$B$444=AE$3),0))</f>
        <v>4500</v>
      </c>
      <c r="AF18" s="6" cm="1">
        <f t="array" ref="AF18">INDEX($I$4:$I$444,MATCH(1,($C$4:$C$444=$Q18)*($B$4:$B$444=AF$3),0))</f>
        <v>4500</v>
      </c>
      <c r="AG18" s="6" cm="1">
        <f t="array" ref="AG18">INDEX($I$4:$I$444,MATCH(1,($C$4:$C$444=$Q18)*($B$4:$B$444=AG$3),0))</f>
        <v>4500</v>
      </c>
      <c r="AH18" s="6" cm="1">
        <f t="array" ref="AH18">INDEX($I$4:$I$444,MATCH(1,($C$4:$C$444=$Q18)*($B$4:$B$444=AH$3),0))</f>
        <v>4500</v>
      </c>
      <c r="AI18" s="6" cm="1">
        <f t="array" ref="AI18">INDEX($I$4:$I$444,MATCH(1,($C$4:$C$444=$Q18)*($B$4:$B$444=AI$3),0))</f>
        <v>4500</v>
      </c>
      <c r="AJ18" s="6" cm="1">
        <f t="array" ref="AJ18">INDEX($I$4:$I$444,MATCH(1,($C$4:$C$444=$Q18)*($B$4:$B$444=AJ$3),0))</f>
        <v>4500</v>
      </c>
      <c r="AK18" s="6" cm="1">
        <f t="array" ref="AK18">INDEX($I$4:$I$444,MATCH(1,($C$4:$C$444=$Q18)*($B$4:$B$444=AK$3),0))</f>
        <v>4500</v>
      </c>
      <c r="AL18" s="6" cm="1">
        <f t="array" ref="AL18">INDEX($I$4:$I$444,MATCH(1,($C$4:$C$444=$Q18)*($B$4:$B$444=AL$3),0))</f>
        <v>4500</v>
      </c>
      <c r="AM18" s="6" cm="1">
        <f t="array" ref="AM18">INDEX($I$4:$I$444,MATCH(1,($C$4:$C$444=$Q18)*($B$4:$B$444=AM$3),0))</f>
        <v>4500</v>
      </c>
      <c r="AN18" s="6" cm="1">
        <f t="array" ref="AN18">INDEX($I$4:$I$444,MATCH(1,($C$4:$C$444=$Q18)*($B$4:$B$444=AN$3),0))</f>
        <v>4050</v>
      </c>
      <c r="AO18" s="7" t="s">
        <v>107</v>
      </c>
      <c r="AP18" s="4"/>
      <c r="AQ18" s="4"/>
    </row>
    <row r="19" spans="2:43" x14ac:dyDescent="0.25">
      <c r="B19" s="2" t="s">
        <v>84</v>
      </c>
      <c r="C19" t="s">
        <v>18</v>
      </c>
      <c r="D19" t="s">
        <v>41</v>
      </c>
      <c r="E19" t="s">
        <v>67</v>
      </c>
      <c r="F19" t="s">
        <v>57</v>
      </c>
      <c r="G19">
        <v>11.25</v>
      </c>
      <c r="H19" t="s">
        <v>58</v>
      </c>
      <c r="I19">
        <v>112.5</v>
      </c>
      <c r="J19" t="s">
        <v>65</v>
      </c>
      <c r="L19">
        <f t="shared" si="0"/>
        <v>11.25</v>
      </c>
      <c r="P19" s="4"/>
      <c r="Q19" s="4" t="str">
        <v>D4011.031a</v>
      </c>
      <c r="R19" s="4" t="str">
        <v>D4011.031a    Fire Sprinkler Drop Standard Threaded Steel - Dropping into unbraced lay-in tile SOFT ceiling - 6 ft. long drop maximum, SDC A or B</v>
      </c>
      <c r="S19" s="4" t="s">
        <v>44</v>
      </c>
      <c r="T19" s="8" t="str">
        <f t="shared" si="1"/>
        <v xml:space="preserve">   Fire Sprinkler Drop Standard Threaded Steel - Dropping into unbraced lay-in tile SOFT ceiling - 6 ft. long drop maximum, SDC A or B</v>
      </c>
      <c r="U19" s="6" t="str">
        <v>EA</v>
      </c>
      <c r="V19" s="6" cm="1">
        <f t="array" ref="V19">INDEX($I$4:$I$444,MATCH(1,($C$4:$C$444=$Q19)*($B$4:$B$444=V$3),0))</f>
        <v>202.5</v>
      </c>
      <c r="W19" s="6" cm="1">
        <f t="array" ref="W19">INDEX($I$4:$I$444,MATCH(1,($C$4:$C$444=$Q19)*($B$4:$B$444=W$3),0))</f>
        <v>202.5</v>
      </c>
      <c r="X19" s="6" cm="1">
        <f t="array" ref="X19">INDEX($I$4:$I$444,MATCH(1,($C$4:$C$444=$Q19)*($B$4:$B$444=X$3),0))</f>
        <v>202.5</v>
      </c>
      <c r="Y19" s="6" cm="1">
        <f t="array" ref="Y19">INDEX($I$4:$I$444,MATCH(1,($C$4:$C$444=$Q19)*($B$4:$B$444=Y$3),0))</f>
        <v>202.5</v>
      </c>
      <c r="Z19" s="6" cm="1">
        <f t="array" ref="Z19">INDEX($I$4:$I$444,MATCH(1,($C$4:$C$444=$Q19)*($B$4:$B$444=Z$3),0))</f>
        <v>202.5</v>
      </c>
      <c r="AA19" s="6" cm="1">
        <f t="array" ref="AA19">INDEX($I$4:$I$444,MATCH(1,($C$4:$C$444=$Q19)*($B$4:$B$444=AA$3),0))</f>
        <v>202.5</v>
      </c>
      <c r="AB19" s="6" cm="1">
        <f t="array" ref="AB19">INDEX($I$4:$I$444,MATCH(1,($C$4:$C$444=$Q19)*($B$4:$B$444=AB$3),0))</f>
        <v>202.5</v>
      </c>
      <c r="AC19" s="6" cm="1">
        <f t="array" ref="AC19">INDEX($I$4:$I$444,MATCH(1,($C$4:$C$444=$Q19)*($B$4:$B$444=AC$3),0))</f>
        <v>202.5</v>
      </c>
      <c r="AD19" s="6" cm="1">
        <f t="array" ref="AD19">INDEX($I$4:$I$444,MATCH(1,($C$4:$C$444=$Q19)*($B$4:$B$444=AD$3),0))</f>
        <v>202.5</v>
      </c>
      <c r="AE19" s="6" cm="1">
        <f t="array" ref="AE19">INDEX($I$4:$I$444,MATCH(1,($C$4:$C$444=$Q19)*($B$4:$B$444=AE$3),0))</f>
        <v>202.5</v>
      </c>
      <c r="AF19" s="6" cm="1">
        <f t="array" ref="AF19">INDEX($I$4:$I$444,MATCH(1,($C$4:$C$444=$Q19)*($B$4:$B$444=AF$3),0))</f>
        <v>202.5</v>
      </c>
      <c r="AG19" s="6" cm="1">
        <f t="array" ref="AG19">INDEX($I$4:$I$444,MATCH(1,($C$4:$C$444=$Q19)*($B$4:$B$444=AG$3),0))</f>
        <v>202.5</v>
      </c>
      <c r="AH19" s="6" cm="1">
        <f t="array" ref="AH19">INDEX($I$4:$I$444,MATCH(1,($C$4:$C$444=$Q19)*($B$4:$B$444=AH$3),0))</f>
        <v>202.5</v>
      </c>
      <c r="AI19" s="6" cm="1">
        <f t="array" ref="AI19">INDEX($I$4:$I$444,MATCH(1,($C$4:$C$444=$Q19)*($B$4:$B$444=AI$3),0))</f>
        <v>202.5</v>
      </c>
      <c r="AJ19" s="6" cm="1">
        <f t="array" ref="AJ19">INDEX($I$4:$I$444,MATCH(1,($C$4:$C$444=$Q19)*($B$4:$B$444=AJ$3),0))</f>
        <v>202.5</v>
      </c>
      <c r="AK19" s="6" cm="1">
        <f t="array" ref="AK19">INDEX($I$4:$I$444,MATCH(1,($C$4:$C$444=$Q19)*($B$4:$B$444=AK$3),0))</f>
        <v>202.5</v>
      </c>
      <c r="AL19" s="6" cm="1">
        <f t="array" ref="AL19">INDEX($I$4:$I$444,MATCH(1,($C$4:$C$444=$Q19)*($B$4:$B$444=AL$3),0))</f>
        <v>202.5</v>
      </c>
      <c r="AM19" s="6" cm="1">
        <f t="array" ref="AM19">INDEX($I$4:$I$444,MATCH(1,($C$4:$C$444=$Q19)*($B$4:$B$444=AM$3),0))</f>
        <v>202.5</v>
      </c>
      <c r="AN19" s="6" cm="1">
        <f t="array" ref="AN19">INDEX($I$4:$I$444,MATCH(1,($C$4:$C$444=$Q19)*($B$4:$B$444=AN$3),0))</f>
        <v>180</v>
      </c>
      <c r="AO19" s="7" t="s">
        <v>107</v>
      </c>
      <c r="AP19" s="4"/>
      <c r="AQ19" s="4"/>
    </row>
    <row r="20" spans="2:43" hidden="1" x14ac:dyDescent="0.25">
      <c r="B20" s="2" t="s">
        <v>84</v>
      </c>
      <c r="C20" t="s">
        <v>18</v>
      </c>
      <c r="D20" t="s">
        <v>41</v>
      </c>
      <c r="E20" t="s">
        <v>67</v>
      </c>
      <c r="F20" t="s">
        <v>57</v>
      </c>
      <c r="G20">
        <v>4.5</v>
      </c>
      <c r="H20" t="s">
        <v>58</v>
      </c>
      <c r="I20">
        <v>45</v>
      </c>
      <c r="J20" t="s">
        <v>65</v>
      </c>
      <c r="L20">
        <f t="shared" si="0"/>
        <v>4.5</v>
      </c>
      <c r="P20" s="4"/>
      <c r="Q20" s="4">
        <v>0</v>
      </c>
      <c r="R20" s="4" t="e">
        <v>#N/A</v>
      </c>
      <c r="S20" s="4"/>
      <c r="T20" s="8"/>
      <c r="U20" s="6" t="e">
        <v>#N/A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7"/>
      <c r="AP20" s="4"/>
      <c r="AQ20" s="4"/>
    </row>
    <row r="21" spans="2:43" x14ac:dyDescent="0.25">
      <c r="B21" s="2" t="s">
        <v>84</v>
      </c>
      <c r="C21" t="s">
        <v>19</v>
      </c>
      <c r="D21" t="s">
        <v>42</v>
      </c>
      <c r="E21" t="s">
        <v>64</v>
      </c>
      <c r="F21" t="s">
        <v>57</v>
      </c>
      <c r="G21">
        <v>337.5</v>
      </c>
      <c r="H21" t="s">
        <v>58</v>
      </c>
      <c r="I21">
        <v>337.5</v>
      </c>
      <c r="J21" t="s">
        <v>65</v>
      </c>
      <c r="L21">
        <f t="shared" si="0"/>
        <v>337.5</v>
      </c>
      <c r="P21" s="4"/>
      <c r="Q21" s="4" t="str">
        <v>C2011.001a</v>
      </c>
      <c r="R21" s="4" t="str">
        <v>C2011.001a    Prefabricated steel stair with steel treads and landings with seismic joints that accommodate drift.</v>
      </c>
      <c r="S21" s="4" t="s">
        <v>45</v>
      </c>
      <c r="T21" s="5" t="str">
        <f t="shared" si="1"/>
        <v xml:space="preserve">   Prefabricated steel stair with steel treads and landings with seismic joints that accommodate drift.</v>
      </c>
      <c r="U21" s="6" t="str">
        <v>EA</v>
      </c>
      <c r="V21" s="6" cm="1">
        <f t="array" ref="V21">INDEX($I$4:$I$444,MATCH(1,($C$4:$C$444=$Q21)*($B$4:$B$444=V$3),0))</f>
        <v>4.5</v>
      </c>
      <c r="W21" s="6" cm="1">
        <f t="array" ref="W21">INDEX($I$4:$I$444,MATCH(1,($C$4:$C$444=$Q21)*($B$4:$B$444=W$3),0))</f>
        <v>4.5</v>
      </c>
      <c r="X21" s="6" cm="1">
        <f t="array" ref="X21">INDEX($I$4:$I$444,MATCH(1,($C$4:$C$444=$Q21)*($B$4:$B$444=X$3),0))</f>
        <v>4.5</v>
      </c>
      <c r="Y21" s="6" cm="1">
        <f t="array" ref="Y21">INDEX($I$4:$I$444,MATCH(1,($C$4:$C$444=$Q21)*($B$4:$B$444=Y$3),0))</f>
        <v>4.5</v>
      </c>
      <c r="Z21" s="6" cm="1">
        <f t="array" ref="Z21">INDEX($I$4:$I$444,MATCH(1,($C$4:$C$444=$Q21)*($B$4:$B$444=Z$3),0))</f>
        <v>4.5</v>
      </c>
      <c r="AA21" s="6" cm="1">
        <f t="array" ref="AA21">INDEX($I$4:$I$444,MATCH(1,($C$4:$C$444=$Q21)*($B$4:$B$444=AA$3),0))</f>
        <v>4.5</v>
      </c>
      <c r="AB21" s="6" cm="1">
        <f t="array" ref="AB21">INDEX($I$4:$I$444,MATCH(1,($C$4:$C$444=$Q21)*($B$4:$B$444=AB$3),0))</f>
        <v>4.5</v>
      </c>
      <c r="AC21" s="6" cm="1">
        <f t="array" ref="AC21">INDEX($I$4:$I$444,MATCH(1,($C$4:$C$444=$Q21)*($B$4:$B$444=AC$3),0))</f>
        <v>4.5</v>
      </c>
      <c r="AD21" s="6" cm="1">
        <f t="array" ref="AD21">INDEX($I$4:$I$444,MATCH(1,($C$4:$C$444=$Q21)*($B$4:$B$444=AD$3),0))</f>
        <v>4.5</v>
      </c>
      <c r="AE21" s="6" cm="1">
        <f t="array" ref="AE21">INDEX($I$4:$I$444,MATCH(1,($C$4:$C$444=$Q21)*($B$4:$B$444=AE$3),0))</f>
        <v>4.5</v>
      </c>
      <c r="AF21" s="6" cm="1">
        <f t="array" ref="AF21">INDEX($I$4:$I$444,MATCH(1,($C$4:$C$444=$Q21)*($B$4:$B$444=AF$3),0))</f>
        <v>4.5</v>
      </c>
      <c r="AG21" s="6" cm="1">
        <f t="array" ref="AG21">INDEX($I$4:$I$444,MATCH(1,($C$4:$C$444=$Q21)*($B$4:$B$444=AG$3),0))</f>
        <v>4.5</v>
      </c>
      <c r="AH21" s="6" cm="1">
        <f t="array" ref="AH21">INDEX($I$4:$I$444,MATCH(1,($C$4:$C$444=$Q21)*($B$4:$B$444=AH$3),0))</f>
        <v>4.5</v>
      </c>
      <c r="AI21" s="6" cm="1">
        <f t="array" ref="AI21">INDEX($I$4:$I$444,MATCH(1,($C$4:$C$444=$Q21)*($B$4:$B$444=AI$3),0))</f>
        <v>4.5</v>
      </c>
      <c r="AJ21" s="6" cm="1">
        <f t="array" ref="AJ21">INDEX($I$4:$I$444,MATCH(1,($C$4:$C$444=$Q21)*($B$4:$B$444=AJ$3),0))</f>
        <v>4.5</v>
      </c>
      <c r="AK21" s="6" cm="1">
        <f t="array" ref="AK21">INDEX($I$4:$I$444,MATCH(1,($C$4:$C$444=$Q21)*($B$4:$B$444=AK$3),0))</f>
        <v>4.5</v>
      </c>
      <c r="AL21" s="6" cm="1">
        <f t="array" ref="AL21">INDEX($I$4:$I$444,MATCH(1,($C$4:$C$444=$Q21)*($B$4:$B$444=AL$3),0))</f>
        <v>4.5</v>
      </c>
      <c r="AM21" s="6" cm="1">
        <f t="array" ref="AM21">INDEX($I$4:$I$444,MATCH(1,($C$4:$C$444=$Q21)*($B$4:$B$444=AM$3),0))</f>
        <v>4.5</v>
      </c>
      <c r="AN21" s="6" cm="1">
        <f t="array" ref="AN21">INDEX($I$4:$I$444,MATCH(1,($C$4:$C$444=$Q21)*($B$4:$B$444=AN$3),0))</f>
        <v>4.5</v>
      </c>
      <c r="AO21" s="7" t="s">
        <v>107</v>
      </c>
      <c r="AP21" s="4"/>
      <c r="AQ21" s="4"/>
    </row>
    <row r="22" spans="2:43" x14ac:dyDescent="0.25">
      <c r="B22" s="2" t="s">
        <v>84</v>
      </c>
      <c r="C22" t="s">
        <v>19</v>
      </c>
      <c r="D22" t="s">
        <v>42</v>
      </c>
      <c r="E22" t="s">
        <v>64</v>
      </c>
      <c r="F22" t="s">
        <v>57</v>
      </c>
      <c r="G22">
        <v>337.5</v>
      </c>
      <c r="H22" t="s">
        <v>58</v>
      </c>
      <c r="I22">
        <v>337.5</v>
      </c>
      <c r="J22" t="s">
        <v>65</v>
      </c>
      <c r="L22">
        <f t="shared" si="0"/>
        <v>337.5</v>
      </c>
      <c r="P22" s="4"/>
      <c r="Q22" s="4" t="str">
        <v>D5012.021a</v>
      </c>
      <c r="R22" s="4" t="str">
        <v>D5012.021a    Low Voltage Switchgear - Capacity: 100 to &lt;350 Amp - Unanchored equipment that is not vibration isolated - Equipment fragility only</v>
      </c>
      <c r="S22" s="4" t="s">
        <v>46</v>
      </c>
      <c r="T22" s="8" t="str">
        <f t="shared" si="1"/>
        <v xml:space="preserve">   Low Voltage Switchgear - Capacity: 100 to &lt;350 Amp - Unanchored equipment that is not vibration isolated - Equipment fragility only</v>
      </c>
      <c r="U22" s="6" t="str">
        <v>AP</v>
      </c>
      <c r="V22" s="6" cm="1">
        <f t="array" ref="V22">INDEX($I$4:$I$444,MATCH(1,($C$4:$C$444=$Q22)*($B$4:$B$444=V$3),0))</f>
        <v>13.499999999999998</v>
      </c>
      <c r="W22" s="6" cm="1">
        <f t="array" ref="W22">INDEX($I$4:$I$444,MATCH(1,($C$4:$C$444=$Q22)*($B$4:$B$444=W$3),0))</f>
        <v>13.499999999999998</v>
      </c>
      <c r="X22" s="6" cm="1">
        <f t="array" ref="X22">INDEX($I$4:$I$444,MATCH(1,($C$4:$C$444=$Q22)*($B$4:$B$444=X$3),0))</f>
        <v>13.499999999999998</v>
      </c>
      <c r="Y22" s="6" cm="1">
        <f t="array" ref="Y22">INDEX($I$4:$I$444,MATCH(1,($C$4:$C$444=$Q22)*($B$4:$B$444=Y$3),0))</f>
        <v>13.499999999999998</v>
      </c>
      <c r="Z22" s="6" cm="1">
        <f t="array" ref="Z22">INDEX($I$4:$I$444,MATCH(1,($C$4:$C$444=$Q22)*($B$4:$B$444=Z$3),0))</f>
        <v>13.499999999999998</v>
      </c>
      <c r="AA22" s="6" cm="1">
        <f t="array" ref="AA22">INDEX($I$4:$I$444,MATCH(1,($C$4:$C$444=$Q22)*($B$4:$B$444=AA$3),0))</f>
        <v>13.499999999999998</v>
      </c>
      <c r="AB22" s="6" cm="1">
        <f t="array" ref="AB22">INDEX($I$4:$I$444,MATCH(1,($C$4:$C$444=$Q22)*($B$4:$B$444=AB$3),0))</f>
        <v>13.499999999999998</v>
      </c>
      <c r="AC22" s="6" cm="1">
        <f t="array" ref="AC22">INDEX($I$4:$I$444,MATCH(1,($C$4:$C$444=$Q22)*($B$4:$B$444=AC$3),0))</f>
        <v>13.499999999999998</v>
      </c>
      <c r="AD22" s="6" cm="1">
        <f t="array" ref="AD22">INDEX($I$4:$I$444,MATCH(1,($C$4:$C$444=$Q22)*($B$4:$B$444=AD$3),0))</f>
        <v>13.499999999999998</v>
      </c>
      <c r="AE22" s="6" cm="1">
        <f t="array" ref="AE22">INDEX($I$4:$I$444,MATCH(1,($C$4:$C$444=$Q22)*($B$4:$B$444=AE$3),0))</f>
        <v>13.499999999999998</v>
      </c>
      <c r="AF22" s="6" cm="1">
        <f t="array" ref="AF22">INDEX($I$4:$I$444,MATCH(1,($C$4:$C$444=$Q22)*($B$4:$B$444=AF$3),0))</f>
        <v>13.499999999999998</v>
      </c>
      <c r="AG22" s="6" cm="1">
        <f t="array" ref="AG22">INDEX($I$4:$I$444,MATCH(1,($C$4:$C$444=$Q22)*($B$4:$B$444=AG$3),0))</f>
        <v>13.499999999999998</v>
      </c>
      <c r="AH22" s="6" cm="1">
        <f t="array" ref="AH22">INDEX($I$4:$I$444,MATCH(1,($C$4:$C$444=$Q22)*($B$4:$B$444=AH$3),0))</f>
        <v>13.499999999999998</v>
      </c>
      <c r="AI22" s="6" cm="1">
        <f t="array" ref="AI22">INDEX($I$4:$I$444,MATCH(1,($C$4:$C$444=$Q22)*($B$4:$B$444=AI$3),0))</f>
        <v>13.499999999999998</v>
      </c>
      <c r="AJ22" s="6" cm="1">
        <f t="array" ref="AJ22">INDEX($I$4:$I$444,MATCH(1,($C$4:$C$444=$Q22)*($B$4:$B$444=AJ$3),0))</f>
        <v>13.499999999999998</v>
      </c>
      <c r="AK22" s="6" cm="1">
        <f t="array" ref="AK22">INDEX($I$4:$I$444,MATCH(1,($C$4:$C$444=$Q22)*($B$4:$B$444=AK$3),0))</f>
        <v>13.499999999999998</v>
      </c>
      <c r="AL22" s="6" cm="1">
        <f t="array" ref="AL22">INDEX($I$4:$I$444,MATCH(1,($C$4:$C$444=$Q22)*($B$4:$B$444=AL$3),0))</f>
        <v>13.499999999999998</v>
      </c>
      <c r="AM22" s="6" cm="1">
        <f t="array" ref="AM22">INDEX($I$4:$I$444,MATCH(1,($C$4:$C$444=$Q22)*($B$4:$B$444=AM$3),0))</f>
        <v>13.499999999999998</v>
      </c>
      <c r="AN22" s="6" cm="1">
        <f t="array" ref="AN22">INDEX($I$4:$I$444,MATCH(1,($C$4:$C$444=$Q22)*($B$4:$B$444=AN$3),0))</f>
        <v>13.499999999999998</v>
      </c>
      <c r="AO22" s="7" t="s">
        <v>107</v>
      </c>
      <c r="AP22" s="4"/>
      <c r="AQ22" s="4"/>
    </row>
    <row r="23" spans="2:43" x14ac:dyDescent="0.25">
      <c r="B23" s="2" t="s">
        <v>84</v>
      </c>
      <c r="C23" t="s">
        <v>20</v>
      </c>
      <c r="D23" t="s">
        <v>43</v>
      </c>
      <c r="E23" t="s">
        <v>66</v>
      </c>
      <c r="F23" t="s">
        <v>57</v>
      </c>
      <c r="G23">
        <v>4.5</v>
      </c>
      <c r="H23" t="s">
        <v>58</v>
      </c>
      <c r="I23">
        <v>4500</v>
      </c>
      <c r="J23" t="s">
        <v>62</v>
      </c>
      <c r="L23">
        <f t="shared" si="0"/>
        <v>4.5</v>
      </c>
      <c r="P23" s="4"/>
      <c r="Q23" s="4" t="str">
        <v>D1014.011</v>
      </c>
      <c r="R23" s="4" t="str">
        <v>D1014.011    Traction Elevator – Applies to most California Installations 1976 or later, most western states installations 1982 or later and most other U.S installations 1998 or later.</v>
      </c>
      <c r="S23" s="4" t="s">
        <v>47</v>
      </c>
      <c r="T23" s="8" t="str">
        <f t="shared" si="1"/>
        <v xml:space="preserve">   Traction Elevator – Applies to most California Installations 1976 or later, most western states installations 1982 or later and most other U.S installations 1998 or later.</v>
      </c>
      <c r="U23" s="6" t="str">
        <v>EA</v>
      </c>
      <c r="V23" s="7" t="s">
        <v>107</v>
      </c>
      <c r="W23" s="7" t="s">
        <v>107</v>
      </c>
      <c r="X23" s="7" t="s">
        <v>107</v>
      </c>
      <c r="Y23" s="7" t="s">
        <v>107</v>
      </c>
      <c r="Z23" s="7" t="s">
        <v>107</v>
      </c>
      <c r="AA23" s="7" t="s">
        <v>107</v>
      </c>
      <c r="AB23" s="7" t="s">
        <v>107</v>
      </c>
      <c r="AC23" s="7" t="s">
        <v>107</v>
      </c>
      <c r="AD23" s="7" t="s">
        <v>107</v>
      </c>
      <c r="AE23" s="7" t="s">
        <v>107</v>
      </c>
      <c r="AF23" s="7" t="s">
        <v>107</v>
      </c>
      <c r="AG23" s="7" t="s">
        <v>107</v>
      </c>
      <c r="AH23" s="7" t="s">
        <v>107</v>
      </c>
      <c r="AI23" s="7" t="s">
        <v>107</v>
      </c>
      <c r="AJ23" s="7" t="s">
        <v>107</v>
      </c>
      <c r="AK23" s="7" t="s">
        <v>107</v>
      </c>
      <c r="AL23" s="7" t="s">
        <v>107</v>
      </c>
      <c r="AM23" s="7" t="s">
        <v>107</v>
      </c>
      <c r="AN23" s="7" t="s">
        <v>107</v>
      </c>
      <c r="AO23" s="6" cm="1">
        <f t="array" ref="AO23">INDEX($I$4:$I$444,MATCH(1,($C$4:$C$444=$Q23)*($B$4:$B$444=AO$3),0))</f>
        <v>13.590000000000003</v>
      </c>
      <c r="AP23" s="4"/>
      <c r="AQ23" s="4"/>
    </row>
    <row r="24" spans="2:43" x14ac:dyDescent="0.25">
      <c r="B24" s="2" t="s">
        <v>84</v>
      </c>
      <c r="C24" t="s">
        <v>21</v>
      </c>
      <c r="D24" t="s">
        <v>44</v>
      </c>
      <c r="E24" t="s">
        <v>68</v>
      </c>
      <c r="F24" t="s">
        <v>57</v>
      </c>
      <c r="G24">
        <v>2.0249999999999999</v>
      </c>
      <c r="H24" t="s">
        <v>58</v>
      </c>
      <c r="I24">
        <v>202.5</v>
      </c>
      <c r="J24" t="s">
        <v>65</v>
      </c>
      <c r="L24">
        <f t="shared" si="0"/>
        <v>2.0249999999999999</v>
      </c>
      <c r="P24" s="4"/>
      <c r="Q24" s="4" t="str">
        <v>D3031.011a</v>
      </c>
      <c r="R24" s="4" t="str">
        <v>D3031.011a    Chiller - Capacity: &lt; 100 Ton - Unanchored equipment that is not vibration isolated - Equipment fragility only</v>
      </c>
      <c r="S24" s="4" t="s">
        <v>48</v>
      </c>
      <c r="T24" s="8" t="str">
        <f t="shared" si="1"/>
        <v xml:space="preserve">   Chiller - Capacity: &lt; 100 Ton - Unanchored equipment that is not vibration isolated - Equipment fragility only</v>
      </c>
      <c r="U24" s="6" t="str">
        <v>TN</v>
      </c>
      <c r="V24" s="7" t="s">
        <v>107</v>
      </c>
      <c r="W24" s="7" t="s">
        <v>107</v>
      </c>
      <c r="X24" s="7" t="s">
        <v>107</v>
      </c>
      <c r="Y24" s="7" t="s">
        <v>107</v>
      </c>
      <c r="Z24" s="7" t="s">
        <v>107</v>
      </c>
      <c r="AA24" s="7" t="s">
        <v>107</v>
      </c>
      <c r="AB24" s="7" t="s">
        <v>107</v>
      </c>
      <c r="AC24" s="7" t="s">
        <v>107</v>
      </c>
      <c r="AD24" s="7" t="s">
        <v>107</v>
      </c>
      <c r="AE24" s="7" t="s">
        <v>107</v>
      </c>
      <c r="AF24" s="7" t="s">
        <v>107</v>
      </c>
      <c r="AG24" s="7" t="s">
        <v>107</v>
      </c>
      <c r="AH24" s="7" t="s">
        <v>107</v>
      </c>
      <c r="AI24" s="7" t="s">
        <v>107</v>
      </c>
      <c r="AJ24" s="7" t="s">
        <v>107</v>
      </c>
      <c r="AK24" s="7" t="s">
        <v>107</v>
      </c>
      <c r="AL24" s="7" t="s">
        <v>107</v>
      </c>
      <c r="AM24" s="7" t="s">
        <v>107</v>
      </c>
      <c r="AN24" s="7" t="s">
        <v>107</v>
      </c>
      <c r="AO24" s="6" cm="1">
        <f t="array" ref="AO24">INDEX($I$4:$I$444,MATCH(1,($C$4:$C$444=$Q24)*($B$4:$B$444=AO$3),0))</f>
        <v>1154.25</v>
      </c>
      <c r="AP24" s="4"/>
      <c r="AQ24" s="4"/>
    </row>
    <row r="25" spans="2:43" x14ac:dyDescent="0.25">
      <c r="B25" s="2" t="s">
        <v>85</v>
      </c>
      <c r="C25" t="s">
        <v>6</v>
      </c>
      <c r="D25" t="s">
        <v>29</v>
      </c>
      <c r="E25" t="s">
        <v>56</v>
      </c>
      <c r="F25">
        <v>225</v>
      </c>
      <c r="G25" t="s">
        <v>57</v>
      </c>
      <c r="H25" t="s">
        <v>58</v>
      </c>
      <c r="I25">
        <v>6750</v>
      </c>
      <c r="J25" t="s">
        <v>59</v>
      </c>
      <c r="L25">
        <f t="shared" si="0"/>
        <v>225</v>
      </c>
      <c r="P25" s="4"/>
      <c r="Q25" s="4" t="str">
        <v>D3031.021a</v>
      </c>
      <c r="R25" s="4" t="str">
        <v>D3031.021a    Cooling Tower - Capacity: &lt; 100 Ton - Unanchored equipment that is not vibration isolated - Equipment fragility only</v>
      </c>
      <c r="S25" s="4" t="s">
        <v>49</v>
      </c>
      <c r="T25" s="8" t="str">
        <f t="shared" si="1"/>
        <v xml:space="preserve">   Cooling Tower - Capacity: &lt; 100 Ton - Unanchored equipment that is not vibration isolated - Equipment fragility only</v>
      </c>
      <c r="U25" s="6" t="str">
        <v>TN</v>
      </c>
      <c r="V25" s="7" t="s">
        <v>107</v>
      </c>
      <c r="W25" s="7" t="s">
        <v>107</v>
      </c>
      <c r="X25" s="7" t="s">
        <v>107</v>
      </c>
      <c r="Y25" s="7" t="s">
        <v>107</v>
      </c>
      <c r="Z25" s="7" t="s">
        <v>107</v>
      </c>
      <c r="AA25" s="7" t="s">
        <v>107</v>
      </c>
      <c r="AB25" s="7" t="s">
        <v>107</v>
      </c>
      <c r="AC25" s="7" t="s">
        <v>107</v>
      </c>
      <c r="AD25" s="7" t="s">
        <v>107</v>
      </c>
      <c r="AE25" s="7" t="s">
        <v>107</v>
      </c>
      <c r="AF25" s="7" t="s">
        <v>107</v>
      </c>
      <c r="AG25" s="7" t="s">
        <v>107</v>
      </c>
      <c r="AH25" s="7" t="s">
        <v>107</v>
      </c>
      <c r="AI25" s="7" t="s">
        <v>107</v>
      </c>
      <c r="AJ25" s="7" t="s">
        <v>107</v>
      </c>
      <c r="AK25" s="7" t="s">
        <v>107</v>
      </c>
      <c r="AL25" s="7" t="s">
        <v>107</v>
      </c>
      <c r="AM25" s="7" t="s">
        <v>107</v>
      </c>
      <c r="AN25" s="7" t="s">
        <v>107</v>
      </c>
      <c r="AO25" s="6" cm="1">
        <f t="array" ref="AO25">INDEX($I$4:$I$444,MATCH(1,($C$4:$C$444=$Q25)*($B$4:$B$444=AO$3),0))</f>
        <v>1154.25</v>
      </c>
      <c r="AP25" s="4"/>
      <c r="AQ25" s="4"/>
    </row>
    <row r="26" spans="2:43" x14ac:dyDescent="0.25">
      <c r="B26" s="2" t="s">
        <v>85</v>
      </c>
      <c r="C26" t="s">
        <v>7</v>
      </c>
      <c r="D26" t="s">
        <v>30</v>
      </c>
      <c r="E26" t="s">
        <v>60</v>
      </c>
      <c r="F26" t="s">
        <v>57</v>
      </c>
      <c r="G26">
        <v>60.75</v>
      </c>
      <c r="H26" t="s">
        <v>58</v>
      </c>
      <c r="I26">
        <v>6075</v>
      </c>
      <c r="J26" t="s">
        <v>59</v>
      </c>
      <c r="L26">
        <f t="shared" si="0"/>
        <v>60.75</v>
      </c>
      <c r="P26" s="4"/>
      <c r="Q26" s="4" t="str">
        <v>D3052.011a</v>
      </c>
      <c r="R26" s="4" t="str">
        <v>D3052.011a    Air Handling Unit - Capacity: &lt;5000 CFM - Unanchored equipment that is not vibration isolated - Equipment fragility only</v>
      </c>
      <c r="S26" s="4" t="s">
        <v>50</v>
      </c>
      <c r="T26" s="8" t="str">
        <f t="shared" si="1"/>
        <v xml:space="preserve">   Air Handling Unit - Capacity: &lt;5000 CFM - Unanchored equipment that is not vibration isolated - Equipment fragility only</v>
      </c>
      <c r="U26" s="6" t="str">
        <v>CF</v>
      </c>
      <c r="V26" s="7" t="s">
        <v>107</v>
      </c>
      <c r="W26" s="7" t="s">
        <v>107</v>
      </c>
      <c r="X26" s="7" t="s">
        <v>107</v>
      </c>
      <c r="Y26" s="7" t="s">
        <v>107</v>
      </c>
      <c r="Z26" s="7" t="s">
        <v>107</v>
      </c>
      <c r="AA26" s="7" t="s">
        <v>107</v>
      </c>
      <c r="AB26" s="7" t="s">
        <v>107</v>
      </c>
      <c r="AC26" s="7" t="s">
        <v>107</v>
      </c>
      <c r="AD26" s="7" t="s">
        <v>107</v>
      </c>
      <c r="AE26" s="7" t="s">
        <v>107</v>
      </c>
      <c r="AF26" s="7" t="s">
        <v>107</v>
      </c>
      <c r="AG26" s="7" t="s">
        <v>107</v>
      </c>
      <c r="AH26" s="7" t="s">
        <v>107</v>
      </c>
      <c r="AI26" s="7" t="s">
        <v>107</v>
      </c>
      <c r="AJ26" s="7" t="s">
        <v>107</v>
      </c>
      <c r="AK26" s="7" t="s">
        <v>107</v>
      </c>
      <c r="AL26" s="7" t="s">
        <v>107</v>
      </c>
      <c r="AM26" s="7" t="s">
        <v>107</v>
      </c>
      <c r="AN26" s="7" t="s">
        <v>107</v>
      </c>
      <c r="AO26" s="6" cm="1">
        <f t="array" ref="AO26">INDEX($I$4:$I$444,MATCH(1,($C$4:$C$444=$Q26)*($B$4:$B$444=AO$3),0))</f>
        <v>283499.99999999994</v>
      </c>
      <c r="AP26" s="4"/>
      <c r="AQ26" s="4"/>
    </row>
    <row r="27" spans="2:43" ht="15.75" thickBot="1" x14ac:dyDescent="0.3">
      <c r="B27" s="2" t="s">
        <v>85</v>
      </c>
      <c r="C27" t="s">
        <v>8</v>
      </c>
      <c r="D27" t="s">
        <v>31</v>
      </c>
      <c r="E27" t="s">
        <v>61</v>
      </c>
      <c r="F27">
        <v>22.5</v>
      </c>
      <c r="G27" t="s">
        <v>57</v>
      </c>
      <c r="H27" t="s">
        <v>58</v>
      </c>
      <c r="I27">
        <v>2250</v>
      </c>
      <c r="J27" t="s">
        <v>62</v>
      </c>
      <c r="L27">
        <f t="shared" si="0"/>
        <v>22.5</v>
      </c>
      <c r="P27" s="4"/>
      <c r="Q27" s="10" t="str">
        <v>D5012.013a</v>
      </c>
      <c r="R27" s="10" t="str">
        <v>D5012.013a    Motor Control Center - Capacity: all - Unanchored equipment that is not vibration isolated - Equipment fragility only</v>
      </c>
      <c r="S27" s="10" t="s">
        <v>51</v>
      </c>
      <c r="T27" s="12" t="str">
        <f t="shared" si="1"/>
        <v xml:space="preserve">   Motor Control Center - Capacity: all - Unanchored equipment that is not vibration isolated - Equipment fragility only</v>
      </c>
      <c r="U27" s="13" t="str">
        <v>EA</v>
      </c>
      <c r="V27" s="14" t="s">
        <v>107</v>
      </c>
      <c r="W27" s="14" t="s">
        <v>107</v>
      </c>
      <c r="X27" s="14" t="s">
        <v>107</v>
      </c>
      <c r="Y27" s="14" t="s">
        <v>107</v>
      </c>
      <c r="Z27" s="14" t="s">
        <v>107</v>
      </c>
      <c r="AA27" s="14" t="s">
        <v>107</v>
      </c>
      <c r="AB27" s="14" t="s">
        <v>107</v>
      </c>
      <c r="AC27" s="14" t="s">
        <v>107</v>
      </c>
      <c r="AD27" s="14" t="s">
        <v>107</v>
      </c>
      <c r="AE27" s="14" t="s">
        <v>107</v>
      </c>
      <c r="AF27" s="14" t="s">
        <v>107</v>
      </c>
      <c r="AG27" s="14" t="s">
        <v>107</v>
      </c>
      <c r="AH27" s="14" t="s">
        <v>107</v>
      </c>
      <c r="AI27" s="14" t="s">
        <v>107</v>
      </c>
      <c r="AJ27" s="14" t="s">
        <v>107</v>
      </c>
      <c r="AK27" s="14" t="s">
        <v>107</v>
      </c>
      <c r="AL27" s="14" t="s">
        <v>107</v>
      </c>
      <c r="AM27" s="14" t="s">
        <v>107</v>
      </c>
      <c r="AN27" s="14" t="s">
        <v>107</v>
      </c>
      <c r="AO27" s="13" cm="1">
        <f t="array" ref="AO27">INDEX($I$4:$I$444,MATCH(1,($C$4:$C$444=$Q27)*($B$4:$B$444=AO$3),0))</f>
        <v>16.200000000000003</v>
      </c>
      <c r="AP27" s="4"/>
      <c r="AQ27" s="4"/>
    </row>
    <row r="28" spans="2:43" x14ac:dyDescent="0.25">
      <c r="B28" s="2" t="s">
        <v>85</v>
      </c>
      <c r="C28" t="s">
        <v>9</v>
      </c>
      <c r="D28" t="s">
        <v>32</v>
      </c>
      <c r="E28" t="s">
        <v>61</v>
      </c>
      <c r="F28">
        <v>1.7010000000000003</v>
      </c>
      <c r="G28" t="s">
        <v>57</v>
      </c>
      <c r="H28" t="s">
        <v>58</v>
      </c>
      <c r="I28">
        <v>170.10000000000002</v>
      </c>
      <c r="J28" t="s">
        <v>62</v>
      </c>
      <c r="L28">
        <f t="shared" si="0"/>
        <v>1.7010000000000003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2:43" x14ac:dyDescent="0.25">
      <c r="B29" s="2" t="s">
        <v>85</v>
      </c>
      <c r="C29" t="s">
        <v>10</v>
      </c>
      <c r="D29" t="s">
        <v>33</v>
      </c>
      <c r="E29" t="s">
        <v>60</v>
      </c>
      <c r="F29" t="s">
        <v>57</v>
      </c>
      <c r="G29">
        <v>168.75</v>
      </c>
      <c r="H29" t="s">
        <v>58</v>
      </c>
      <c r="I29">
        <v>16875</v>
      </c>
      <c r="J29" t="s">
        <v>59</v>
      </c>
      <c r="L29">
        <f t="shared" si="0"/>
        <v>168.75</v>
      </c>
      <c r="P29" s="4"/>
      <c r="Q29" s="9" t="s">
        <v>106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2:43" x14ac:dyDescent="0.25">
      <c r="B30" s="2" t="s">
        <v>85</v>
      </c>
      <c r="C30" t="s">
        <v>11</v>
      </c>
      <c r="D30" t="s">
        <v>34</v>
      </c>
      <c r="E30" t="s">
        <v>63</v>
      </c>
      <c r="F30" t="s">
        <v>57</v>
      </c>
      <c r="G30">
        <v>81</v>
      </c>
      <c r="H30" t="s">
        <v>58</v>
      </c>
      <c r="I30">
        <v>20250</v>
      </c>
      <c r="J30" t="s">
        <v>59</v>
      </c>
      <c r="L30">
        <f t="shared" si="0"/>
        <v>81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2:43" ht="15.75" thickBot="1" x14ac:dyDescent="0.3">
      <c r="B31" s="2" t="s">
        <v>85</v>
      </c>
      <c r="C31" t="s">
        <v>11</v>
      </c>
      <c r="D31" t="s">
        <v>34</v>
      </c>
      <c r="E31" t="s">
        <v>63</v>
      </c>
      <c r="F31" t="s">
        <v>57</v>
      </c>
      <c r="G31">
        <v>4.5</v>
      </c>
      <c r="H31" t="s">
        <v>58</v>
      </c>
      <c r="I31">
        <v>1125</v>
      </c>
      <c r="J31" t="s">
        <v>59</v>
      </c>
      <c r="L31">
        <f t="shared" si="0"/>
        <v>4.5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spans="2:43" x14ac:dyDescent="0.25">
      <c r="B32" s="2" t="s">
        <v>85</v>
      </c>
      <c r="C32" t="s">
        <v>11</v>
      </c>
      <c r="D32" t="s">
        <v>34</v>
      </c>
      <c r="E32" t="s">
        <v>63</v>
      </c>
      <c r="F32" t="s">
        <v>57</v>
      </c>
      <c r="G32">
        <v>2.7</v>
      </c>
      <c r="H32" t="s">
        <v>58</v>
      </c>
      <c r="I32">
        <v>675</v>
      </c>
      <c r="J32" t="s">
        <v>59</v>
      </c>
      <c r="L32">
        <f t="shared" si="0"/>
        <v>2.7</v>
      </c>
      <c r="P32" s="4"/>
      <c r="Q32" s="22" t="s">
        <v>52</v>
      </c>
      <c r="R32" s="22"/>
      <c r="S32" s="22"/>
      <c r="T32" s="22"/>
      <c r="U32" s="22"/>
      <c r="V32" s="22" t="s">
        <v>121</v>
      </c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4"/>
      <c r="AQ32" s="4"/>
    </row>
    <row r="33" spans="2:43" ht="15.75" thickBot="1" x14ac:dyDescent="0.3">
      <c r="B33" s="2" t="s">
        <v>85</v>
      </c>
      <c r="C33" t="s">
        <v>11</v>
      </c>
      <c r="D33" t="s">
        <v>34</v>
      </c>
      <c r="E33" t="s">
        <v>63</v>
      </c>
      <c r="F33" t="s">
        <v>57</v>
      </c>
      <c r="G33">
        <v>1.7999999999999916</v>
      </c>
      <c r="H33" t="s">
        <v>58</v>
      </c>
      <c r="I33">
        <v>449.9999999999979</v>
      </c>
      <c r="J33" t="s">
        <v>59</v>
      </c>
      <c r="L33">
        <f t="shared" si="0"/>
        <v>1.7999999999999916</v>
      </c>
      <c r="P33" s="4"/>
      <c r="Q33" s="11" t="s">
        <v>54</v>
      </c>
      <c r="R33" s="11" t="s">
        <v>55</v>
      </c>
      <c r="S33" s="11" t="s">
        <v>82</v>
      </c>
      <c r="T33" s="11" t="s">
        <v>83</v>
      </c>
      <c r="U33" s="11" t="s">
        <v>0</v>
      </c>
      <c r="V33" s="11" t="s">
        <v>84</v>
      </c>
      <c r="W33" s="11" t="s">
        <v>85</v>
      </c>
      <c r="X33" s="11" t="s">
        <v>86</v>
      </c>
      <c r="Y33" s="11" t="s">
        <v>87</v>
      </c>
      <c r="Z33" s="11" t="s">
        <v>88</v>
      </c>
      <c r="AA33" s="11" t="s">
        <v>89</v>
      </c>
      <c r="AB33" s="11" t="s">
        <v>90</v>
      </c>
      <c r="AC33" s="11" t="s">
        <v>91</v>
      </c>
      <c r="AD33" s="11" t="s">
        <v>92</v>
      </c>
      <c r="AE33" s="11" t="s">
        <v>93</v>
      </c>
      <c r="AF33" s="11" t="s">
        <v>94</v>
      </c>
      <c r="AG33" s="11" t="s">
        <v>95</v>
      </c>
      <c r="AH33" s="11" t="s">
        <v>96</v>
      </c>
      <c r="AI33" s="11" t="s">
        <v>97</v>
      </c>
      <c r="AJ33" s="11" t="s">
        <v>98</v>
      </c>
      <c r="AK33" s="11" t="s">
        <v>99</v>
      </c>
      <c r="AL33" s="11" t="s">
        <v>100</v>
      </c>
      <c r="AM33" s="11" t="s">
        <v>101</v>
      </c>
      <c r="AN33" s="11" t="s">
        <v>102</v>
      </c>
      <c r="AO33" s="11" t="s">
        <v>103</v>
      </c>
      <c r="AP33" s="4"/>
      <c r="AQ33" s="4"/>
    </row>
    <row r="34" spans="2:43" x14ac:dyDescent="0.25">
      <c r="B34" s="2" t="s">
        <v>85</v>
      </c>
      <c r="C34" t="s">
        <v>12</v>
      </c>
      <c r="D34" t="s">
        <v>35</v>
      </c>
      <c r="E34" t="s">
        <v>64</v>
      </c>
      <c r="F34" t="s">
        <v>57</v>
      </c>
      <c r="G34">
        <v>18</v>
      </c>
      <c r="H34" t="s">
        <v>58</v>
      </c>
      <c r="I34">
        <v>18</v>
      </c>
      <c r="J34" t="s">
        <v>65</v>
      </c>
      <c r="L34">
        <f t="shared" si="0"/>
        <v>18</v>
      </c>
      <c r="P34" s="4"/>
      <c r="Q34" s="4" t="str" cm="1">
        <f t="array" ref="Q34:Q57">_xlfn.UNIQUE(C4:C444)</f>
        <v>B2022.001</v>
      </c>
      <c r="R34" s="4" t="str" cm="1">
        <f t="array" ref="R34:R57">VLOOKUP(_xlfn.ANCHORARRAY(Q4),C4:D444,2,FALSE)</f>
        <v>B2022.001    Curtain Walls - Generic Midrise Stick-Built Curtain wall, Config: Monolithic, Lamination: Unknown, Glass Type: Unknown, Details: Aspect ratio = 6:5,  Other details Unknown</v>
      </c>
      <c r="S34" s="4" t="s">
        <v>29</v>
      </c>
      <c r="T34" s="16" t="str">
        <f>RIGHT(S34,LEN(S34)-FIND(" ",S34))</f>
        <v xml:space="preserve">   Curtain Walls - Generic Midrise Stick-Built Curtain wall, Config: Monolithic, Lamination: Unknown, Glass Type: Unknown, Details: Aspect ratio = 6:5,  Other details Unknown</v>
      </c>
      <c r="U34" s="6" t="str" cm="1">
        <f t="array" ref="U34:U57">VLOOKUP(_xlfn.ANCHORARRAY(Q4),C4:J444,8,FALSE)</f>
        <v>SF</v>
      </c>
      <c r="V34" s="6" cm="1">
        <f t="array" ref="V34">INDEX($L$4:$L$444,MATCH(1,($C$4:$C$444=$Q34)*($B$4:$B$444=V$33),0))</f>
        <v>225</v>
      </c>
      <c r="W34" s="6" cm="1">
        <f t="array" ref="W34">INDEX($L$4:$L$444,MATCH(1,($C$4:$C$444=$Q34)*($B$4:$B$444=W$33),0))</f>
        <v>225</v>
      </c>
      <c r="X34" s="6" cm="1">
        <f t="array" ref="X34">INDEX($L$4:$L$444,MATCH(1,($C$4:$C$444=$Q34)*($B$4:$B$444=X$33),0))</f>
        <v>225</v>
      </c>
      <c r="Y34" s="6" cm="1">
        <f t="array" ref="Y34">INDEX($L$4:$L$444,MATCH(1,($C$4:$C$444=$Q34)*($B$4:$B$444=Y$33),0))</f>
        <v>225</v>
      </c>
      <c r="Z34" s="6" cm="1">
        <f t="array" ref="Z34">INDEX($L$4:$L$444,MATCH(1,($C$4:$C$444=$Q34)*($B$4:$B$444=Z$33),0))</f>
        <v>225</v>
      </c>
      <c r="AA34" s="6" cm="1">
        <f t="array" ref="AA34">INDEX($L$4:$L$444,MATCH(1,($C$4:$C$444=$Q34)*($B$4:$B$444=AA$33),0))</f>
        <v>225</v>
      </c>
      <c r="AB34" s="6" cm="1">
        <f t="array" ref="AB34">INDEX($L$4:$L$444,MATCH(1,($C$4:$C$444=$Q34)*($B$4:$B$444=AB$33),0))</f>
        <v>225</v>
      </c>
      <c r="AC34" s="6" cm="1">
        <f t="array" ref="AC34">INDEX($L$4:$L$444,MATCH(1,($C$4:$C$444=$Q34)*($B$4:$B$444=AC$33),0))</f>
        <v>225</v>
      </c>
      <c r="AD34" s="6" cm="1">
        <f t="array" ref="AD34">INDEX($L$4:$L$444,MATCH(1,($C$4:$C$444=$Q34)*($B$4:$B$444=AD$33),0))</f>
        <v>225</v>
      </c>
      <c r="AE34" s="6" cm="1">
        <f t="array" ref="AE34">INDEX($L$4:$L$444,MATCH(1,($C$4:$C$444=$Q34)*($B$4:$B$444=AE$33),0))</f>
        <v>225</v>
      </c>
      <c r="AF34" s="6" cm="1">
        <f t="array" ref="AF34">INDEX($L$4:$L$444,MATCH(1,($C$4:$C$444=$Q34)*($B$4:$B$444=AF$33),0))</f>
        <v>225</v>
      </c>
      <c r="AG34" s="6" cm="1">
        <f t="array" ref="AG34">INDEX($L$4:$L$444,MATCH(1,($C$4:$C$444=$Q34)*($B$4:$B$444=AG$33),0))</f>
        <v>225</v>
      </c>
      <c r="AH34" s="6" cm="1">
        <f t="array" ref="AH34">INDEX($L$4:$L$444,MATCH(1,($C$4:$C$444=$Q34)*($B$4:$B$444=AH$33),0))</f>
        <v>225</v>
      </c>
      <c r="AI34" s="6" cm="1">
        <f t="array" ref="AI34">INDEX($L$4:$L$444,MATCH(1,($C$4:$C$444=$Q34)*($B$4:$B$444=AI$33),0))</f>
        <v>225</v>
      </c>
      <c r="AJ34" s="6" cm="1">
        <f t="array" ref="AJ34">INDEX($L$4:$L$444,MATCH(1,($C$4:$C$444=$Q34)*($B$4:$B$444=AJ$33),0))</f>
        <v>225</v>
      </c>
      <c r="AK34" s="6" cm="1">
        <f t="array" ref="AK34">INDEX($L$4:$L$444,MATCH(1,($C$4:$C$444=$Q34)*($B$4:$B$444=AK$33),0))</f>
        <v>225</v>
      </c>
      <c r="AL34" s="6" cm="1">
        <f t="array" ref="AL34">INDEX($L$4:$L$444,MATCH(1,($C$4:$C$444=$Q34)*($B$4:$B$444=AL$33),0))</f>
        <v>225</v>
      </c>
      <c r="AM34" s="6" cm="1">
        <f t="array" ref="AM34">INDEX($L$4:$L$444,MATCH(1,($C$4:$C$444=$Q34)*($B$4:$B$444=AM$33),0))</f>
        <v>225</v>
      </c>
      <c r="AN34" s="6" cm="1">
        <f t="array" ref="AN34">INDEX($L$4:$L$444,MATCH(1,($C$4:$C$444=$Q34)*($B$4:$B$444=AN$33),0))</f>
        <v>44.999999999999993</v>
      </c>
      <c r="AO34" s="7" t="s">
        <v>107</v>
      </c>
      <c r="AP34" s="4"/>
      <c r="AQ34" s="4"/>
    </row>
    <row r="35" spans="2:43" x14ac:dyDescent="0.25">
      <c r="B35" s="2" t="s">
        <v>85</v>
      </c>
      <c r="C35" t="s">
        <v>13</v>
      </c>
      <c r="D35" t="s">
        <v>36</v>
      </c>
      <c r="E35" t="s">
        <v>64</v>
      </c>
      <c r="F35" t="s">
        <v>57</v>
      </c>
      <c r="G35">
        <v>45</v>
      </c>
      <c r="H35" t="s">
        <v>58</v>
      </c>
      <c r="I35">
        <v>45</v>
      </c>
      <c r="J35" t="s">
        <v>65</v>
      </c>
      <c r="L35">
        <f t="shared" si="0"/>
        <v>45</v>
      </c>
      <c r="O35" s="4" t="str" cm="1">
        <f t="array" ref="O35:O55">_xlfn.UNIQUE(B4:B444)</f>
        <v>18th</v>
      </c>
      <c r="P35" s="4"/>
      <c r="Q35" s="4" t="str">
        <v>B3011.011</v>
      </c>
      <c r="R35" s="4" t="str">
        <v>B3011.011    Concrete tile roof, tiles secured and compliant with UBC94</v>
      </c>
      <c r="S35" s="4" t="s">
        <v>30</v>
      </c>
      <c r="T35" s="16" t="str">
        <f t="shared" ref="T35:T57" si="2">RIGHT(S35,LEN(S35)-FIND(" ",S35))</f>
        <v xml:space="preserve">   Concrete tile roof, tiles secured and compliant with UBC94</v>
      </c>
      <c r="U35" s="6" t="str">
        <v>SF</v>
      </c>
      <c r="V35" s="6" cm="1">
        <f t="array" ref="V35">INDEX($L$4:$L$444,MATCH(1,($C$4:$C$444=$Q35)*($B$4:$B$444=V$33),0))</f>
        <v>60.75</v>
      </c>
      <c r="W35" s="6" cm="1">
        <f t="array" ref="W35">INDEX($L$4:$L$444,MATCH(1,($C$4:$C$444=$Q35)*($B$4:$B$444=W$33),0))</f>
        <v>60.75</v>
      </c>
      <c r="X35" s="6" cm="1">
        <f t="array" ref="X35">INDEX($L$4:$L$444,MATCH(1,($C$4:$C$444=$Q35)*($B$4:$B$444=X$33),0))</f>
        <v>60.75</v>
      </c>
      <c r="Y35" s="6" cm="1">
        <f t="array" ref="Y35">INDEX($L$4:$L$444,MATCH(1,($C$4:$C$444=$Q35)*($B$4:$B$444=Y$33),0))</f>
        <v>60.75</v>
      </c>
      <c r="Z35" s="6" cm="1">
        <f t="array" ref="Z35">INDEX($L$4:$L$444,MATCH(1,($C$4:$C$444=$Q35)*($B$4:$B$444=Z$33),0))</f>
        <v>60.75</v>
      </c>
      <c r="AA35" s="6" cm="1">
        <f t="array" ref="AA35">INDEX($L$4:$L$444,MATCH(1,($C$4:$C$444=$Q35)*($B$4:$B$444=AA$33),0))</f>
        <v>60.75</v>
      </c>
      <c r="AB35" s="6" cm="1">
        <f t="array" ref="AB35">INDEX($L$4:$L$444,MATCH(1,($C$4:$C$444=$Q35)*($B$4:$B$444=AB$33),0))</f>
        <v>60.75</v>
      </c>
      <c r="AC35" s="6" cm="1">
        <f t="array" ref="AC35">INDEX($L$4:$L$444,MATCH(1,($C$4:$C$444=$Q35)*($B$4:$B$444=AC$33),0))</f>
        <v>60.75</v>
      </c>
      <c r="AD35" s="6" cm="1">
        <f t="array" ref="AD35">INDEX($L$4:$L$444,MATCH(1,($C$4:$C$444=$Q35)*($B$4:$B$444=AD$33),0))</f>
        <v>60.75</v>
      </c>
      <c r="AE35" s="6" cm="1">
        <f t="array" ref="AE35">INDEX($L$4:$L$444,MATCH(1,($C$4:$C$444=$Q35)*($B$4:$B$444=AE$33),0))</f>
        <v>60.75</v>
      </c>
      <c r="AF35" s="6" cm="1">
        <f t="array" ref="AF35">INDEX($L$4:$L$444,MATCH(1,($C$4:$C$444=$Q35)*($B$4:$B$444=AF$33),0))</f>
        <v>60.75</v>
      </c>
      <c r="AG35" s="6" cm="1">
        <f t="array" ref="AG35">INDEX($L$4:$L$444,MATCH(1,($C$4:$C$444=$Q35)*($B$4:$B$444=AG$33),0))</f>
        <v>60.75</v>
      </c>
      <c r="AH35" s="6" cm="1">
        <f t="array" ref="AH35">INDEX($L$4:$L$444,MATCH(1,($C$4:$C$444=$Q35)*($B$4:$B$444=AH$33),0))</f>
        <v>60.75</v>
      </c>
      <c r="AI35" s="6" cm="1">
        <f t="array" ref="AI35">INDEX($L$4:$L$444,MATCH(1,($C$4:$C$444=$Q35)*($B$4:$B$444=AI$33),0))</f>
        <v>60.75</v>
      </c>
      <c r="AJ35" s="6" cm="1">
        <f t="array" ref="AJ35">INDEX($L$4:$L$444,MATCH(1,($C$4:$C$444=$Q35)*($B$4:$B$444=AJ$33),0))</f>
        <v>60.75</v>
      </c>
      <c r="AK35" s="6" cm="1">
        <f t="array" ref="AK35">INDEX($L$4:$L$444,MATCH(1,($C$4:$C$444=$Q35)*($B$4:$B$444=AK$33),0))</f>
        <v>60.75</v>
      </c>
      <c r="AL35" s="6" cm="1">
        <f t="array" ref="AL35">INDEX($L$4:$L$444,MATCH(1,($C$4:$C$444=$Q35)*($B$4:$B$444=AL$33),0))</f>
        <v>60.75</v>
      </c>
      <c r="AM35" s="6" cm="1">
        <f t="array" ref="AM35">INDEX($L$4:$L$444,MATCH(1,($C$4:$C$444=$Q35)*($B$4:$B$444=AM$33),0))</f>
        <v>60.75</v>
      </c>
      <c r="AN35" s="6" cm="1">
        <f t="array" ref="AN35">INDEX($L$4:$L$444,MATCH(1,($C$4:$C$444=$Q35)*($B$4:$B$444=AN$33),0))</f>
        <v>112.5</v>
      </c>
      <c r="AO35" s="7" t="s">
        <v>107</v>
      </c>
      <c r="AP35" s="4"/>
      <c r="AQ35" s="4"/>
    </row>
    <row r="36" spans="2:43" x14ac:dyDescent="0.25">
      <c r="B36" s="2" t="s">
        <v>85</v>
      </c>
      <c r="C36" t="s">
        <v>14</v>
      </c>
      <c r="D36" t="s">
        <v>37</v>
      </c>
      <c r="E36" t="s">
        <v>66</v>
      </c>
      <c r="F36" t="s">
        <v>57</v>
      </c>
      <c r="G36">
        <v>0.94499999999999995</v>
      </c>
      <c r="H36" t="s">
        <v>58</v>
      </c>
      <c r="I36">
        <v>945</v>
      </c>
      <c r="J36" t="s">
        <v>62</v>
      </c>
      <c r="L36">
        <f t="shared" si="0"/>
        <v>0.94499999999999995</v>
      </c>
      <c r="O36" s="4" t="str">
        <v>17th</v>
      </c>
      <c r="P36" s="4"/>
      <c r="Q36" s="4" t="str">
        <v>C1011.001a</v>
      </c>
      <c r="R36" s="4" t="str">
        <v>C1011.001a    Wall Partition, Type: Gypsum with metal studs, Full Height, Fixed Below, Fixed Above</v>
      </c>
      <c r="S36" s="4" t="s">
        <v>31</v>
      </c>
      <c r="T36" s="16" t="str">
        <f t="shared" si="2"/>
        <v xml:space="preserve">   Wall Partition, Type: Gypsum with metal studs, Full Height, Fixed Below, Fixed Above</v>
      </c>
      <c r="U36" s="6" t="str">
        <v>LF</v>
      </c>
      <c r="V36" s="6" cm="1">
        <f t="array" ref="V36">INDEX($L$4:$L$444,MATCH(1,($C$4:$C$444=$Q36)*($B$4:$B$444=V$33),0))</f>
        <v>22.5</v>
      </c>
      <c r="W36" s="6" cm="1">
        <f t="array" ref="W36">INDEX($L$4:$L$444,MATCH(1,($C$4:$C$444=$Q36)*($B$4:$B$444=W$33),0))</f>
        <v>22.5</v>
      </c>
      <c r="X36" s="6" cm="1">
        <f t="array" ref="X36">INDEX($L$4:$L$444,MATCH(1,($C$4:$C$444=$Q36)*($B$4:$B$444=X$33),0))</f>
        <v>22.5</v>
      </c>
      <c r="Y36" s="6" cm="1">
        <f t="array" ref="Y36">INDEX($L$4:$L$444,MATCH(1,($C$4:$C$444=$Q36)*($B$4:$B$444=Y$33),0))</f>
        <v>22.5</v>
      </c>
      <c r="Z36" s="6" cm="1">
        <f t="array" ref="Z36">INDEX($L$4:$L$444,MATCH(1,($C$4:$C$444=$Q36)*($B$4:$B$444=Z$33),0))</f>
        <v>22.5</v>
      </c>
      <c r="AA36" s="6" cm="1">
        <f t="array" ref="AA36">INDEX($L$4:$L$444,MATCH(1,($C$4:$C$444=$Q36)*($B$4:$B$444=AA$33),0))</f>
        <v>22.5</v>
      </c>
      <c r="AB36" s="6" cm="1">
        <f t="array" ref="AB36">INDEX($L$4:$L$444,MATCH(1,($C$4:$C$444=$Q36)*($B$4:$B$444=AB$33),0))</f>
        <v>22.5</v>
      </c>
      <c r="AC36" s="6" cm="1">
        <f t="array" ref="AC36">INDEX($L$4:$L$444,MATCH(1,($C$4:$C$444=$Q36)*($B$4:$B$444=AC$33),0))</f>
        <v>22.5</v>
      </c>
      <c r="AD36" s="6" cm="1">
        <f t="array" ref="AD36">INDEX($L$4:$L$444,MATCH(1,($C$4:$C$444=$Q36)*($B$4:$B$444=AD$33),0))</f>
        <v>22.5</v>
      </c>
      <c r="AE36" s="6" cm="1">
        <f t="array" ref="AE36">INDEX($L$4:$L$444,MATCH(1,($C$4:$C$444=$Q36)*($B$4:$B$444=AE$33),0))</f>
        <v>22.5</v>
      </c>
      <c r="AF36" s="6" cm="1">
        <f t="array" ref="AF36">INDEX($L$4:$L$444,MATCH(1,($C$4:$C$444=$Q36)*($B$4:$B$444=AF$33),0))</f>
        <v>22.5</v>
      </c>
      <c r="AG36" s="6" cm="1">
        <f t="array" ref="AG36">INDEX($L$4:$L$444,MATCH(1,($C$4:$C$444=$Q36)*($B$4:$B$444=AG$33),0))</f>
        <v>22.5</v>
      </c>
      <c r="AH36" s="6" cm="1">
        <f t="array" ref="AH36">INDEX($L$4:$L$444,MATCH(1,($C$4:$C$444=$Q36)*($B$4:$B$444=AH$33),0))</f>
        <v>22.5</v>
      </c>
      <c r="AI36" s="6" cm="1">
        <f t="array" ref="AI36">INDEX($L$4:$L$444,MATCH(1,($C$4:$C$444=$Q36)*($B$4:$B$444=AI$33),0))</f>
        <v>22.5</v>
      </c>
      <c r="AJ36" s="6" cm="1">
        <f t="array" ref="AJ36">INDEX($L$4:$L$444,MATCH(1,($C$4:$C$444=$Q36)*($B$4:$B$444=AJ$33),0))</f>
        <v>22.5</v>
      </c>
      <c r="AK36" s="6" cm="1">
        <f t="array" ref="AK36">INDEX($L$4:$L$444,MATCH(1,($C$4:$C$444=$Q36)*($B$4:$B$444=AK$33),0))</f>
        <v>22.5</v>
      </c>
      <c r="AL36" s="6" cm="1">
        <f t="array" ref="AL36">INDEX($L$4:$L$444,MATCH(1,($C$4:$C$444=$Q36)*($B$4:$B$444=AL$33),0))</f>
        <v>22.5</v>
      </c>
      <c r="AM36" s="6" cm="1">
        <f t="array" ref="AM36">INDEX($L$4:$L$444,MATCH(1,($C$4:$C$444=$Q36)*($B$4:$B$444=AM$33),0))</f>
        <v>22.5</v>
      </c>
      <c r="AN36" s="6" cm="1">
        <f t="array" ref="AN36">INDEX($L$4:$L$444,MATCH(1,($C$4:$C$444=$Q36)*($B$4:$B$444=AN$33),0))</f>
        <v>2.25</v>
      </c>
      <c r="AO36" s="7" t="s">
        <v>107</v>
      </c>
      <c r="AP36" s="4"/>
      <c r="AQ36" s="4"/>
    </row>
    <row r="37" spans="2:43" x14ac:dyDescent="0.25">
      <c r="B37" s="2" t="s">
        <v>85</v>
      </c>
      <c r="C37" t="s">
        <v>15</v>
      </c>
      <c r="D37" t="s">
        <v>38</v>
      </c>
      <c r="E37" t="s">
        <v>66</v>
      </c>
      <c r="F37" t="s">
        <v>57</v>
      </c>
      <c r="G37">
        <v>0.45</v>
      </c>
      <c r="H37" t="s">
        <v>58</v>
      </c>
      <c r="I37">
        <v>450</v>
      </c>
      <c r="J37" t="s">
        <v>62</v>
      </c>
      <c r="L37">
        <f t="shared" si="0"/>
        <v>0.45</v>
      </c>
      <c r="O37" s="4" t="str">
        <v>16th</v>
      </c>
      <c r="P37" s="4"/>
      <c r="Q37" s="4" t="str">
        <v>C3011.001a</v>
      </c>
      <c r="R37" s="4" t="str">
        <v>C3011.001a    Wall Partition, Type: Gypsum + Wallpaper, Full Height, Fixed Below, Fixed Above</v>
      </c>
      <c r="S37" s="4" t="s">
        <v>32</v>
      </c>
      <c r="T37" s="16" t="str">
        <f t="shared" si="2"/>
        <v xml:space="preserve">   Wall Partition, Type: Gypsum + Wallpaper, Full Height, Fixed Below, Fixed Above</v>
      </c>
      <c r="U37" s="6" t="str">
        <v>LF</v>
      </c>
      <c r="V37" s="6" cm="1">
        <f t="array" ref="V37">INDEX($L$4:$L$444,MATCH(1,($C$4:$C$444=$Q37)*($B$4:$B$444=V$33),0))</f>
        <v>1.7010000000000003</v>
      </c>
      <c r="W37" s="6" cm="1">
        <f t="array" ref="W37">INDEX($L$4:$L$444,MATCH(1,($C$4:$C$444=$Q37)*($B$4:$B$444=W$33),0))</f>
        <v>1.7010000000000003</v>
      </c>
      <c r="X37" s="6" cm="1">
        <f t="array" ref="X37">INDEX($L$4:$L$444,MATCH(1,($C$4:$C$444=$Q37)*($B$4:$B$444=X$33),0))</f>
        <v>1.7010000000000003</v>
      </c>
      <c r="Y37" s="6" cm="1">
        <f t="array" ref="Y37">INDEX($L$4:$L$444,MATCH(1,($C$4:$C$444=$Q37)*($B$4:$B$444=Y$33),0))</f>
        <v>1.7010000000000003</v>
      </c>
      <c r="Z37" s="6" cm="1">
        <f t="array" ref="Z37">INDEX($L$4:$L$444,MATCH(1,($C$4:$C$444=$Q37)*($B$4:$B$444=Z$33),0))</f>
        <v>1.7010000000000003</v>
      </c>
      <c r="AA37" s="6" cm="1">
        <f t="array" ref="AA37">INDEX($L$4:$L$444,MATCH(1,($C$4:$C$444=$Q37)*($B$4:$B$444=AA$33),0))</f>
        <v>1.7010000000000003</v>
      </c>
      <c r="AB37" s="6" cm="1">
        <f t="array" ref="AB37">INDEX($L$4:$L$444,MATCH(1,($C$4:$C$444=$Q37)*($B$4:$B$444=AB$33),0))</f>
        <v>1.7010000000000003</v>
      </c>
      <c r="AC37" s="6" cm="1">
        <f t="array" ref="AC37">INDEX($L$4:$L$444,MATCH(1,($C$4:$C$444=$Q37)*($B$4:$B$444=AC$33),0))</f>
        <v>1.7010000000000003</v>
      </c>
      <c r="AD37" s="6" cm="1">
        <f t="array" ref="AD37">INDEX($L$4:$L$444,MATCH(1,($C$4:$C$444=$Q37)*($B$4:$B$444=AD$33),0))</f>
        <v>1.7010000000000003</v>
      </c>
      <c r="AE37" s="6" cm="1">
        <f t="array" ref="AE37">INDEX($L$4:$L$444,MATCH(1,($C$4:$C$444=$Q37)*($B$4:$B$444=AE$33),0))</f>
        <v>1.7010000000000003</v>
      </c>
      <c r="AF37" s="6" cm="1">
        <f t="array" ref="AF37">INDEX($L$4:$L$444,MATCH(1,($C$4:$C$444=$Q37)*($B$4:$B$444=AF$33),0))</f>
        <v>1.7010000000000003</v>
      </c>
      <c r="AG37" s="6" cm="1">
        <f t="array" ref="AG37">INDEX($L$4:$L$444,MATCH(1,($C$4:$C$444=$Q37)*($B$4:$B$444=AG$33),0))</f>
        <v>1.7010000000000003</v>
      </c>
      <c r="AH37" s="6" cm="1">
        <f t="array" ref="AH37">INDEX($L$4:$L$444,MATCH(1,($C$4:$C$444=$Q37)*($B$4:$B$444=AH$33),0))</f>
        <v>1.7010000000000003</v>
      </c>
      <c r="AI37" s="6" cm="1">
        <f t="array" ref="AI37">INDEX($L$4:$L$444,MATCH(1,($C$4:$C$444=$Q37)*($B$4:$B$444=AI$33),0))</f>
        <v>1.7010000000000003</v>
      </c>
      <c r="AJ37" s="6" cm="1">
        <f t="array" ref="AJ37">INDEX($L$4:$L$444,MATCH(1,($C$4:$C$444=$Q37)*($B$4:$B$444=AJ$33),0))</f>
        <v>1.7010000000000003</v>
      </c>
      <c r="AK37" s="6" cm="1">
        <f t="array" ref="AK37">INDEX($L$4:$L$444,MATCH(1,($C$4:$C$444=$Q37)*($B$4:$B$444=AK$33),0))</f>
        <v>1.7010000000000003</v>
      </c>
      <c r="AL37" s="6" cm="1">
        <f t="array" ref="AL37">INDEX($L$4:$L$444,MATCH(1,($C$4:$C$444=$Q37)*($B$4:$B$444=AL$33),0))</f>
        <v>1.7010000000000003</v>
      </c>
      <c r="AM37" s="6" cm="1">
        <f t="array" ref="AM37">INDEX($L$4:$L$444,MATCH(1,($C$4:$C$444=$Q37)*($B$4:$B$444=AM$33),0))</f>
        <v>1.7010000000000003</v>
      </c>
      <c r="AN37" s="6" cm="1">
        <f t="array" ref="AN37">INDEX($L$4:$L$444,MATCH(1,($C$4:$C$444=$Q37)*($B$4:$B$444=AN$33),0))</f>
        <v>2.4299999999999997</v>
      </c>
      <c r="AO37" s="7" t="s">
        <v>107</v>
      </c>
      <c r="AP37" s="4"/>
      <c r="AQ37" s="4"/>
    </row>
    <row r="38" spans="2:43" x14ac:dyDescent="0.25">
      <c r="B38" s="2" t="s">
        <v>85</v>
      </c>
      <c r="C38" t="s">
        <v>16</v>
      </c>
      <c r="D38" t="s">
        <v>39</v>
      </c>
      <c r="E38" t="s">
        <v>66</v>
      </c>
      <c r="F38" t="s">
        <v>57</v>
      </c>
      <c r="G38">
        <v>1.6874999999999998</v>
      </c>
      <c r="H38" t="s">
        <v>58</v>
      </c>
      <c r="I38">
        <v>1687.4999999999998</v>
      </c>
      <c r="J38" t="s">
        <v>62</v>
      </c>
      <c r="L38">
        <f t="shared" si="0"/>
        <v>1.6874999999999998</v>
      </c>
      <c r="O38" s="4" t="str">
        <v>15th</v>
      </c>
      <c r="P38" s="4"/>
      <c r="Q38" s="4" t="str">
        <v>C3027.001</v>
      </c>
      <c r="R38" s="4" t="str">
        <v>C3027.001    Raised Access Floor, non seismically rated.</v>
      </c>
      <c r="S38" s="4" t="s">
        <v>33</v>
      </c>
      <c r="T38" s="16" t="str">
        <f t="shared" si="2"/>
        <v xml:space="preserve">   Raised Access Floor, non seismically rated.</v>
      </c>
      <c r="U38" s="6" t="str">
        <v>SF</v>
      </c>
      <c r="V38" s="6" cm="1">
        <f t="array" ref="V38">INDEX($L$4:$L$444,MATCH(1,($C$4:$C$444=$Q38)*($B$4:$B$444=V$33),0))</f>
        <v>168.75</v>
      </c>
      <c r="W38" s="6" cm="1">
        <f t="array" ref="W38">INDEX($L$4:$L$444,MATCH(1,($C$4:$C$444=$Q38)*($B$4:$B$444=W$33),0))</f>
        <v>168.75</v>
      </c>
      <c r="X38" s="6" cm="1">
        <f t="array" ref="X38">INDEX($L$4:$L$444,MATCH(1,($C$4:$C$444=$Q38)*($B$4:$B$444=X$33),0))</f>
        <v>168.75</v>
      </c>
      <c r="Y38" s="6" cm="1">
        <f t="array" ref="Y38">INDEX($L$4:$L$444,MATCH(1,($C$4:$C$444=$Q38)*($B$4:$B$444=Y$33),0))</f>
        <v>168.75</v>
      </c>
      <c r="Z38" s="6" cm="1">
        <f t="array" ref="Z38">INDEX($L$4:$L$444,MATCH(1,($C$4:$C$444=$Q38)*($B$4:$B$444=Z$33),0))</f>
        <v>168.75</v>
      </c>
      <c r="AA38" s="6" cm="1">
        <f t="array" ref="AA38">INDEX($L$4:$L$444,MATCH(1,($C$4:$C$444=$Q38)*($B$4:$B$444=AA$33),0))</f>
        <v>168.75</v>
      </c>
      <c r="AB38" s="6" cm="1">
        <f t="array" ref="AB38">INDEX($L$4:$L$444,MATCH(1,($C$4:$C$444=$Q38)*($B$4:$B$444=AB$33),0))</f>
        <v>168.75</v>
      </c>
      <c r="AC38" s="6" cm="1">
        <f t="array" ref="AC38">INDEX($L$4:$L$444,MATCH(1,($C$4:$C$444=$Q38)*($B$4:$B$444=AC$33),0))</f>
        <v>168.75</v>
      </c>
      <c r="AD38" s="6" cm="1">
        <f t="array" ref="AD38">INDEX($L$4:$L$444,MATCH(1,($C$4:$C$444=$Q38)*($B$4:$B$444=AD$33),0))</f>
        <v>168.75</v>
      </c>
      <c r="AE38" s="6" cm="1">
        <f t="array" ref="AE38">INDEX($L$4:$L$444,MATCH(1,($C$4:$C$444=$Q38)*($B$4:$B$444=AE$33),0))</f>
        <v>168.75</v>
      </c>
      <c r="AF38" s="6" cm="1">
        <f t="array" ref="AF38">INDEX($L$4:$L$444,MATCH(1,($C$4:$C$444=$Q38)*($B$4:$B$444=AF$33),0))</f>
        <v>168.75</v>
      </c>
      <c r="AG38" s="6" cm="1">
        <f t="array" ref="AG38">INDEX($L$4:$L$444,MATCH(1,($C$4:$C$444=$Q38)*($B$4:$B$444=AG$33),0))</f>
        <v>168.75</v>
      </c>
      <c r="AH38" s="6" cm="1">
        <f t="array" ref="AH38">INDEX($L$4:$L$444,MATCH(1,($C$4:$C$444=$Q38)*($B$4:$B$444=AH$33),0))</f>
        <v>168.75</v>
      </c>
      <c r="AI38" s="6" cm="1">
        <f t="array" ref="AI38">INDEX($L$4:$L$444,MATCH(1,($C$4:$C$444=$Q38)*($B$4:$B$444=AI$33),0))</f>
        <v>168.75</v>
      </c>
      <c r="AJ38" s="6" cm="1">
        <f t="array" ref="AJ38">INDEX($L$4:$L$444,MATCH(1,($C$4:$C$444=$Q38)*($B$4:$B$444=AJ$33),0))</f>
        <v>168.75</v>
      </c>
      <c r="AK38" s="6" cm="1">
        <f t="array" ref="AK38">INDEX($L$4:$L$444,MATCH(1,($C$4:$C$444=$Q38)*($B$4:$B$444=AK$33),0))</f>
        <v>168.75</v>
      </c>
      <c r="AL38" s="6" cm="1">
        <f t="array" ref="AL38">INDEX($L$4:$L$444,MATCH(1,($C$4:$C$444=$Q38)*($B$4:$B$444=AL$33),0))</f>
        <v>168.75</v>
      </c>
      <c r="AM38" s="6" cm="1">
        <f t="array" ref="AM38">INDEX($L$4:$L$444,MATCH(1,($C$4:$C$444=$Q38)*($B$4:$B$444=AM$33),0))</f>
        <v>168.75</v>
      </c>
      <c r="AN38" s="7" t="s">
        <v>107</v>
      </c>
      <c r="AO38" s="7" t="s">
        <v>107</v>
      </c>
      <c r="AP38" s="4"/>
      <c r="AQ38" s="4"/>
    </row>
    <row r="39" spans="2:43" x14ac:dyDescent="0.25">
      <c r="B39" s="2" t="s">
        <v>85</v>
      </c>
      <c r="C39" t="s">
        <v>17</v>
      </c>
      <c r="D39" t="s">
        <v>40</v>
      </c>
      <c r="E39" t="s">
        <v>67</v>
      </c>
      <c r="F39" t="s">
        <v>57</v>
      </c>
      <c r="G39">
        <v>20.249999999999996</v>
      </c>
      <c r="H39" t="s">
        <v>58</v>
      </c>
      <c r="I39">
        <v>202.49999999999997</v>
      </c>
      <c r="J39" t="s">
        <v>65</v>
      </c>
      <c r="L39">
        <f t="shared" si="0"/>
        <v>20.249999999999996</v>
      </c>
      <c r="O39" s="4" t="str">
        <v>14th</v>
      </c>
      <c r="P39" s="4"/>
      <c r="Q39" s="4" t="str">
        <v>C3032.001a</v>
      </c>
      <c r="R39" s="4" t="str">
        <v>C3032.001a    Suspended Ceiling, SDC A,B,C, Area (A): A &lt; 250, Vert support only</v>
      </c>
      <c r="S39" s="4" t="s">
        <v>34</v>
      </c>
      <c r="T39" s="16" t="str">
        <f t="shared" si="2"/>
        <v xml:space="preserve">   Suspended Ceiling, SDC A,B,C, Area (A): A &lt; 250, Vert support only</v>
      </c>
      <c r="U39" s="6" t="str">
        <v>SF</v>
      </c>
      <c r="V39" s="6" cm="1">
        <f t="array" ref="V39">INDEX($L$4:$L$444,MATCH(1,($C$4:$C$444=$Q39)*($B$4:$B$444=V$33),0))</f>
        <v>81</v>
      </c>
      <c r="W39" s="6" cm="1">
        <f t="array" ref="W39">INDEX($L$4:$L$444,MATCH(1,($C$4:$C$444=$Q39)*($B$4:$B$444=W$33),0))</f>
        <v>81</v>
      </c>
      <c r="X39" s="6" cm="1">
        <f t="array" ref="X39">INDEX($L$4:$L$444,MATCH(1,($C$4:$C$444=$Q39)*($B$4:$B$444=X$33),0))</f>
        <v>81</v>
      </c>
      <c r="Y39" s="6" cm="1">
        <f t="array" ref="Y39">INDEX($L$4:$L$444,MATCH(1,($C$4:$C$444=$Q39)*($B$4:$B$444=Y$33),0))</f>
        <v>81</v>
      </c>
      <c r="Z39" s="6" cm="1">
        <f t="array" ref="Z39">INDEX($L$4:$L$444,MATCH(1,($C$4:$C$444=$Q39)*($B$4:$B$444=Z$33),0))</f>
        <v>81</v>
      </c>
      <c r="AA39" s="6" cm="1">
        <f t="array" ref="AA39">INDEX($L$4:$L$444,MATCH(1,($C$4:$C$444=$Q39)*($B$4:$B$444=AA$33),0))</f>
        <v>81</v>
      </c>
      <c r="AB39" s="6" cm="1">
        <f t="array" ref="AB39">INDEX($L$4:$L$444,MATCH(1,($C$4:$C$444=$Q39)*($B$4:$B$444=AB$33),0))</f>
        <v>81</v>
      </c>
      <c r="AC39" s="6" cm="1">
        <f t="array" ref="AC39">INDEX($L$4:$L$444,MATCH(1,($C$4:$C$444=$Q39)*($B$4:$B$444=AC$33),0))</f>
        <v>81</v>
      </c>
      <c r="AD39" s="6" cm="1">
        <f t="array" ref="AD39">INDEX($L$4:$L$444,MATCH(1,($C$4:$C$444=$Q39)*($B$4:$B$444=AD$33),0))</f>
        <v>81</v>
      </c>
      <c r="AE39" s="6" cm="1">
        <f t="array" ref="AE39">INDEX($L$4:$L$444,MATCH(1,($C$4:$C$444=$Q39)*($B$4:$B$444=AE$33),0))</f>
        <v>81</v>
      </c>
      <c r="AF39" s="6" cm="1">
        <f t="array" ref="AF39">INDEX($L$4:$L$444,MATCH(1,($C$4:$C$444=$Q39)*($B$4:$B$444=AF$33),0))</f>
        <v>81</v>
      </c>
      <c r="AG39" s="6" cm="1">
        <f t="array" ref="AG39">INDEX($L$4:$L$444,MATCH(1,($C$4:$C$444=$Q39)*($B$4:$B$444=AG$33),0))</f>
        <v>81</v>
      </c>
      <c r="AH39" s="6" cm="1">
        <f t="array" ref="AH39">INDEX($L$4:$L$444,MATCH(1,($C$4:$C$444=$Q39)*($B$4:$B$444=AH$33),0))</f>
        <v>81</v>
      </c>
      <c r="AI39" s="6" cm="1">
        <f t="array" ref="AI39">INDEX($L$4:$L$444,MATCH(1,($C$4:$C$444=$Q39)*($B$4:$B$444=AI$33),0))</f>
        <v>81</v>
      </c>
      <c r="AJ39" s="6" cm="1">
        <f t="array" ref="AJ39">INDEX($L$4:$L$444,MATCH(1,($C$4:$C$444=$Q39)*($B$4:$B$444=AJ$33),0))</f>
        <v>81</v>
      </c>
      <c r="AK39" s="6" cm="1">
        <f t="array" ref="AK39">INDEX($L$4:$L$444,MATCH(1,($C$4:$C$444=$Q39)*($B$4:$B$444=AK$33),0))</f>
        <v>81</v>
      </c>
      <c r="AL39" s="6" cm="1">
        <f t="array" ref="AL39">INDEX($L$4:$L$444,MATCH(1,($C$4:$C$444=$Q39)*($B$4:$B$444=AL$33),0))</f>
        <v>81</v>
      </c>
      <c r="AM39" s="6" cm="1">
        <f t="array" ref="AM39">INDEX($L$4:$L$444,MATCH(1,($C$4:$C$444=$Q39)*($B$4:$B$444=AM$33),0))</f>
        <v>81</v>
      </c>
      <c r="AN39" s="6" cm="1">
        <f t="array" ref="AN39">INDEX($L$4:$L$444,MATCH(1,($C$4:$C$444=$Q39)*($B$4:$B$444=AN$33),0))</f>
        <v>81</v>
      </c>
      <c r="AO39" s="7" t="s">
        <v>107</v>
      </c>
      <c r="AP39" s="4"/>
      <c r="AQ39" s="4"/>
    </row>
    <row r="40" spans="2:43" x14ac:dyDescent="0.25">
      <c r="B40" s="2" t="s">
        <v>85</v>
      </c>
      <c r="C40" t="s">
        <v>18</v>
      </c>
      <c r="D40" t="s">
        <v>41</v>
      </c>
      <c r="E40" t="s">
        <v>67</v>
      </c>
      <c r="F40" t="s">
        <v>57</v>
      </c>
      <c r="G40">
        <v>11.25</v>
      </c>
      <c r="H40" t="s">
        <v>58</v>
      </c>
      <c r="I40">
        <v>112.5</v>
      </c>
      <c r="J40" t="s">
        <v>65</v>
      </c>
      <c r="L40">
        <f t="shared" si="0"/>
        <v>11.25</v>
      </c>
      <c r="O40" s="4" t="str">
        <v>13th</v>
      </c>
      <c r="P40" s="4"/>
      <c r="Q40" s="4" t="str">
        <v>E2022.112a</v>
      </c>
      <c r="R40" s="4" t="str">
        <v>E2022.112a    Vertical Filing Cabinet, 2 drawer, unanchored laterally</v>
      </c>
      <c r="S40" s="4" t="s">
        <v>35</v>
      </c>
      <c r="T40" s="16" t="str">
        <f t="shared" si="2"/>
        <v xml:space="preserve">   Vertical Filing Cabinet, 2 drawer, unanchored laterally</v>
      </c>
      <c r="U40" s="6" t="str">
        <v>EA</v>
      </c>
      <c r="V40" s="6" cm="1">
        <f t="array" ref="V40">INDEX($L$4:$L$444,MATCH(1,($C$4:$C$444=$Q40)*($B$4:$B$444=V$33),0))</f>
        <v>18</v>
      </c>
      <c r="W40" s="6" cm="1">
        <f t="array" ref="W40">INDEX($L$4:$L$444,MATCH(1,($C$4:$C$444=$Q40)*($B$4:$B$444=W$33),0))</f>
        <v>18</v>
      </c>
      <c r="X40" s="6" cm="1">
        <f t="array" ref="X40">INDEX($L$4:$L$444,MATCH(1,($C$4:$C$444=$Q40)*($B$4:$B$444=X$33),0))</f>
        <v>18</v>
      </c>
      <c r="Y40" s="6" cm="1">
        <f t="array" ref="Y40">INDEX($L$4:$L$444,MATCH(1,($C$4:$C$444=$Q40)*($B$4:$B$444=Y$33),0))</f>
        <v>18</v>
      </c>
      <c r="Z40" s="6" cm="1">
        <f t="array" ref="Z40">INDEX($L$4:$L$444,MATCH(1,($C$4:$C$444=$Q40)*($B$4:$B$444=Z$33),0))</f>
        <v>18</v>
      </c>
      <c r="AA40" s="6" cm="1">
        <f t="array" ref="AA40">INDEX($L$4:$L$444,MATCH(1,($C$4:$C$444=$Q40)*($B$4:$B$444=AA$33),0))</f>
        <v>18</v>
      </c>
      <c r="AB40" s="6" cm="1">
        <f t="array" ref="AB40">INDEX($L$4:$L$444,MATCH(1,($C$4:$C$444=$Q40)*($B$4:$B$444=AB$33),0))</f>
        <v>18</v>
      </c>
      <c r="AC40" s="6" cm="1">
        <f t="array" ref="AC40">INDEX($L$4:$L$444,MATCH(1,($C$4:$C$444=$Q40)*($B$4:$B$444=AC$33),0))</f>
        <v>18</v>
      </c>
      <c r="AD40" s="6" cm="1">
        <f t="array" ref="AD40">INDEX($L$4:$L$444,MATCH(1,($C$4:$C$444=$Q40)*($B$4:$B$444=AD$33),0))</f>
        <v>18</v>
      </c>
      <c r="AE40" s="6" cm="1">
        <f t="array" ref="AE40">INDEX($L$4:$L$444,MATCH(1,($C$4:$C$444=$Q40)*($B$4:$B$444=AE$33),0))</f>
        <v>18</v>
      </c>
      <c r="AF40" s="6" cm="1">
        <f t="array" ref="AF40">INDEX($L$4:$L$444,MATCH(1,($C$4:$C$444=$Q40)*($B$4:$B$444=AF$33),0))</f>
        <v>18</v>
      </c>
      <c r="AG40" s="6" cm="1">
        <f t="array" ref="AG40">INDEX($L$4:$L$444,MATCH(1,($C$4:$C$444=$Q40)*($B$4:$B$444=AG$33),0))</f>
        <v>18</v>
      </c>
      <c r="AH40" s="6" cm="1">
        <f t="array" ref="AH40">INDEX($L$4:$L$444,MATCH(1,($C$4:$C$444=$Q40)*($B$4:$B$444=AH$33),0))</f>
        <v>18</v>
      </c>
      <c r="AI40" s="6" cm="1">
        <f t="array" ref="AI40">INDEX($L$4:$L$444,MATCH(1,($C$4:$C$444=$Q40)*($B$4:$B$444=AI$33),0))</f>
        <v>18</v>
      </c>
      <c r="AJ40" s="6" cm="1">
        <f t="array" ref="AJ40">INDEX($L$4:$L$444,MATCH(1,($C$4:$C$444=$Q40)*($B$4:$B$444=AJ$33),0))</f>
        <v>18</v>
      </c>
      <c r="AK40" s="6" cm="1">
        <f t="array" ref="AK40">INDEX($L$4:$L$444,MATCH(1,($C$4:$C$444=$Q40)*($B$4:$B$444=AK$33),0))</f>
        <v>18</v>
      </c>
      <c r="AL40" s="6" cm="1">
        <f t="array" ref="AL40">INDEX($L$4:$L$444,MATCH(1,($C$4:$C$444=$Q40)*($B$4:$B$444=AL$33),0))</f>
        <v>18</v>
      </c>
      <c r="AM40" s="6" cm="1">
        <f t="array" ref="AM40">INDEX($L$4:$L$444,MATCH(1,($C$4:$C$444=$Q40)*($B$4:$B$444=AM$33),0))</f>
        <v>18</v>
      </c>
      <c r="AN40" s="7" t="s">
        <v>107</v>
      </c>
      <c r="AO40" s="7" t="s">
        <v>107</v>
      </c>
      <c r="AP40" s="4"/>
      <c r="AQ40" s="4"/>
    </row>
    <row r="41" spans="2:43" x14ac:dyDescent="0.25">
      <c r="B41" s="2" t="s">
        <v>85</v>
      </c>
      <c r="C41" t="s">
        <v>18</v>
      </c>
      <c r="D41" t="s">
        <v>41</v>
      </c>
      <c r="E41" t="s">
        <v>67</v>
      </c>
      <c r="F41" t="s">
        <v>57</v>
      </c>
      <c r="G41">
        <v>4.5</v>
      </c>
      <c r="H41" t="s">
        <v>58</v>
      </c>
      <c r="I41">
        <v>45</v>
      </c>
      <c r="J41" t="s">
        <v>65</v>
      </c>
      <c r="L41">
        <f t="shared" si="0"/>
        <v>4.5</v>
      </c>
      <c r="O41" s="4" t="str">
        <v>12th</v>
      </c>
      <c r="P41" s="4"/>
      <c r="Q41" s="4" t="str">
        <v>E2022.102a</v>
      </c>
      <c r="R41" s="4" t="str">
        <v>E2022.102a    Bookcase, 2 shelves, unanchored laterally</v>
      </c>
      <c r="S41" s="4" t="s">
        <v>36</v>
      </c>
      <c r="T41" s="16" t="str">
        <f t="shared" si="2"/>
        <v xml:space="preserve">   Bookcase, 2 shelves, unanchored laterally</v>
      </c>
      <c r="U41" s="6" t="str">
        <v>EA</v>
      </c>
      <c r="V41" s="6" cm="1">
        <f t="array" ref="V41">INDEX($L$4:$L$444,MATCH(1,($C$4:$C$444=$Q41)*($B$4:$B$444=V$33),0))</f>
        <v>45</v>
      </c>
      <c r="W41" s="6" cm="1">
        <f t="array" ref="W41">INDEX($L$4:$L$444,MATCH(1,($C$4:$C$444=$Q41)*($B$4:$B$444=W$33),0))</f>
        <v>45</v>
      </c>
      <c r="X41" s="6" cm="1">
        <f t="array" ref="X41">INDEX($L$4:$L$444,MATCH(1,($C$4:$C$444=$Q41)*($B$4:$B$444=X$33),0))</f>
        <v>45</v>
      </c>
      <c r="Y41" s="6" cm="1">
        <f t="array" ref="Y41">INDEX($L$4:$L$444,MATCH(1,($C$4:$C$444=$Q41)*($B$4:$B$444=Y$33),0))</f>
        <v>45</v>
      </c>
      <c r="Z41" s="6" cm="1">
        <f t="array" ref="Z41">INDEX($L$4:$L$444,MATCH(1,($C$4:$C$444=$Q41)*($B$4:$B$444=Z$33),0))</f>
        <v>45</v>
      </c>
      <c r="AA41" s="6" cm="1">
        <f t="array" ref="AA41">INDEX($L$4:$L$444,MATCH(1,($C$4:$C$444=$Q41)*($B$4:$B$444=AA$33),0))</f>
        <v>45</v>
      </c>
      <c r="AB41" s="6" cm="1">
        <f t="array" ref="AB41">INDEX($L$4:$L$444,MATCH(1,($C$4:$C$444=$Q41)*($B$4:$B$444=AB$33),0))</f>
        <v>45</v>
      </c>
      <c r="AC41" s="6" cm="1">
        <f t="array" ref="AC41">INDEX($L$4:$L$444,MATCH(1,($C$4:$C$444=$Q41)*($B$4:$B$444=AC$33),0))</f>
        <v>45</v>
      </c>
      <c r="AD41" s="6" cm="1">
        <f t="array" ref="AD41">INDEX($L$4:$L$444,MATCH(1,($C$4:$C$444=$Q41)*($B$4:$B$444=AD$33),0))</f>
        <v>45</v>
      </c>
      <c r="AE41" s="6" cm="1">
        <f t="array" ref="AE41">INDEX($L$4:$L$444,MATCH(1,($C$4:$C$444=$Q41)*($B$4:$B$444=AE$33),0))</f>
        <v>45</v>
      </c>
      <c r="AF41" s="6" cm="1">
        <f t="array" ref="AF41">INDEX($L$4:$L$444,MATCH(1,($C$4:$C$444=$Q41)*($B$4:$B$444=AF$33),0))</f>
        <v>45</v>
      </c>
      <c r="AG41" s="6" cm="1">
        <f t="array" ref="AG41">INDEX($L$4:$L$444,MATCH(1,($C$4:$C$444=$Q41)*($B$4:$B$444=AG$33),0))</f>
        <v>45</v>
      </c>
      <c r="AH41" s="6" cm="1">
        <f t="array" ref="AH41">INDEX($L$4:$L$444,MATCH(1,($C$4:$C$444=$Q41)*($B$4:$B$444=AH$33),0))</f>
        <v>45</v>
      </c>
      <c r="AI41" s="6" cm="1">
        <f t="array" ref="AI41">INDEX($L$4:$L$444,MATCH(1,($C$4:$C$444=$Q41)*($B$4:$B$444=AI$33),0))</f>
        <v>45</v>
      </c>
      <c r="AJ41" s="6" cm="1">
        <f t="array" ref="AJ41">INDEX($L$4:$L$444,MATCH(1,($C$4:$C$444=$Q41)*($B$4:$B$444=AJ$33),0))</f>
        <v>45</v>
      </c>
      <c r="AK41" s="6" cm="1">
        <f t="array" ref="AK41">INDEX($L$4:$L$444,MATCH(1,($C$4:$C$444=$Q41)*($B$4:$B$444=AK$33),0))</f>
        <v>45</v>
      </c>
      <c r="AL41" s="6" cm="1">
        <f t="array" ref="AL41">INDEX($L$4:$L$444,MATCH(1,($C$4:$C$444=$Q41)*($B$4:$B$444=AL$33),0))</f>
        <v>45</v>
      </c>
      <c r="AM41" s="6" cm="1">
        <f t="array" ref="AM41">INDEX($L$4:$L$444,MATCH(1,($C$4:$C$444=$Q41)*($B$4:$B$444=AM$33),0))</f>
        <v>45</v>
      </c>
      <c r="AN41" s="7" t="s">
        <v>107</v>
      </c>
      <c r="AO41" s="7" t="s">
        <v>107</v>
      </c>
      <c r="AP41" s="4"/>
      <c r="AQ41" s="4"/>
    </row>
    <row r="42" spans="2:43" x14ac:dyDescent="0.25">
      <c r="B42" s="2" t="s">
        <v>85</v>
      </c>
      <c r="C42" t="s">
        <v>19</v>
      </c>
      <c r="D42" t="s">
        <v>42</v>
      </c>
      <c r="E42" t="s">
        <v>64</v>
      </c>
      <c r="F42" t="s">
        <v>57</v>
      </c>
      <c r="G42">
        <v>337.5</v>
      </c>
      <c r="H42" t="s">
        <v>58</v>
      </c>
      <c r="I42">
        <v>337.5</v>
      </c>
      <c r="J42" t="s">
        <v>65</v>
      </c>
      <c r="L42">
        <f t="shared" si="0"/>
        <v>337.5</v>
      </c>
      <c r="O42" s="4" t="str">
        <v>11th</v>
      </c>
      <c r="P42" s="4"/>
      <c r="Q42" s="4" t="str">
        <v>D2021.011a</v>
      </c>
      <c r="R42" s="4" t="str">
        <v>D2021.011a    Cold or Hot Potable  - Small Diameter Threaded Steel - (2.5 inches in diameter or less), SDC A or B, PIPING FRAGILITY</v>
      </c>
      <c r="S42" s="4" t="s">
        <v>37</v>
      </c>
      <c r="T42" s="16" t="str">
        <f t="shared" si="2"/>
        <v xml:space="preserve">   Cold or Hot Potable  - Small Diameter Threaded Steel - (2.5 inches in diameter or less), SDC A or B, PIPING FRAGILITY</v>
      </c>
      <c r="U42" s="6" t="str">
        <v>LF</v>
      </c>
      <c r="V42" s="6" cm="1">
        <f t="array" ref="V42">INDEX($L$4:$L$444,MATCH(1,($C$4:$C$444=$Q42)*($B$4:$B$444=V$33),0))</f>
        <v>0.94499999999999995</v>
      </c>
      <c r="W42" s="6" cm="1">
        <f t="array" ref="W42">INDEX($L$4:$L$444,MATCH(1,($C$4:$C$444=$Q42)*($B$4:$B$444=W$33),0))</f>
        <v>0.94499999999999995</v>
      </c>
      <c r="X42" s="6" cm="1">
        <f t="array" ref="X42">INDEX($L$4:$L$444,MATCH(1,($C$4:$C$444=$Q42)*($B$4:$B$444=X$33),0))</f>
        <v>0.94499999999999995</v>
      </c>
      <c r="Y42" s="6" cm="1">
        <f t="array" ref="Y42">INDEX($L$4:$L$444,MATCH(1,($C$4:$C$444=$Q42)*($B$4:$B$444=Y$33),0))</f>
        <v>0.94499999999999995</v>
      </c>
      <c r="Z42" s="6" cm="1">
        <f t="array" ref="Z42">INDEX($L$4:$L$444,MATCH(1,($C$4:$C$444=$Q42)*($B$4:$B$444=Z$33),0))</f>
        <v>0.94499999999999995</v>
      </c>
      <c r="AA42" s="6" cm="1">
        <f t="array" ref="AA42">INDEX($L$4:$L$444,MATCH(1,($C$4:$C$444=$Q42)*($B$4:$B$444=AA$33),0))</f>
        <v>0.94499999999999995</v>
      </c>
      <c r="AB42" s="6" cm="1">
        <f t="array" ref="AB42">INDEX($L$4:$L$444,MATCH(1,($C$4:$C$444=$Q42)*($B$4:$B$444=AB$33),0))</f>
        <v>0.94499999999999995</v>
      </c>
      <c r="AC42" s="6" cm="1">
        <f t="array" ref="AC42">INDEX($L$4:$L$444,MATCH(1,($C$4:$C$444=$Q42)*($B$4:$B$444=AC$33),0))</f>
        <v>0.94499999999999995</v>
      </c>
      <c r="AD42" s="6" cm="1">
        <f t="array" ref="AD42">INDEX($L$4:$L$444,MATCH(1,($C$4:$C$444=$Q42)*($B$4:$B$444=AD$33),0))</f>
        <v>0.94499999999999995</v>
      </c>
      <c r="AE42" s="6" cm="1">
        <f t="array" ref="AE42">INDEX($L$4:$L$444,MATCH(1,($C$4:$C$444=$Q42)*($B$4:$B$444=AE$33),0))</f>
        <v>0.94499999999999995</v>
      </c>
      <c r="AF42" s="6" cm="1">
        <f t="array" ref="AF42">INDEX($L$4:$L$444,MATCH(1,($C$4:$C$444=$Q42)*($B$4:$B$444=AF$33),0))</f>
        <v>0.94499999999999995</v>
      </c>
      <c r="AG42" s="6" cm="1">
        <f t="array" ref="AG42">INDEX($L$4:$L$444,MATCH(1,($C$4:$C$444=$Q42)*($B$4:$B$444=AG$33),0))</f>
        <v>0.94499999999999995</v>
      </c>
      <c r="AH42" s="6" cm="1">
        <f t="array" ref="AH42">INDEX($L$4:$L$444,MATCH(1,($C$4:$C$444=$Q42)*($B$4:$B$444=AH$33),0))</f>
        <v>0.94499999999999995</v>
      </c>
      <c r="AI42" s="6" cm="1">
        <f t="array" ref="AI42">INDEX($L$4:$L$444,MATCH(1,($C$4:$C$444=$Q42)*($B$4:$B$444=AI$33),0))</f>
        <v>0.94499999999999995</v>
      </c>
      <c r="AJ42" s="6" cm="1">
        <f t="array" ref="AJ42">INDEX($L$4:$L$444,MATCH(1,($C$4:$C$444=$Q42)*($B$4:$B$444=AJ$33),0))</f>
        <v>0.94499999999999995</v>
      </c>
      <c r="AK42" s="6" cm="1">
        <f t="array" ref="AK42">INDEX($L$4:$L$444,MATCH(1,($C$4:$C$444=$Q42)*($B$4:$B$444=AK$33),0))</f>
        <v>0.94499999999999995</v>
      </c>
      <c r="AL42" s="6" cm="1">
        <f t="array" ref="AL42">INDEX($L$4:$L$444,MATCH(1,($C$4:$C$444=$Q42)*($B$4:$B$444=AL$33),0))</f>
        <v>0.94499999999999995</v>
      </c>
      <c r="AM42" s="6" cm="1">
        <f t="array" ref="AM42">INDEX($L$4:$L$444,MATCH(1,($C$4:$C$444=$Q42)*($B$4:$B$444=AM$33),0))</f>
        <v>0.94499999999999995</v>
      </c>
      <c r="AN42" s="6" cm="1">
        <f t="array" ref="AN42">INDEX($L$4:$L$444,MATCH(1,($C$4:$C$444=$Q42)*($B$4:$B$444=AN$33),0))</f>
        <v>0.67500000000000004</v>
      </c>
      <c r="AO42" s="7" t="s">
        <v>107</v>
      </c>
      <c r="AP42" s="4"/>
      <c r="AQ42" s="4"/>
    </row>
    <row r="43" spans="2:43" x14ac:dyDescent="0.25">
      <c r="B43" s="2" t="s">
        <v>85</v>
      </c>
      <c r="C43" t="s">
        <v>19</v>
      </c>
      <c r="D43" t="s">
        <v>42</v>
      </c>
      <c r="E43" t="s">
        <v>64</v>
      </c>
      <c r="F43" t="s">
        <v>57</v>
      </c>
      <c r="G43">
        <v>337.5</v>
      </c>
      <c r="H43" t="s">
        <v>58</v>
      </c>
      <c r="I43">
        <v>337.5</v>
      </c>
      <c r="J43" t="s">
        <v>65</v>
      </c>
      <c r="L43">
        <f t="shared" si="0"/>
        <v>337.5</v>
      </c>
      <c r="O43" s="4" t="str">
        <v>10th</v>
      </c>
      <c r="P43" s="4"/>
      <c r="Q43" s="4" t="str">
        <v>D3041.012a</v>
      </c>
      <c r="R43" s="4" t="str">
        <v>D3041.012a    HVAC Galvanized Sheet Metal Ducting -  6 sq. ft cross sectional area or greater, SDC A or B</v>
      </c>
      <c r="S43" s="4" t="s">
        <v>38</v>
      </c>
      <c r="T43" s="16" t="str">
        <f t="shared" si="2"/>
        <v xml:space="preserve">   HVAC Galvanized Sheet Metal Ducting -  6 sq. ft cross sectional area or greater, SDC A or B</v>
      </c>
      <c r="U43" s="6" t="str">
        <v>LF</v>
      </c>
      <c r="V43" s="6" cm="1">
        <f t="array" ref="V43">INDEX($L$4:$L$444,MATCH(1,($C$4:$C$444=$Q43)*($B$4:$B$444=V$33),0))</f>
        <v>0.45</v>
      </c>
      <c r="W43" s="6" cm="1">
        <f t="array" ref="W43">INDEX($L$4:$L$444,MATCH(1,($C$4:$C$444=$Q43)*($B$4:$B$444=W$33),0))</f>
        <v>0.45</v>
      </c>
      <c r="X43" s="6" cm="1">
        <f t="array" ref="X43">INDEX($L$4:$L$444,MATCH(1,($C$4:$C$444=$Q43)*($B$4:$B$444=X$33),0))</f>
        <v>0.45</v>
      </c>
      <c r="Y43" s="6" cm="1">
        <f t="array" ref="Y43">INDEX($L$4:$L$444,MATCH(1,($C$4:$C$444=$Q43)*($B$4:$B$444=Y$33),0))</f>
        <v>0.45</v>
      </c>
      <c r="Z43" s="6" cm="1">
        <f t="array" ref="Z43">INDEX($L$4:$L$444,MATCH(1,($C$4:$C$444=$Q43)*($B$4:$B$444=Z$33),0))</f>
        <v>0.45</v>
      </c>
      <c r="AA43" s="6" cm="1">
        <f t="array" ref="AA43">INDEX($L$4:$L$444,MATCH(1,($C$4:$C$444=$Q43)*($B$4:$B$444=AA$33),0))</f>
        <v>0.45</v>
      </c>
      <c r="AB43" s="6" cm="1">
        <f t="array" ref="AB43">INDEX($L$4:$L$444,MATCH(1,($C$4:$C$444=$Q43)*($B$4:$B$444=AB$33),0))</f>
        <v>0.45</v>
      </c>
      <c r="AC43" s="6" cm="1">
        <f t="array" ref="AC43">INDEX($L$4:$L$444,MATCH(1,($C$4:$C$444=$Q43)*($B$4:$B$444=AC$33),0))</f>
        <v>0.45</v>
      </c>
      <c r="AD43" s="6" cm="1">
        <f t="array" ref="AD43">INDEX($L$4:$L$444,MATCH(1,($C$4:$C$444=$Q43)*($B$4:$B$444=AD$33),0))</f>
        <v>0.45</v>
      </c>
      <c r="AE43" s="6" cm="1">
        <f t="array" ref="AE43">INDEX($L$4:$L$444,MATCH(1,($C$4:$C$444=$Q43)*($B$4:$B$444=AE$33),0))</f>
        <v>0.45</v>
      </c>
      <c r="AF43" s="6" cm="1">
        <f t="array" ref="AF43">INDEX($L$4:$L$444,MATCH(1,($C$4:$C$444=$Q43)*($B$4:$B$444=AF$33),0))</f>
        <v>0.45</v>
      </c>
      <c r="AG43" s="6" cm="1">
        <f t="array" ref="AG43">INDEX($L$4:$L$444,MATCH(1,($C$4:$C$444=$Q43)*($B$4:$B$444=AG$33),0))</f>
        <v>0.45</v>
      </c>
      <c r="AH43" s="6" cm="1">
        <f t="array" ref="AH43">INDEX($L$4:$L$444,MATCH(1,($C$4:$C$444=$Q43)*($B$4:$B$444=AH$33),0))</f>
        <v>0.45</v>
      </c>
      <c r="AI43" s="6" cm="1">
        <f t="array" ref="AI43">INDEX($L$4:$L$444,MATCH(1,($C$4:$C$444=$Q43)*($B$4:$B$444=AI$33),0))</f>
        <v>0.45</v>
      </c>
      <c r="AJ43" s="6" cm="1">
        <f t="array" ref="AJ43">INDEX($L$4:$L$444,MATCH(1,($C$4:$C$444=$Q43)*($B$4:$B$444=AJ$33),0))</f>
        <v>0.45</v>
      </c>
      <c r="AK43" s="6" cm="1">
        <f t="array" ref="AK43">INDEX($L$4:$L$444,MATCH(1,($C$4:$C$444=$Q43)*($B$4:$B$444=AK$33),0))</f>
        <v>0.45</v>
      </c>
      <c r="AL43" s="6" cm="1">
        <f t="array" ref="AL43">INDEX($L$4:$L$444,MATCH(1,($C$4:$C$444=$Q43)*($B$4:$B$444=AL$33),0))</f>
        <v>0.45</v>
      </c>
      <c r="AM43" s="6" cm="1">
        <f t="array" ref="AM43">INDEX($L$4:$L$444,MATCH(1,($C$4:$C$444=$Q43)*($B$4:$B$444=AM$33),0))</f>
        <v>0.45</v>
      </c>
      <c r="AN43" s="6" cm="1">
        <f t="array" ref="AN43">INDEX($L$4:$L$444,MATCH(1,($C$4:$C$444=$Q43)*($B$4:$B$444=AN$33),0))</f>
        <v>1.125</v>
      </c>
      <c r="AO43" s="7" t="s">
        <v>107</v>
      </c>
      <c r="AP43" s="4"/>
      <c r="AQ43" s="4"/>
    </row>
    <row r="44" spans="2:43" x14ac:dyDescent="0.25">
      <c r="B44" s="2" t="s">
        <v>85</v>
      </c>
      <c r="C44" t="s">
        <v>20</v>
      </c>
      <c r="D44" t="s">
        <v>43</v>
      </c>
      <c r="E44" t="s">
        <v>66</v>
      </c>
      <c r="F44" t="s">
        <v>57</v>
      </c>
      <c r="G44">
        <v>4.5</v>
      </c>
      <c r="H44" t="s">
        <v>58</v>
      </c>
      <c r="I44">
        <v>4500</v>
      </c>
      <c r="J44" t="s">
        <v>62</v>
      </c>
      <c r="L44">
        <f t="shared" si="0"/>
        <v>4.5</v>
      </c>
      <c r="O44" s="4" t="str">
        <v>9th</v>
      </c>
      <c r="P44" s="4"/>
      <c r="Q44" s="4" t="str">
        <v>D3041.011a</v>
      </c>
      <c r="R44" s="4" t="str">
        <v>D3041.011a    HVAC Galvanized Sheet Metal Ducting less than 6 sq. ft in cross sectional area, SDC A or B</v>
      </c>
      <c r="S44" s="4" t="s">
        <v>39</v>
      </c>
      <c r="T44" s="16" t="str">
        <f t="shared" si="2"/>
        <v xml:space="preserve">   HVAC Galvanized Sheet Metal Ducting less than 6 sq. ft in cross sectional area, SDC A or B</v>
      </c>
      <c r="U44" s="6" t="str">
        <v>LF</v>
      </c>
      <c r="V44" s="6" cm="1">
        <f t="array" ref="V44">INDEX($L$4:$L$444,MATCH(1,($C$4:$C$444=$Q44)*($B$4:$B$444=V$33),0))</f>
        <v>1.6874999999999998</v>
      </c>
      <c r="W44" s="6" cm="1">
        <f t="array" ref="W44">INDEX($L$4:$L$444,MATCH(1,($C$4:$C$444=$Q44)*($B$4:$B$444=W$33),0))</f>
        <v>1.6874999999999998</v>
      </c>
      <c r="X44" s="6" cm="1">
        <f t="array" ref="X44">INDEX($L$4:$L$444,MATCH(1,($C$4:$C$444=$Q44)*($B$4:$B$444=X$33),0))</f>
        <v>1.6874999999999998</v>
      </c>
      <c r="Y44" s="6" cm="1">
        <f t="array" ref="Y44">INDEX($L$4:$L$444,MATCH(1,($C$4:$C$444=$Q44)*($B$4:$B$444=Y$33),0))</f>
        <v>1.6874999999999998</v>
      </c>
      <c r="Z44" s="6" cm="1">
        <f t="array" ref="Z44">INDEX($L$4:$L$444,MATCH(1,($C$4:$C$444=$Q44)*($B$4:$B$444=Z$33),0))</f>
        <v>1.6874999999999998</v>
      </c>
      <c r="AA44" s="6" cm="1">
        <f t="array" ref="AA44">INDEX($L$4:$L$444,MATCH(1,($C$4:$C$444=$Q44)*($B$4:$B$444=AA$33),0))</f>
        <v>1.6874999999999998</v>
      </c>
      <c r="AB44" s="6" cm="1">
        <f t="array" ref="AB44">INDEX($L$4:$L$444,MATCH(1,($C$4:$C$444=$Q44)*($B$4:$B$444=AB$33),0))</f>
        <v>1.6874999999999998</v>
      </c>
      <c r="AC44" s="6" cm="1">
        <f t="array" ref="AC44">INDEX($L$4:$L$444,MATCH(1,($C$4:$C$444=$Q44)*($B$4:$B$444=AC$33),0))</f>
        <v>1.6874999999999998</v>
      </c>
      <c r="AD44" s="6" cm="1">
        <f t="array" ref="AD44">INDEX($L$4:$L$444,MATCH(1,($C$4:$C$444=$Q44)*($B$4:$B$444=AD$33),0))</f>
        <v>1.6874999999999998</v>
      </c>
      <c r="AE44" s="6" cm="1">
        <f t="array" ref="AE44">INDEX($L$4:$L$444,MATCH(1,($C$4:$C$444=$Q44)*($B$4:$B$444=AE$33),0))</f>
        <v>1.6874999999999998</v>
      </c>
      <c r="AF44" s="6" cm="1">
        <f t="array" ref="AF44">INDEX($L$4:$L$444,MATCH(1,($C$4:$C$444=$Q44)*($B$4:$B$444=AF$33),0))</f>
        <v>1.6874999999999998</v>
      </c>
      <c r="AG44" s="6" cm="1">
        <f t="array" ref="AG44">INDEX($L$4:$L$444,MATCH(1,($C$4:$C$444=$Q44)*($B$4:$B$444=AG$33),0))</f>
        <v>1.6874999999999998</v>
      </c>
      <c r="AH44" s="6" cm="1">
        <f t="array" ref="AH44">INDEX($L$4:$L$444,MATCH(1,($C$4:$C$444=$Q44)*($B$4:$B$444=AH$33),0))</f>
        <v>1.6874999999999998</v>
      </c>
      <c r="AI44" s="6" cm="1">
        <f t="array" ref="AI44">INDEX($L$4:$L$444,MATCH(1,($C$4:$C$444=$Q44)*($B$4:$B$444=AI$33),0))</f>
        <v>1.6874999999999998</v>
      </c>
      <c r="AJ44" s="6" cm="1">
        <f t="array" ref="AJ44">INDEX($L$4:$L$444,MATCH(1,($C$4:$C$444=$Q44)*($B$4:$B$444=AJ$33),0))</f>
        <v>1.6874999999999998</v>
      </c>
      <c r="AK44" s="6" cm="1">
        <f t="array" ref="AK44">INDEX($L$4:$L$444,MATCH(1,($C$4:$C$444=$Q44)*($B$4:$B$444=AK$33),0))</f>
        <v>1.6874999999999998</v>
      </c>
      <c r="AL44" s="6" cm="1">
        <f t="array" ref="AL44">INDEX($L$4:$L$444,MATCH(1,($C$4:$C$444=$Q44)*($B$4:$B$444=AL$33),0))</f>
        <v>1.6874999999999998</v>
      </c>
      <c r="AM44" s="6" cm="1">
        <f t="array" ref="AM44">INDEX($L$4:$L$444,MATCH(1,($C$4:$C$444=$Q44)*($B$4:$B$444=AM$33),0))</f>
        <v>1.6874999999999998</v>
      </c>
      <c r="AN44" s="6" cm="1">
        <f t="array" ref="AN44">INDEX($L$4:$L$444,MATCH(1,($C$4:$C$444=$Q44)*($B$4:$B$444=AN$33),0))</f>
        <v>0.1125</v>
      </c>
      <c r="AO44" s="7" t="s">
        <v>107</v>
      </c>
      <c r="AP44" s="4"/>
      <c r="AQ44" s="4"/>
    </row>
    <row r="45" spans="2:43" x14ac:dyDescent="0.25">
      <c r="B45" s="2" t="s">
        <v>85</v>
      </c>
      <c r="C45" t="s">
        <v>21</v>
      </c>
      <c r="D45" t="s">
        <v>44</v>
      </c>
      <c r="E45" t="s">
        <v>68</v>
      </c>
      <c r="F45" t="s">
        <v>57</v>
      </c>
      <c r="G45">
        <v>2.0249999999999999</v>
      </c>
      <c r="H45" t="s">
        <v>58</v>
      </c>
      <c r="I45">
        <v>202.5</v>
      </c>
      <c r="J45" t="s">
        <v>65</v>
      </c>
      <c r="L45">
        <f t="shared" si="0"/>
        <v>2.0249999999999999</v>
      </c>
      <c r="O45" s="4" t="str">
        <v>8th</v>
      </c>
      <c r="P45" s="4"/>
      <c r="Q45" s="4" t="str">
        <v>D3041.031a</v>
      </c>
      <c r="R45" s="4" t="str">
        <v>D3041.031a    HVAC Drops / Diffusers in suspended ceilings - No independent safety wires, SDC A or B</v>
      </c>
      <c r="S45" s="4" t="s">
        <v>40</v>
      </c>
      <c r="T45" s="16" t="str">
        <f t="shared" si="2"/>
        <v xml:space="preserve">   HVAC Drops / Diffusers in suspended ceilings - No independent safety wires, SDC A or B</v>
      </c>
      <c r="U45" s="6" t="str">
        <v>EA</v>
      </c>
      <c r="V45" s="6" cm="1">
        <f t="array" ref="V45">INDEX($L$4:$L$444,MATCH(1,($C$4:$C$444=$Q45)*($B$4:$B$444=V$33),0))</f>
        <v>20.249999999999996</v>
      </c>
      <c r="W45" s="6" cm="1">
        <f t="array" ref="W45">INDEX($L$4:$L$444,MATCH(1,($C$4:$C$444=$Q45)*($B$4:$B$444=W$33),0))</f>
        <v>20.249999999999996</v>
      </c>
      <c r="X45" s="6" cm="1">
        <f t="array" ref="X45">INDEX($L$4:$L$444,MATCH(1,($C$4:$C$444=$Q45)*($B$4:$B$444=X$33),0))</f>
        <v>20.249999999999996</v>
      </c>
      <c r="Y45" s="6" cm="1">
        <f t="array" ref="Y45">INDEX($L$4:$L$444,MATCH(1,($C$4:$C$444=$Q45)*($B$4:$B$444=Y$33),0))</f>
        <v>20.249999999999996</v>
      </c>
      <c r="Z45" s="6" cm="1">
        <f t="array" ref="Z45">INDEX($L$4:$L$444,MATCH(1,($C$4:$C$444=$Q45)*($B$4:$B$444=Z$33),0))</f>
        <v>20.249999999999996</v>
      </c>
      <c r="AA45" s="6" cm="1">
        <f t="array" ref="AA45">INDEX($L$4:$L$444,MATCH(1,($C$4:$C$444=$Q45)*($B$4:$B$444=AA$33),0))</f>
        <v>20.249999999999996</v>
      </c>
      <c r="AB45" s="6" cm="1">
        <f t="array" ref="AB45">INDEX($L$4:$L$444,MATCH(1,($C$4:$C$444=$Q45)*($B$4:$B$444=AB$33),0))</f>
        <v>20.249999999999996</v>
      </c>
      <c r="AC45" s="6" cm="1">
        <f t="array" ref="AC45">INDEX($L$4:$L$444,MATCH(1,($C$4:$C$444=$Q45)*($B$4:$B$444=AC$33),0))</f>
        <v>20.249999999999996</v>
      </c>
      <c r="AD45" s="6" cm="1">
        <f t="array" ref="AD45">INDEX($L$4:$L$444,MATCH(1,($C$4:$C$444=$Q45)*($B$4:$B$444=AD$33),0))</f>
        <v>20.249999999999996</v>
      </c>
      <c r="AE45" s="6" cm="1">
        <f t="array" ref="AE45">INDEX($L$4:$L$444,MATCH(1,($C$4:$C$444=$Q45)*($B$4:$B$444=AE$33),0))</f>
        <v>20.249999999999996</v>
      </c>
      <c r="AF45" s="6" cm="1">
        <f t="array" ref="AF45">INDEX($L$4:$L$444,MATCH(1,($C$4:$C$444=$Q45)*($B$4:$B$444=AF$33),0))</f>
        <v>20.249999999999996</v>
      </c>
      <c r="AG45" s="6" cm="1">
        <f t="array" ref="AG45">INDEX($L$4:$L$444,MATCH(1,($C$4:$C$444=$Q45)*($B$4:$B$444=AG$33),0))</f>
        <v>20.249999999999996</v>
      </c>
      <c r="AH45" s="6" cm="1">
        <f t="array" ref="AH45">INDEX($L$4:$L$444,MATCH(1,($C$4:$C$444=$Q45)*($B$4:$B$444=AH$33),0))</f>
        <v>20.249999999999996</v>
      </c>
      <c r="AI45" s="6" cm="1">
        <f t="array" ref="AI45">INDEX($L$4:$L$444,MATCH(1,($C$4:$C$444=$Q45)*($B$4:$B$444=AI$33),0))</f>
        <v>20.249999999999996</v>
      </c>
      <c r="AJ45" s="6" cm="1">
        <f t="array" ref="AJ45">INDEX($L$4:$L$444,MATCH(1,($C$4:$C$444=$Q45)*($B$4:$B$444=AJ$33),0))</f>
        <v>20.249999999999996</v>
      </c>
      <c r="AK45" s="6" cm="1">
        <f t="array" ref="AK45">INDEX($L$4:$L$444,MATCH(1,($C$4:$C$444=$Q45)*($B$4:$B$444=AK$33),0))</f>
        <v>20.249999999999996</v>
      </c>
      <c r="AL45" s="6" cm="1">
        <f t="array" ref="AL45">INDEX($L$4:$L$444,MATCH(1,($C$4:$C$444=$Q45)*($B$4:$B$444=AL$33),0))</f>
        <v>20.249999999999996</v>
      </c>
      <c r="AM45" s="6" cm="1">
        <f t="array" ref="AM45">INDEX($L$4:$L$444,MATCH(1,($C$4:$C$444=$Q45)*($B$4:$B$444=AM$33),0))</f>
        <v>20.249999999999996</v>
      </c>
      <c r="AN45" s="7" t="s">
        <v>107</v>
      </c>
      <c r="AO45" s="7" t="s">
        <v>107</v>
      </c>
      <c r="AP45" s="4"/>
      <c r="AQ45" s="4"/>
    </row>
    <row r="46" spans="2:43" x14ac:dyDescent="0.25">
      <c r="B46" s="2" t="s">
        <v>86</v>
      </c>
      <c r="C46" t="s">
        <v>6</v>
      </c>
      <c r="D46" t="s">
        <v>29</v>
      </c>
      <c r="E46" t="s">
        <v>56</v>
      </c>
      <c r="F46">
        <v>225</v>
      </c>
      <c r="G46" t="s">
        <v>57</v>
      </c>
      <c r="H46" t="s">
        <v>58</v>
      </c>
      <c r="I46">
        <v>6750</v>
      </c>
      <c r="J46" t="s">
        <v>59</v>
      </c>
      <c r="L46">
        <f t="shared" si="0"/>
        <v>225</v>
      </c>
      <c r="O46" s="4" t="str">
        <v>7th</v>
      </c>
      <c r="P46" s="4"/>
      <c r="Q46" s="4" t="str">
        <v>D3041.041a</v>
      </c>
      <c r="R46" s="4" t="str">
        <v>D3041.041a    Variable Air Volume (VAV) box with in-line coil, SDC A or B</v>
      </c>
      <c r="S46" s="4" t="s">
        <v>41</v>
      </c>
      <c r="T46" s="16" t="str">
        <f t="shared" si="2"/>
        <v xml:space="preserve">   Variable Air Volume (VAV) box with in-line coil, SDC A or B</v>
      </c>
      <c r="U46" s="6" t="str">
        <v>EA</v>
      </c>
      <c r="V46" s="6" cm="1">
        <f t="array" ref="V46">INDEX($L$4:$L$444,MATCH(1,($C$4:$C$444=$Q46)*($B$4:$B$444=V$33),0))</f>
        <v>11.25</v>
      </c>
      <c r="W46" s="6" cm="1">
        <f t="array" ref="W46">INDEX($L$4:$L$444,MATCH(1,($C$4:$C$444=$Q46)*($B$4:$B$444=W$33),0))</f>
        <v>11.25</v>
      </c>
      <c r="X46" s="6" cm="1">
        <f t="array" ref="X46">INDEX($L$4:$L$444,MATCH(1,($C$4:$C$444=$Q46)*($B$4:$B$444=X$33),0))</f>
        <v>11.25</v>
      </c>
      <c r="Y46" s="6" cm="1">
        <f t="array" ref="Y46">INDEX($L$4:$L$444,MATCH(1,($C$4:$C$444=$Q46)*($B$4:$B$444=Y$33),0))</f>
        <v>11.25</v>
      </c>
      <c r="Z46" s="6" cm="1">
        <f t="array" ref="Z46">INDEX($L$4:$L$444,MATCH(1,($C$4:$C$444=$Q46)*($B$4:$B$444=Z$33),0))</f>
        <v>11.25</v>
      </c>
      <c r="AA46" s="6" cm="1">
        <f t="array" ref="AA46">INDEX($L$4:$L$444,MATCH(1,($C$4:$C$444=$Q46)*($B$4:$B$444=AA$33),0))</f>
        <v>11.25</v>
      </c>
      <c r="AB46" s="6" cm="1">
        <f t="array" ref="AB46">INDEX($L$4:$L$444,MATCH(1,($C$4:$C$444=$Q46)*($B$4:$B$444=AB$33),0))</f>
        <v>11.25</v>
      </c>
      <c r="AC46" s="6" cm="1">
        <f t="array" ref="AC46">INDEX($L$4:$L$444,MATCH(1,($C$4:$C$444=$Q46)*($B$4:$B$444=AC$33),0))</f>
        <v>11.25</v>
      </c>
      <c r="AD46" s="6" cm="1">
        <f t="array" ref="AD46">INDEX($L$4:$L$444,MATCH(1,($C$4:$C$444=$Q46)*($B$4:$B$444=AD$33),0))</f>
        <v>11.25</v>
      </c>
      <c r="AE46" s="6" cm="1">
        <f t="array" ref="AE46">INDEX($L$4:$L$444,MATCH(1,($C$4:$C$444=$Q46)*($B$4:$B$444=AE$33),0))</f>
        <v>11.25</v>
      </c>
      <c r="AF46" s="6" cm="1">
        <f t="array" ref="AF46">INDEX($L$4:$L$444,MATCH(1,($C$4:$C$444=$Q46)*($B$4:$B$444=AF$33),0))</f>
        <v>11.25</v>
      </c>
      <c r="AG46" s="6" cm="1">
        <f t="array" ref="AG46">INDEX($L$4:$L$444,MATCH(1,($C$4:$C$444=$Q46)*($B$4:$B$444=AG$33),0))</f>
        <v>11.25</v>
      </c>
      <c r="AH46" s="6" cm="1">
        <f t="array" ref="AH46">INDEX($L$4:$L$444,MATCH(1,($C$4:$C$444=$Q46)*($B$4:$B$444=AH$33),0))</f>
        <v>11.25</v>
      </c>
      <c r="AI46" s="6" cm="1">
        <f t="array" ref="AI46">INDEX($L$4:$L$444,MATCH(1,($C$4:$C$444=$Q46)*($B$4:$B$444=AI$33),0))</f>
        <v>11.25</v>
      </c>
      <c r="AJ46" s="6" cm="1">
        <f t="array" ref="AJ46">INDEX($L$4:$L$444,MATCH(1,($C$4:$C$444=$Q46)*($B$4:$B$444=AJ$33),0))</f>
        <v>11.25</v>
      </c>
      <c r="AK46" s="6" cm="1">
        <f t="array" ref="AK46">INDEX($L$4:$L$444,MATCH(1,($C$4:$C$444=$Q46)*($B$4:$B$444=AK$33),0))</f>
        <v>11.25</v>
      </c>
      <c r="AL46" s="6" cm="1">
        <f t="array" ref="AL46">INDEX($L$4:$L$444,MATCH(1,($C$4:$C$444=$Q46)*($B$4:$B$444=AL$33),0))</f>
        <v>11.25</v>
      </c>
      <c r="AM46" s="6" cm="1">
        <f t="array" ref="AM46">INDEX($L$4:$L$444,MATCH(1,($C$4:$C$444=$Q46)*($B$4:$B$444=AM$33),0))</f>
        <v>11.25</v>
      </c>
      <c r="AN46" s="6" cm="1">
        <f t="array" ref="AN46">INDEX($L$4:$L$444,MATCH(1,($C$4:$C$444=$Q46)*($B$4:$B$444=AN$33),0))</f>
        <v>9</v>
      </c>
      <c r="AO46" s="7" t="s">
        <v>107</v>
      </c>
      <c r="AP46" s="4"/>
      <c r="AQ46" s="4"/>
    </row>
    <row r="47" spans="2:43" x14ac:dyDescent="0.25">
      <c r="B47" s="2" t="s">
        <v>86</v>
      </c>
      <c r="C47" t="s">
        <v>7</v>
      </c>
      <c r="D47" t="s">
        <v>30</v>
      </c>
      <c r="E47" t="s">
        <v>60</v>
      </c>
      <c r="F47" t="s">
        <v>57</v>
      </c>
      <c r="G47">
        <v>60.75</v>
      </c>
      <c r="H47" t="s">
        <v>58</v>
      </c>
      <c r="I47">
        <v>6075</v>
      </c>
      <c r="J47" t="s">
        <v>59</v>
      </c>
      <c r="L47">
        <f t="shared" si="0"/>
        <v>60.75</v>
      </c>
      <c r="O47" s="4" t="str">
        <v>6th</v>
      </c>
      <c r="P47" s="4"/>
      <c r="Q47" s="4" t="str">
        <v>C3034.001</v>
      </c>
      <c r="R47" s="4" t="str">
        <v>C3034.001    Independent Pendant Lighting - non seismic</v>
      </c>
      <c r="S47" s="4" t="s">
        <v>42</v>
      </c>
      <c r="T47" s="16" t="str">
        <f t="shared" si="2"/>
        <v xml:space="preserve">   Independent Pendant Lighting - non seismic</v>
      </c>
      <c r="U47" s="6" t="str">
        <v>EA</v>
      </c>
      <c r="V47" s="6" cm="1">
        <f t="array" ref="V47">INDEX($L$4:$L$444,MATCH(1,($C$4:$C$444=$Q47)*($B$4:$B$444=V$33),0))</f>
        <v>337.5</v>
      </c>
      <c r="W47" s="6" cm="1">
        <f t="array" ref="W47">INDEX($L$4:$L$444,MATCH(1,($C$4:$C$444=$Q47)*($B$4:$B$444=W$33),0))</f>
        <v>337.5</v>
      </c>
      <c r="X47" s="6" cm="1">
        <f t="array" ref="X47">INDEX($L$4:$L$444,MATCH(1,($C$4:$C$444=$Q47)*($B$4:$B$444=X$33),0))</f>
        <v>337.5</v>
      </c>
      <c r="Y47" s="6" cm="1">
        <f t="array" ref="Y47">INDEX($L$4:$L$444,MATCH(1,($C$4:$C$444=$Q47)*($B$4:$B$444=Y$33),0))</f>
        <v>337.5</v>
      </c>
      <c r="Z47" s="6" cm="1">
        <f t="array" ref="Z47">INDEX($L$4:$L$444,MATCH(1,($C$4:$C$444=$Q47)*($B$4:$B$444=Z$33),0))</f>
        <v>337.5</v>
      </c>
      <c r="AA47" s="6" cm="1">
        <f t="array" ref="AA47">INDEX($L$4:$L$444,MATCH(1,($C$4:$C$444=$Q47)*($B$4:$B$444=AA$33),0))</f>
        <v>337.5</v>
      </c>
      <c r="AB47" s="6" cm="1">
        <f t="array" ref="AB47">INDEX($L$4:$L$444,MATCH(1,($C$4:$C$444=$Q47)*($B$4:$B$444=AB$33),0))</f>
        <v>337.5</v>
      </c>
      <c r="AC47" s="6" cm="1">
        <f t="array" ref="AC47">INDEX($L$4:$L$444,MATCH(1,($C$4:$C$444=$Q47)*($B$4:$B$444=AC$33),0))</f>
        <v>337.5</v>
      </c>
      <c r="AD47" s="6" cm="1">
        <f t="array" ref="AD47">INDEX($L$4:$L$444,MATCH(1,($C$4:$C$444=$Q47)*($B$4:$B$444=AD$33),0))</f>
        <v>337.5</v>
      </c>
      <c r="AE47" s="6" cm="1">
        <f t="array" ref="AE47">INDEX($L$4:$L$444,MATCH(1,($C$4:$C$444=$Q47)*($B$4:$B$444=AE$33),0))</f>
        <v>337.5</v>
      </c>
      <c r="AF47" s="6" cm="1">
        <f t="array" ref="AF47">INDEX($L$4:$L$444,MATCH(1,($C$4:$C$444=$Q47)*($B$4:$B$444=AF$33),0))</f>
        <v>337.5</v>
      </c>
      <c r="AG47" s="6" cm="1">
        <f t="array" ref="AG47">INDEX($L$4:$L$444,MATCH(1,($C$4:$C$444=$Q47)*($B$4:$B$444=AG$33),0))</f>
        <v>337.5</v>
      </c>
      <c r="AH47" s="6" cm="1">
        <f t="array" ref="AH47">INDEX($L$4:$L$444,MATCH(1,($C$4:$C$444=$Q47)*($B$4:$B$444=AH$33),0))</f>
        <v>337.5</v>
      </c>
      <c r="AI47" s="6" cm="1">
        <f t="array" ref="AI47">INDEX($L$4:$L$444,MATCH(1,($C$4:$C$444=$Q47)*($B$4:$B$444=AI$33),0))</f>
        <v>337.5</v>
      </c>
      <c r="AJ47" s="6" cm="1">
        <f t="array" ref="AJ47">INDEX($L$4:$L$444,MATCH(1,($C$4:$C$444=$Q47)*($B$4:$B$444=AJ$33),0))</f>
        <v>337.5</v>
      </c>
      <c r="AK47" s="6" cm="1">
        <f t="array" ref="AK47">INDEX($L$4:$L$444,MATCH(1,($C$4:$C$444=$Q47)*($B$4:$B$444=AK$33),0))</f>
        <v>337.5</v>
      </c>
      <c r="AL47" s="6" cm="1">
        <f t="array" ref="AL47">INDEX($L$4:$L$444,MATCH(1,($C$4:$C$444=$Q47)*($B$4:$B$444=AL$33),0))</f>
        <v>337.5</v>
      </c>
      <c r="AM47" s="6" cm="1">
        <f t="array" ref="AM47">INDEX($L$4:$L$444,MATCH(1,($C$4:$C$444=$Q47)*($B$4:$B$444=AM$33),0))</f>
        <v>337.5</v>
      </c>
      <c r="AN47" s="6" cm="1">
        <f t="array" ref="AN47">INDEX($L$4:$L$444,MATCH(1,($C$4:$C$444=$Q47)*($B$4:$B$444=AN$33),0))</f>
        <v>337.5</v>
      </c>
      <c r="AO47" s="7" t="s">
        <v>107</v>
      </c>
      <c r="AP47" s="4"/>
      <c r="AQ47" s="4"/>
    </row>
    <row r="48" spans="2:43" x14ac:dyDescent="0.25">
      <c r="B48" s="2" t="s">
        <v>86</v>
      </c>
      <c r="C48" t="s">
        <v>8</v>
      </c>
      <c r="D48" t="s">
        <v>31</v>
      </c>
      <c r="E48" t="s">
        <v>61</v>
      </c>
      <c r="F48">
        <v>22.5</v>
      </c>
      <c r="G48" t="s">
        <v>57</v>
      </c>
      <c r="H48" t="s">
        <v>58</v>
      </c>
      <c r="I48">
        <v>2250</v>
      </c>
      <c r="J48" t="s">
        <v>62</v>
      </c>
      <c r="L48">
        <f t="shared" si="0"/>
        <v>22.5</v>
      </c>
      <c r="O48" s="4" t="str">
        <v>5th</v>
      </c>
      <c r="P48" s="4"/>
      <c r="Q48" s="4" t="str">
        <v>D4011.021a</v>
      </c>
      <c r="R48" s="4" t="str">
        <v>D4011.021a    Fire Sprinkler Water Piping - Horizontal Mains and Branches - Old Style Victaulic - Thin Wall Steel - No bracing, SDC A or B, PIPING FRAGILITY</v>
      </c>
      <c r="S48" s="4" t="s">
        <v>43</v>
      </c>
      <c r="T48" s="16" t="str">
        <f t="shared" si="2"/>
        <v xml:space="preserve">   Fire Sprinkler Water Piping - Horizontal Mains and Branches - Old Style Victaulic - Thin Wall Steel - No bracing, SDC A or B, PIPING FRAGILITY</v>
      </c>
      <c r="U48" s="6" t="str">
        <v>LF</v>
      </c>
      <c r="V48" s="6" cm="1">
        <f t="array" ref="V48">INDEX($L$4:$L$444,MATCH(1,($C$4:$C$444=$Q48)*($B$4:$B$444=V$33),0))</f>
        <v>4.5</v>
      </c>
      <c r="W48" s="6" cm="1">
        <f t="array" ref="W48">INDEX($L$4:$L$444,MATCH(1,($C$4:$C$444=$Q48)*($B$4:$B$444=W$33),0))</f>
        <v>4.5</v>
      </c>
      <c r="X48" s="6" cm="1">
        <f t="array" ref="X48">INDEX($L$4:$L$444,MATCH(1,($C$4:$C$444=$Q48)*($B$4:$B$444=X$33),0))</f>
        <v>4.5</v>
      </c>
      <c r="Y48" s="6" cm="1">
        <f t="array" ref="Y48">INDEX($L$4:$L$444,MATCH(1,($C$4:$C$444=$Q48)*($B$4:$B$444=Y$33),0))</f>
        <v>4.5</v>
      </c>
      <c r="Z48" s="6" cm="1">
        <f t="array" ref="Z48">INDEX($L$4:$L$444,MATCH(1,($C$4:$C$444=$Q48)*($B$4:$B$444=Z$33),0))</f>
        <v>4.5</v>
      </c>
      <c r="AA48" s="6" cm="1">
        <f t="array" ref="AA48">INDEX($L$4:$L$444,MATCH(1,($C$4:$C$444=$Q48)*($B$4:$B$444=AA$33),0))</f>
        <v>4.5</v>
      </c>
      <c r="AB48" s="6" cm="1">
        <f t="array" ref="AB48">INDEX($L$4:$L$444,MATCH(1,($C$4:$C$444=$Q48)*($B$4:$B$444=AB$33),0))</f>
        <v>4.5</v>
      </c>
      <c r="AC48" s="6" cm="1">
        <f t="array" ref="AC48">INDEX($L$4:$L$444,MATCH(1,($C$4:$C$444=$Q48)*($B$4:$B$444=AC$33),0))</f>
        <v>4.5</v>
      </c>
      <c r="AD48" s="6" cm="1">
        <f t="array" ref="AD48">INDEX($L$4:$L$444,MATCH(1,($C$4:$C$444=$Q48)*($B$4:$B$444=AD$33),0))</f>
        <v>4.5</v>
      </c>
      <c r="AE48" s="6" cm="1">
        <f t="array" ref="AE48">INDEX($L$4:$L$444,MATCH(1,($C$4:$C$444=$Q48)*($B$4:$B$444=AE$33),0))</f>
        <v>4.5</v>
      </c>
      <c r="AF48" s="6" cm="1">
        <f t="array" ref="AF48">INDEX($L$4:$L$444,MATCH(1,($C$4:$C$444=$Q48)*($B$4:$B$444=AF$33),0))</f>
        <v>4.5</v>
      </c>
      <c r="AG48" s="6" cm="1">
        <f t="array" ref="AG48">INDEX($L$4:$L$444,MATCH(1,($C$4:$C$444=$Q48)*($B$4:$B$444=AG$33),0))</f>
        <v>4.5</v>
      </c>
      <c r="AH48" s="6" cm="1">
        <f t="array" ref="AH48">INDEX($L$4:$L$444,MATCH(1,($C$4:$C$444=$Q48)*($B$4:$B$444=AH$33),0))</f>
        <v>4.5</v>
      </c>
      <c r="AI48" s="6" cm="1">
        <f t="array" ref="AI48">INDEX($L$4:$L$444,MATCH(1,($C$4:$C$444=$Q48)*($B$4:$B$444=AI$33),0))</f>
        <v>4.5</v>
      </c>
      <c r="AJ48" s="6" cm="1">
        <f t="array" ref="AJ48">INDEX($L$4:$L$444,MATCH(1,($C$4:$C$444=$Q48)*($B$4:$B$444=AJ$33),0))</f>
        <v>4.5</v>
      </c>
      <c r="AK48" s="6" cm="1">
        <f t="array" ref="AK48">INDEX($L$4:$L$444,MATCH(1,($C$4:$C$444=$Q48)*($B$4:$B$444=AK$33),0))</f>
        <v>4.5</v>
      </c>
      <c r="AL48" s="6" cm="1">
        <f t="array" ref="AL48">INDEX($L$4:$L$444,MATCH(1,($C$4:$C$444=$Q48)*($B$4:$B$444=AL$33),0))</f>
        <v>4.5</v>
      </c>
      <c r="AM48" s="6" cm="1">
        <f t="array" ref="AM48">INDEX($L$4:$L$444,MATCH(1,($C$4:$C$444=$Q48)*($B$4:$B$444=AM$33),0))</f>
        <v>4.5</v>
      </c>
      <c r="AN48" s="6" cm="1">
        <f t="array" ref="AN48">INDEX($L$4:$L$444,MATCH(1,($C$4:$C$444=$Q48)*($B$4:$B$444=AN$33),0))</f>
        <v>4.05</v>
      </c>
      <c r="AO48" s="7" t="s">
        <v>107</v>
      </c>
      <c r="AP48" s="4"/>
      <c r="AQ48" s="4"/>
    </row>
    <row r="49" spans="2:43" x14ac:dyDescent="0.25">
      <c r="B49" s="2" t="s">
        <v>86</v>
      </c>
      <c r="C49" t="s">
        <v>9</v>
      </c>
      <c r="D49" t="s">
        <v>32</v>
      </c>
      <c r="E49" t="s">
        <v>61</v>
      </c>
      <c r="F49">
        <v>1.7010000000000003</v>
      </c>
      <c r="G49" t="s">
        <v>57</v>
      </c>
      <c r="H49" t="s">
        <v>58</v>
      </c>
      <c r="I49">
        <v>170.10000000000002</v>
      </c>
      <c r="J49" t="s">
        <v>62</v>
      </c>
      <c r="L49">
        <f t="shared" si="0"/>
        <v>1.7010000000000003</v>
      </c>
      <c r="O49" s="4" t="str">
        <v>4th</v>
      </c>
      <c r="P49" s="4"/>
      <c r="Q49" s="4" t="str">
        <v>D4011.031a</v>
      </c>
      <c r="R49" s="4" t="str">
        <v>D4011.031a    Fire Sprinkler Drop Standard Threaded Steel - Dropping into unbraced lay-in tile SOFT ceiling - 6 ft. long drop maximum, SDC A or B</v>
      </c>
      <c r="S49" s="4" t="s">
        <v>44</v>
      </c>
      <c r="T49" s="16" t="str">
        <f t="shared" si="2"/>
        <v xml:space="preserve">   Fire Sprinkler Drop Standard Threaded Steel - Dropping into unbraced lay-in tile SOFT ceiling - 6 ft. long drop maximum, SDC A or B</v>
      </c>
      <c r="U49" s="6" t="str">
        <v>EA</v>
      </c>
      <c r="V49" s="6" cm="1">
        <f t="array" ref="V49">INDEX($L$4:$L$444,MATCH(1,($C$4:$C$444=$Q49)*($B$4:$B$444=V$33),0))</f>
        <v>2.0249999999999999</v>
      </c>
      <c r="W49" s="6" cm="1">
        <f t="array" ref="W49">INDEX($L$4:$L$444,MATCH(1,($C$4:$C$444=$Q49)*($B$4:$B$444=W$33),0))</f>
        <v>2.0249999999999999</v>
      </c>
      <c r="X49" s="6" cm="1">
        <f t="array" ref="X49">INDEX($L$4:$L$444,MATCH(1,($C$4:$C$444=$Q49)*($B$4:$B$444=X$33),0))</f>
        <v>2.0249999999999999</v>
      </c>
      <c r="Y49" s="6" cm="1">
        <f t="array" ref="Y49">INDEX($L$4:$L$444,MATCH(1,($C$4:$C$444=$Q49)*($B$4:$B$444=Y$33),0))</f>
        <v>2.0249999999999999</v>
      </c>
      <c r="Z49" s="6" cm="1">
        <f t="array" ref="Z49">INDEX($L$4:$L$444,MATCH(1,($C$4:$C$444=$Q49)*($B$4:$B$444=Z$33),0))</f>
        <v>2.0249999999999999</v>
      </c>
      <c r="AA49" s="6" cm="1">
        <f t="array" ref="AA49">INDEX($L$4:$L$444,MATCH(1,($C$4:$C$444=$Q49)*($B$4:$B$444=AA$33),0))</f>
        <v>2.0249999999999999</v>
      </c>
      <c r="AB49" s="6" cm="1">
        <f t="array" ref="AB49">INDEX($L$4:$L$444,MATCH(1,($C$4:$C$444=$Q49)*($B$4:$B$444=AB$33),0))</f>
        <v>2.0249999999999999</v>
      </c>
      <c r="AC49" s="6" cm="1">
        <f t="array" ref="AC49">INDEX($L$4:$L$444,MATCH(1,($C$4:$C$444=$Q49)*($B$4:$B$444=AC$33),0))</f>
        <v>2.0249999999999999</v>
      </c>
      <c r="AD49" s="6" cm="1">
        <f t="array" ref="AD49">INDEX($L$4:$L$444,MATCH(1,($C$4:$C$444=$Q49)*($B$4:$B$444=AD$33),0))</f>
        <v>2.0249999999999999</v>
      </c>
      <c r="AE49" s="6" cm="1">
        <f t="array" ref="AE49">INDEX($L$4:$L$444,MATCH(1,($C$4:$C$444=$Q49)*($B$4:$B$444=AE$33),0))</f>
        <v>2.0249999999999999</v>
      </c>
      <c r="AF49" s="6" cm="1">
        <f t="array" ref="AF49">INDEX($L$4:$L$444,MATCH(1,($C$4:$C$444=$Q49)*($B$4:$B$444=AF$33),0))</f>
        <v>2.0249999999999999</v>
      </c>
      <c r="AG49" s="6" cm="1">
        <f t="array" ref="AG49">INDEX($L$4:$L$444,MATCH(1,($C$4:$C$444=$Q49)*($B$4:$B$444=AG$33),0))</f>
        <v>2.0249999999999999</v>
      </c>
      <c r="AH49" s="6" cm="1">
        <f t="array" ref="AH49">INDEX($L$4:$L$444,MATCH(1,($C$4:$C$444=$Q49)*($B$4:$B$444=AH$33),0))</f>
        <v>2.0249999999999999</v>
      </c>
      <c r="AI49" s="6" cm="1">
        <f t="array" ref="AI49">INDEX($L$4:$L$444,MATCH(1,($C$4:$C$444=$Q49)*($B$4:$B$444=AI$33),0))</f>
        <v>2.0249999999999999</v>
      </c>
      <c r="AJ49" s="6" cm="1">
        <f t="array" ref="AJ49">INDEX($L$4:$L$444,MATCH(1,($C$4:$C$444=$Q49)*($B$4:$B$444=AJ$33),0))</f>
        <v>2.0249999999999999</v>
      </c>
      <c r="AK49" s="6" cm="1">
        <f t="array" ref="AK49">INDEX($L$4:$L$444,MATCH(1,($C$4:$C$444=$Q49)*($B$4:$B$444=AK$33),0))</f>
        <v>2.0249999999999999</v>
      </c>
      <c r="AL49" s="6" cm="1">
        <f t="array" ref="AL49">INDEX($L$4:$L$444,MATCH(1,($C$4:$C$444=$Q49)*($B$4:$B$444=AL$33),0))</f>
        <v>2.0249999999999999</v>
      </c>
      <c r="AM49" s="6" cm="1">
        <f t="array" ref="AM49">INDEX($L$4:$L$444,MATCH(1,($C$4:$C$444=$Q49)*($B$4:$B$444=AM$33),0))</f>
        <v>2.0249999999999999</v>
      </c>
      <c r="AN49" s="6" cm="1">
        <f t="array" ref="AN49">INDEX($L$4:$L$444,MATCH(1,($C$4:$C$444=$Q49)*($B$4:$B$444=AN$33),0))</f>
        <v>1.8</v>
      </c>
      <c r="AO49" s="7" t="s">
        <v>107</v>
      </c>
      <c r="AP49" s="4"/>
      <c r="AQ49" s="4"/>
    </row>
    <row r="50" spans="2:43" hidden="1" x14ac:dyDescent="0.25">
      <c r="B50" s="2" t="s">
        <v>86</v>
      </c>
      <c r="C50" t="s">
        <v>10</v>
      </c>
      <c r="D50" t="s">
        <v>33</v>
      </c>
      <c r="E50" t="s">
        <v>60</v>
      </c>
      <c r="F50" t="s">
        <v>57</v>
      </c>
      <c r="G50">
        <v>168.75</v>
      </c>
      <c r="H50" t="s">
        <v>58</v>
      </c>
      <c r="I50">
        <v>16875</v>
      </c>
      <c r="J50" t="s">
        <v>59</v>
      </c>
      <c r="L50">
        <f t="shared" si="0"/>
        <v>168.75</v>
      </c>
      <c r="O50" s="4" t="str">
        <v>3rd</v>
      </c>
      <c r="P50" s="4"/>
      <c r="Q50" s="4">
        <v>0</v>
      </c>
      <c r="R50" s="4" t="e">
        <v>#N/A</v>
      </c>
      <c r="S50" s="4"/>
      <c r="T50" s="16" t="e">
        <f t="shared" si="2"/>
        <v>#VALUE!</v>
      </c>
      <c r="U50" s="6" t="e">
        <v>#N/A</v>
      </c>
      <c r="V50" s="6" t="e" cm="1">
        <f t="array" ref="V50">INDEX($L$4:$L$444,MATCH(1,($C$4:$C$444=$Q50)*($B$4:$B$444=V$33),0))</f>
        <v>#N/A</v>
      </c>
      <c r="W50" s="6" t="e" cm="1">
        <f t="array" ref="W50">INDEX($L$4:$L$444,MATCH(1,($C$4:$C$444=$Q50)*($B$4:$B$444=W$33),0))</f>
        <v>#N/A</v>
      </c>
      <c r="X50" s="6" t="e" cm="1">
        <f t="array" ref="X50">INDEX($L$4:$L$444,MATCH(1,($C$4:$C$444=$Q50)*($B$4:$B$444=X$33),0))</f>
        <v>#N/A</v>
      </c>
      <c r="Y50" s="6" t="e" cm="1">
        <f t="array" ref="Y50">INDEX($L$4:$L$444,MATCH(1,($C$4:$C$444=$Q50)*($B$4:$B$444=Y$33),0))</f>
        <v>#N/A</v>
      </c>
      <c r="Z50" s="6" t="e" cm="1">
        <f t="array" ref="Z50">INDEX($L$4:$L$444,MATCH(1,($C$4:$C$444=$Q50)*($B$4:$B$444=Z$33),0))</f>
        <v>#N/A</v>
      </c>
      <c r="AA50" s="6" t="e" cm="1">
        <f t="array" ref="AA50">INDEX($L$4:$L$444,MATCH(1,($C$4:$C$444=$Q50)*($B$4:$B$444=AA$33),0))</f>
        <v>#N/A</v>
      </c>
      <c r="AB50" s="6" t="e" cm="1">
        <f t="array" ref="AB50">INDEX($L$4:$L$444,MATCH(1,($C$4:$C$444=$Q50)*($B$4:$B$444=AB$33),0))</f>
        <v>#N/A</v>
      </c>
      <c r="AC50" s="6" t="e" cm="1">
        <f t="array" ref="AC50">INDEX($L$4:$L$444,MATCH(1,($C$4:$C$444=$Q50)*($B$4:$B$444=AC$33),0))</f>
        <v>#N/A</v>
      </c>
      <c r="AD50" s="6" t="e" cm="1">
        <f t="array" ref="AD50">INDEX($L$4:$L$444,MATCH(1,($C$4:$C$444=$Q50)*($B$4:$B$444=AD$33),0))</f>
        <v>#N/A</v>
      </c>
      <c r="AE50" s="6" t="e" cm="1">
        <f t="array" ref="AE50">INDEX($L$4:$L$444,MATCH(1,($C$4:$C$444=$Q50)*($B$4:$B$444=AE$33),0))</f>
        <v>#N/A</v>
      </c>
      <c r="AF50" s="6" t="e" cm="1">
        <f t="array" ref="AF50">INDEX($L$4:$L$444,MATCH(1,($C$4:$C$444=$Q50)*($B$4:$B$444=AF$33),0))</f>
        <v>#N/A</v>
      </c>
      <c r="AG50" s="6" t="e" cm="1">
        <f t="array" ref="AG50">INDEX($L$4:$L$444,MATCH(1,($C$4:$C$444=$Q50)*($B$4:$B$444=AG$33),0))</f>
        <v>#N/A</v>
      </c>
      <c r="AH50" s="6" t="e" cm="1">
        <f t="array" ref="AH50">INDEX($L$4:$L$444,MATCH(1,($C$4:$C$444=$Q50)*($B$4:$B$444=AH$33),0))</f>
        <v>#N/A</v>
      </c>
      <c r="AI50" s="6" t="e" cm="1">
        <f t="array" ref="AI50">INDEX($L$4:$L$444,MATCH(1,($C$4:$C$444=$Q50)*($B$4:$B$444=AI$33),0))</f>
        <v>#N/A</v>
      </c>
      <c r="AJ50" s="6" t="e" cm="1">
        <f t="array" ref="AJ50">INDEX($L$4:$L$444,MATCH(1,($C$4:$C$444=$Q50)*($B$4:$B$444=AJ$33),0))</f>
        <v>#N/A</v>
      </c>
      <c r="AK50" s="6" t="e" cm="1">
        <f t="array" ref="AK50">INDEX($L$4:$L$444,MATCH(1,($C$4:$C$444=$Q50)*($B$4:$B$444=AK$33),0))</f>
        <v>#N/A</v>
      </c>
      <c r="AL50" s="6" t="e" cm="1">
        <f t="array" ref="AL50">INDEX($L$4:$L$444,MATCH(1,($C$4:$C$444=$Q50)*($B$4:$B$444=AL$33),0))</f>
        <v>#N/A</v>
      </c>
      <c r="AM50" s="6" t="e" cm="1">
        <f t="array" ref="AM50">INDEX($L$4:$L$444,MATCH(1,($C$4:$C$444=$Q50)*($B$4:$B$444=AM$33),0))</f>
        <v>#N/A</v>
      </c>
      <c r="AN50" s="6" t="e" cm="1">
        <f t="array" ref="AN50">INDEX($L$4:$L$444,MATCH(1,($C$4:$C$444=$Q50)*($B$4:$B$444=AN$33),0))</f>
        <v>#N/A</v>
      </c>
      <c r="AO50" s="6"/>
      <c r="AP50" s="4"/>
      <c r="AQ50" s="4"/>
    </row>
    <row r="51" spans="2:43" x14ac:dyDescent="0.25">
      <c r="B51" s="2" t="s">
        <v>86</v>
      </c>
      <c r="C51" t="s">
        <v>11</v>
      </c>
      <c r="D51" t="s">
        <v>34</v>
      </c>
      <c r="E51" t="s">
        <v>63</v>
      </c>
      <c r="F51" t="s">
        <v>57</v>
      </c>
      <c r="G51">
        <v>81</v>
      </c>
      <c r="H51" t="s">
        <v>58</v>
      </c>
      <c r="I51">
        <v>20250</v>
      </c>
      <c r="J51" t="s">
        <v>59</v>
      </c>
      <c r="L51">
        <f t="shared" si="0"/>
        <v>81</v>
      </c>
      <c r="O51" s="4" t="str">
        <v>2nd</v>
      </c>
      <c r="P51" s="4"/>
      <c r="Q51" s="4" t="str">
        <v>C2011.001a</v>
      </c>
      <c r="R51" s="4" t="str">
        <v>C2011.001a    Prefabricated steel stair with steel treads and landings with seismic joints that accommodate drift.</v>
      </c>
      <c r="S51" s="4" t="s">
        <v>45</v>
      </c>
      <c r="T51" s="16" t="str">
        <f t="shared" si="2"/>
        <v xml:space="preserve">   Prefabricated steel stair with steel treads and landings with seismic joints that accommodate drift.</v>
      </c>
      <c r="U51" s="6" t="str">
        <v>EA</v>
      </c>
      <c r="V51" s="6" cm="1">
        <f t="array" ref="V51">INDEX($L$4:$L$444,MATCH(1,($C$4:$C$444=$Q51)*($B$4:$B$444=V$33),0))</f>
        <v>2.25</v>
      </c>
      <c r="W51" s="6" cm="1">
        <f t="array" ref="W51">INDEX($L$4:$L$444,MATCH(1,($C$4:$C$444=$Q51)*($B$4:$B$444=W$33),0))</f>
        <v>2.25</v>
      </c>
      <c r="X51" s="6" cm="1">
        <f t="array" ref="X51">INDEX($L$4:$L$444,MATCH(1,($C$4:$C$444=$Q51)*($B$4:$B$444=X$33),0))</f>
        <v>2.25</v>
      </c>
      <c r="Y51" s="6" cm="1">
        <f t="array" ref="Y51">INDEX($L$4:$L$444,MATCH(1,($C$4:$C$444=$Q51)*($B$4:$B$444=Y$33),0))</f>
        <v>2.25</v>
      </c>
      <c r="Z51" s="6" cm="1">
        <f t="array" ref="Z51">INDEX($L$4:$L$444,MATCH(1,($C$4:$C$444=$Q51)*($B$4:$B$444=Z$33),0))</f>
        <v>2.25</v>
      </c>
      <c r="AA51" s="6" cm="1">
        <f t="array" ref="AA51">INDEX($L$4:$L$444,MATCH(1,($C$4:$C$444=$Q51)*($B$4:$B$444=AA$33),0))</f>
        <v>2.25</v>
      </c>
      <c r="AB51" s="6" cm="1">
        <f t="array" ref="AB51">INDEX($L$4:$L$444,MATCH(1,($C$4:$C$444=$Q51)*($B$4:$B$444=AB$33),0))</f>
        <v>2.25</v>
      </c>
      <c r="AC51" s="6" cm="1">
        <f t="array" ref="AC51">INDEX($L$4:$L$444,MATCH(1,($C$4:$C$444=$Q51)*($B$4:$B$444=AC$33),0))</f>
        <v>2.25</v>
      </c>
      <c r="AD51" s="6" cm="1">
        <f t="array" ref="AD51">INDEX($L$4:$L$444,MATCH(1,($C$4:$C$444=$Q51)*($B$4:$B$444=AD$33),0))</f>
        <v>2.25</v>
      </c>
      <c r="AE51" s="6" cm="1">
        <f t="array" ref="AE51">INDEX($L$4:$L$444,MATCH(1,($C$4:$C$444=$Q51)*($B$4:$B$444=AE$33),0))</f>
        <v>2.25</v>
      </c>
      <c r="AF51" s="6" cm="1">
        <f t="array" ref="AF51">INDEX($L$4:$L$444,MATCH(1,($C$4:$C$444=$Q51)*($B$4:$B$444=AF$33),0))</f>
        <v>2.25</v>
      </c>
      <c r="AG51" s="6" cm="1">
        <f t="array" ref="AG51">INDEX($L$4:$L$444,MATCH(1,($C$4:$C$444=$Q51)*($B$4:$B$444=AG$33),0))</f>
        <v>2.25</v>
      </c>
      <c r="AH51" s="6" cm="1">
        <f t="array" ref="AH51">INDEX($L$4:$L$444,MATCH(1,($C$4:$C$444=$Q51)*($B$4:$B$444=AH$33),0))</f>
        <v>2.25</v>
      </c>
      <c r="AI51" s="6" cm="1">
        <f t="array" ref="AI51">INDEX($L$4:$L$444,MATCH(1,($C$4:$C$444=$Q51)*($B$4:$B$444=AI$33),0))</f>
        <v>2.25</v>
      </c>
      <c r="AJ51" s="6" cm="1">
        <f t="array" ref="AJ51">INDEX($L$4:$L$444,MATCH(1,($C$4:$C$444=$Q51)*($B$4:$B$444=AJ$33),0))</f>
        <v>2.25</v>
      </c>
      <c r="AK51" s="6" cm="1">
        <f t="array" ref="AK51">INDEX($L$4:$L$444,MATCH(1,($C$4:$C$444=$Q51)*($B$4:$B$444=AK$33),0))</f>
        <v>2.25</v>
      </c>
      <c r="AL51" s="6" cm="1">
        <f t="array" ref="AL51">INDEX($L$4:$L$444,MATCH(1,($C$4:$C$444=$Q51)*($B$4:$B$444=AL$33),0))</f>
        <v>2.25</v>
      </c>
      <c r="AM51" s="6" cm="1">
        <f t="array" ref="AM51">INDEX($L$4:$L$444,MATCH(1,($C$4:$C$444=$Q51)*($B$4:$B$444=AM$33),0))</f>
        <v>2.25</v>
      </c>
      <c r="AN51" s="6" cm="1">
        <f t="array" ref="AN51">INDEX($L$4:$L$444,MATCH(1,($C$4:$C$444=$Q51)*($B$4:$B$444=AN$33),0))</f>
        <v>2.25</v>
      </c>
      <c r="AO51" s="7" t="s">
        <v>107</v>
      </c>
      <c r="AP51" s="4"/>
      <c r="AQ51" s="4"/>
    </row>
    <row r="52" spans="2:43" x14ac:dyDescent="0.25">
      <c r="B52" s="2" t="s">
        <v>86</v>
      </c>
      <c r="C52" t="s">
        <v>11</v>
      </c>
      <c r="D52" t="s">
        <v>34</v>
      </c>
      <c r="E52" t="s">
        <v>63</v>
      </c>
      <c r="F52" t="s">
        <v>57</v>
      </c>
      <c r="G52">
        <v>4.5</v>
      </c>
      <c r="H52" t="s">
        <v>58</v>
      </c>
      <c r="I52">
        <v>1125</v>
      </c>
      <c r="J52" t="s">
        <v>59</v>
      </c>
      <c r="L52">
        <f t="shared" si="0"/>
        <v>4.5</v>
      </c>
      <c r="O52" s="4" t="str">
        <v>1st</v>
      </c>
      <c r="P52" s="4"/>
      <c r="Q52" s="4" t="str">
        <v>D5012.021a</v>
      </c>
      <c r="R52" s="4" t="str">
        <v>D5012.021a    Low Voltage Switchgear - Capacity: 100 to &lt;350 Amp - Unanchored equipment that is not vibration isolated - Equipment fragility only</v>
      </c>
      <c r="S52" s="4" t="s">
        <v>46</v>
      </c>
      <c r="T52" s="16" t="str">
        <f t="shared" si="2"/>
        <v xml:space="preserve">   Low Voltage Switchgear - Capacity: 100 to &lt;350 Amp - Unanchored equipment that is not vibration isolated - Equipment fragility only</v>
      </c>
      <c r="U52" s="6" t="str">
        <v>AP</v>
      </c>
      <c r="V52" s="6" cm="1">
        <f t="array" ref="V52">INDEX($L$4:$L$444,MATCH(1,($C$4:$C$444=$Q52)*($B$4:$B$444=V$33),0))</f>
        <v>2.9999999999999995E-2</v>
      </c>
      <c r="W52" s="6" cm="1">
        <f t="array" ref="W52">INDEX($L$4:$L$444,MATCH(1,($C$4:$C$444=$Q52)*($B$4:$B$444=W$33),0))</f>
        <v>2.9999999999999995E-2</v>
      </c>
      <c r="X52" s="6" cm="1">
        <f t="array" ref="X52">INDEX($L$4:$L$444,MATCH(1,($C$4:$C$444=$Q52)*($B$4:$B$444=X$33),0))</f>
        <v>2.9999999999999995E-2</v>
      </c>
      <c r="Y52" s="6" cm="1">
        <f t="array" ref="Y52">INDEX($L$4:$L$444,MATCH(1,($C$4:$C$444=$Q52)*($B$4:$B$444=Y$33),0))</f>
        <v>2.9999999999999995E-2</v>
      </c>
      <c r="Z52" s="6" cm="1">
        <f t="array" ref="Z52">INDEX($L$4:$L$444,MATCH(1,($C$4:$C$444=$Q52)*($B$4:$B$444=Z$33),0))</f>
        <v>2.9999999999999995E-2</v>
      </c>
      <c r="AA52" s="6" cm="1">
        <f t="array" ref="AA52">INDEX($L$4:$L$444,MATCH(1,($C$4:$C$444=$Q52)*($B$4:$B$444=AA$33),0))</f>
        <v>2.9999999999999995E-2</v>
      </c>
      <c r="AB52" s="6" cm="1">
        <f t="array" ref="AB52">INDEX($L$4:$L$444,MATCH(1,($C$4:$C$444=$Q52)*($B$4:$B$444=AB$33),0))</f>
        <v>2.9999999999999995E-2</v>
      </c>
      <c r="AC52" s="6" cm="1">
        <f t="array" ref="AC52">INDEX($L$4:$L$444,MATCH(1,($C$4:$C$444=$Q52)*($B$4:$B$444=AC$33),0))</f>
        <v>2.9999999999999995E-2</v>
      </c>
      <c r="AD52" s="6" cm="1">
        <f t="array" ref="AD52">INDEX($L$4:$L$444,MATCH(1,($C$4:$C$444=$Q52)*($B$4:$B$444=AD$33),0))</f>
        <v>2.9999999999999995E-2</v>
      </c>
      <c r="AE52" s="6" cm="1">
        <f t="array" ref="AE52">INDEX($L$4:$L$444,MATCH(1,($C$4:$C$444=$Q52)*($B$4:$B$444=AE$33),0))</f>
        <v>2.9999999999999995E-2</v>
      </c>
      <c r="AF52" s="6" cm="1">
        <f t="array" ref="AF52">INDEX($L$4:$L$444,MATCH(1,($C$4:$C$444=$Q52)*($B$4:$B$444=AF$33),0))</f>
        <v>2.9999999999999995E-2</v>
      </c>
      <c r="AG52" s="6" cm="1">
        <f t="array" ref="AG52">INDEX($L$4:$L$444,MATCH(1,($C$4:$C$444=$Q52)*($B$4:$B$444=AG$33),0))</f>
        <v>2.9999999999999995E-2</v>
      </c>
      <c r="AH52" s="6" cm="1">
        <f t="array" ref="AH52">INDEX($L$4:$L$444,MATCH(1,($C$4:$C$444=$Q52)*($B$4:$B$444=AH$33),0))</f>
        <v>2.9999999999999995E-2</v>
      </c>
      <c r="AI52" s="6" cm="1">
        <f t="array" ref="AI52">INDEX($L$4:$L$444,MATCH(1,($C$4:$C$444=$Q52)*($B$4:$B$444=AI$33),0))</f>
        <v>2.9999999999999995E-2</v>
      </c>
      <c r="AJ52" s="6" cm="1">
        <f t="array" ref="AJ52">INDEX($L$4:$L$444,MATCH(1,($C$4:$C$444=$Q52)*($B$4:$B$444=AJ$33),0))</f>
        <v>2.9999999999999995E-2</v>
      </c>
      <c r="AK52" s="6" cm="1">
        <f t="array" ref="AK52">INDEX($L$4:$L$444,MATCH(1,($C$4:$C$444=$Q52)*($B$4:$B$444=AK$33),0))</f>
        <v>2.9999999999999995E-2</v>
      </c>
      <c r="AL52" s="6" cm="1">
        <f t="array" ref="AL52">INDEX($L$4:$L$444,MATCH(1,($C$4:$C$444=$Q52)*($B$4:$B$444=AL$33),0))</f>
        <v>2.9999999999999995E-2</v>
      </c>
      <c r="AM52" s="6" cm="1">
        <f t="array" ref="AM52">INDEX($L$4:$L$444,MATCH(1,($C$4:$C$444=$Q52)*($B$4:$B$444=AM$33),0))</f>
        <v>2.9999999999999995E-2</v>
      </c>
      <c r="AN52" s="6" cm="1">
        <f t="array" ref="AN52">INDEX($L$4:$L$444,MATCH(1,($C$4:$C$444=$Q52)*($B$4:$B$444=AN$33),0))</f>
        <v>2.9999999999999995E-2</v>
      </c>
      <c r="AO52" s="7" t="s">
        <v>107</v>
      </c>
      <c r="AP52" s="4"/>
      <c r="AQ52" s="4"/>
    </row>
    <row r="53" spans="2:43" x14ac:dyDescent="0.25">
      <c r="B53" s="2" t="s">
        <v>86</v>
      </c>
      <c r="C53" t="s">
        <v>11</v>
      </c>
      <c r="D53" t="s">
        <v>34</v>
      </c>
      <c r="E53" t="s">
        <v>63</v>
      </c>
      <c r="F53" t="s">
        <v>57</v>
      </c>
      <c r="G53">
        <v>2.7</v>
      </c>
      <c r="H53" t="s">
        <v>58</v>
      </c>
      <c r="I53">
        <v>675</v>
      </c>
      <c r="J53" t="s">
        <v>59</v>
      </c>
      <c r="L53">
        <f t="shared" si="0"/>
        <v>2.7</v>
      </c>
      <c r="O53" s="4" t="str">
        <v>Ground</v>
      </c>
      <c r="P53" s="4"/>
      <c r="Q53" s="4" t="str">
        <v>D1014.011</v>
      </c>
      <c r="R53" s="4" t="str">
        <v>D1014.011    Traction Elevator – Applies to most California Installations 1976 or later, most western states installations 1982 or later and most other U.S installations 1998 or later.</v>
      </c>
      <c r="S53" s="4" t="s">
        <v>47</v>
      </c>
      <c r="T53" s="16" t="str">
        <f t="shared" si="2"/>
        <v xml:space="preserve">   Traction Elevator – Applies to most California Installations 1976 or later, most western states installations 1982 or later and most other U.S installations 1998 or later.</v>
      </c>
      <c r="U53" s="6" t="str">
        <v>EA</v>
      </c>
      <c r="V53" s="7" t="s">
        <v>107</v>
      </c>
      <c r="W53" s="7" t="s">
        <v>107</v>
      </c>
      <c r="X53" s="7" t="s">
        <v>107</v>
      </c>
      <c r="Y53" s="7" t="s">
        <v>107</v>
      </c>
      <c r="Z53" s="7" t="s">
        <v>107</v>
      </c>
      <c r="AA53" s="7" t="s">
        <v>107</v>
      </c>
      <c r="AB53" s="7" t="s">
        <v>107</v>
      </c>
      <c r="AC53" s="7" t="s">
        <v>107</v>
      </c>
      <c r="AD53" s="7" t="s">
        <v>107</v>
      </c>
      <c r="AE53" s="7" t="s">
        <v>107</v>
      </c>
      <c r="AF53" s="7" t="s">
        <v>107</v>
      </c>
      <c r="AG53" s="7" t="s">
        <v>107</v>
      </c>
      <c r="AH53" s="7" t="s">
        <v>107</v>
      </c>
      <c r="AI53" s="7" t="s">
        <v>107</v>
      </c>
      <c r="AJ53" s="7" t="s">
        <v>107</v>
      </c>
      <c r="AK53" s="7" t="s">
        <v>107</v>
      </c>
      <c r="AL53" s="7" t="s">
        <v>107</v>
      </c>
      <c r="AM53" s="7" t="s">
        <v>107</v>
      </c>
      <c r="AN53" s="7" t="s">
        <v>107</v>
      </c>
      <c r="AO53" s="6" cm="1">
        <f t="array" ref="AO53">INDEX($L$4:$L$444,MATCH(1,($C$4:$C$444=$Q53)*($B$4:$B$444=AO$33),0))</f>
        <v>13.590000000000003</v>
      </c>
      <c r="AP53" s="4"/>
      <c r="AQ53" s="4"/>
    </row>
    <row r="54" spans="2:43" x14ac:dyDescent="0.25">
      <c r="B54" s="2" t="s">
        <v>86</v>
      </c>
      <c r="C54" t="s">
        <v>11</v>
      </c>
      <c r="D54" t="s">
        <v>34</v>
      </c>
      <c r="E54" t="s">
        <v>63</v>
      </c>
      <c r="F54" t="s">
        <v>57</v>
      </c>
      <c r="G54">
        <v>1.7999999999999916</v>
      </c>
      <c r="H54" t="s">
        <v>58</v>
      </c>
      <c r="I54">
        <v>449.9999999999979</v>
      </c>
      <c r="J54" t="s">
        <v>59</v>
      </c>
      <c r="L54">
        <f t="shared" si="0"/>
        <v>1.7999999999999916</v>
      </c>
      <c r="O54" s="4">
        <v>0</v>
      </c>
      <c r="P54" s="4"/>
      <c r="Q54" s="4" t="str">
        <v>D3031.011a</v>
      </c>
      <c r="R54" s="4" t="str">
        <v>D3031.011a    Chiller - Capacity: &lt; 100 Ton - Unanchored equipment that is not vibration isolated - Equipment fragility only</v>
      </c>
      <c r="S54" s="4" t="s">
        <v>48</v>
      </c>
      <c r="T54" s="16" t="str">
        <f t="shared" si="2"/>
        <v xml:space="preserve">   Chiller - Capacity: &lt; 100 Ton - Unanchored equipment that is not vibration isolated - Equipment fragility only</v>
      </c>
      <c r="U54" s="6" t="str">
        <v>TN</v>
      </c>
      <c r="V54" s="7" t="s">
        <v>107</v>
      </c>
      <c r="W54" s="7" t="s">
        <v>107</v>
      </c>
      <c r="X54" s="7" t="s">
        <v>107</v>
      </c>
      <c r="Y54" s="7" t="s">
        <v>107</v>
      </c>
      <c r="Z54" s="7" t="s">
        <v>107</v>
      </c>
      <c r="AA54" s="7" t="s">
        <v>107</v>
      </c>
      <c r="AB54" s="7" t="s">
        <v>107</v>
      </c>
      <c r="AC54" s="7" t="s">
        <v>107</v>
      </c>
      <c r="AD54" s="7" t="s">
        <v>107</v>
      </c>
      <c r="AE54" s="7" t="s">
        <v>107</v>
      </c>
      <c r="AF54" s="7" t="s">
        <v>107</v>
      </c>
      <c r="AG54" s="7" t="s">
        <v>107</v>
      </c>
      <c r="AH54" s="7" t="s">
        <v>107</v>
      </c>
      <c r="AI54" s="7" t="s">
        <v>107</v>
      </c>
      <c r="AJ54" s="7" t="s">
        <v>107</v>
      </c>
      <c r="AK54" s="7" t="s">
        <v>107</v>
      </c>
      <c r="AL54" s="7" t="s">
        <v>107</v>
      </c>
      <c r="AM54" s="7" t="s">
        <v>107</v>
      </c>
      <c r="AN54" s="7" t="s">
        <v>107</v>
      </c>
      <c r="AO54" s="6" cm="1">
        <f t="array" ref="AO54">INDEX($L$4:$L$444,MATCH(1,($C$4:$C$444=$Q54)*($B$4:$B$444=AO$33),0))</f>
        <v>15.390000000000006</v>
      </c>
      <c r="AP54" s="4"/>
      <c r="AQ54" s="4"/>
    </row>
    <row r="55" spans="2:43" x14ac:dyDescent="0.25">
      <c r="B55" s="2" t="s">
        <v>86</v>
      </c>
      <c r="C55" t="s">
        <v>12</v>
      </c>
      <c r="D55" t="s">
        <v>35</v>
      </c>
      <c r="E55" t="s">
        <v>64</v>
      </c>
      <c r="F55" t="s">
        <v>57</v>
      </c>
      <c r="G55">
        <v>18</v>
      </c>
      <c r="H55" t="s">
        <v>58</v>
      </c>
      <c r="I55">
        <v>18</v>
      </c>
      <c r="J55" t="s">
        <v>65</v>
      </c>
      <c r="L55">
        <f t="shared" si="0"/>
        <v>18</v>
      </c>
      <c r="O55" s="4" t="str">
        <v>ALL</v>
      </c>
      <c r="P55" s="4"/>
      <c r="Q55" s="4" t="str">
        <v>D3031.021a</v>
      </c>
      <c r="R55" s="4" t="str">
        <v>D3031.021a    Cooling Tower - Capacity: &lt; 100 Ton - Unanchored equipment that is not vibration isolated - Equipment fragility only</v>
      </c>
      <c r="S55" s="4" t="s">
        <v>49</v>
      </c>
      <c r="T55" s="16" t="str">
        <f t="shared" si="2"/>
        <v xml:space="preserve">   Cooling Tower - Capacity: &lt; 100 Ton - Unanchored equipment that is not vibration isolated - Equipment fragility only</v>
      </c>
      <c r="U55" s="6" t="str">
        <v>TN</v>
      </c>
      <c r="V55" s="7" t="s">
        <v>107</v>
      </c>
      <c r="W55" s="7" t="s">
        <v>107</v>
      </c>
      <c r="X55" s="7" t="s">
        <v>107</v>
      </c>
      <c r="Y55" s="7" t="s">
        <v>107</v>
      </c>
      <c r="Z55" s="7" t="s">
        <v>107</v>
      </c>
      <c r="AA55" s="7" t="s">
        <v>107</v>
      </c>
      <c r="AB55" s="7" t="s">
        <v>107</v>
      </c>
      <c r="AC55" s="7" t="s">
        <v>107</v>
      </c>
      <c r="AD55" s="7" t="s">
        <v>107</v>
      </c>
      <c r="AE55" s="7" t="s">
        <v>107</v>
      </c>
      <c r="AF55" s="7" t="s">
        <v>107</v>
      </c>
      <c r="AG55" s="7" t="s">
        <v>107</v>
      </c>
      <c r="AH55" s="7" t="s">
        <v>107</v>
      </c>
      <c r="AI55" s="7" t="s">
        <v>107</v>
      </c>
      <c r="AJ55" s="7" t="s">
        <v>107</v>
      </c>
      <c r="AK55" s="7" t="s">
        <v>107</v>
      </c>
      <c r="AL55" s="7" t="s">
        <v>107</v>
      </c>
      <c r="AM55" s="7" t="s">
        <v>107</v>
      </c>
      <c r="AN55" s="7" t="s">
        <v>107</v>
      </c>
      <c r="AO55" s="6" cm="1">
        <f t="array" ref="AO55">INDEX($L$4:$L$444,MATCH(1,($C$4:$C$444=$Q55)*($B$4:$B$444=AO$33),0))</f>
        <v>15.390000000000006</v>
      </c>
      <c r="AP55" s="4"/>
      <c r="AQ55" s="4"/>
    </row>
    <row r="56" spans="2:43" x14ac:dyDescent="0.25">
      <c r="B56" s="2" t="s">
        <v>86</v>
      </c>
      <c r="C56" t="s">
        <v>13</v>
      </c>
      <c r="D56" t="s">
        <v>36</v>
      </c>
      <c r="E56" t="s">
        <v>64</v>
      </c>
      <c r="F56" t="s">
        <v>57</v>
      </c>
      <c r="G56">
        <v>45</v>
      </c>
      <c r="H56" t="s">
        <v>58</v>
      </c>
      <c r="I56">
        <v>45</v>
      </c>
      <c r="J56" t="s">
        <v>65</v>
      </c>
      <c r="L56">
        <f t="shared" si="0"/>
        <v>45</v>
      </c>
      <c r="O56" s="4"/>
      <c r="P56" s="4"/>
      <c r="Q56" s="4" t="str">
        <v>D3052.011a</v>
      </c>
      <c r="R56" s="4" t="str">
        <v>D3052.011a    Air Handling Unit - Capacity: &lt;5000 CFM - Unanchored equipment that is not vibration isolated - Equipment fragility only</v>
      </c>
      <c r="S56" s="4" t="s">
        <v>50</v>
      </c>
      <c r="T56" s="16" t="str">
        <f t="shared" si="2"/>
        <v xml:space="preserve">   Air Handling Unit - Capacity: &lt;5000 CFM - Unanchored equipment that is not vibration isolated - Equipment fragility only</v>
      </c>
      <c r="U56" s="6" t="str">
        <v>CF</v>
      </c>
      <c r="V56" s="7" t="s">
        <v>107</v>
      </c>
      <c r="W56" s="7" t="s">
        <v>107</v>
      </c>
      <c r="X56" s="7" t="s">
        <v>107</v>
      </c>
      <c r="Y56" s="7" t="s">
        <v>107</v>
      </c>
      <c r="Z56" s="7" t="s">
        <v>107</v>
      </c>
      <c r="AA56" s="7" t="s">
        <v>107</v>
      </c>
      <c r="AB56" s="7" t="s">
        <v>107</v>
      </c>
      <c r="AC56" s="7" t="s">
        <v>107</v>
      </c>
      <c r="AD56" s="7" t="s">
        <v>107</v>
      </c>
      <c r="AE56" s="7" t="s">
        <v>107</v>
      </c>
      <c r="AF56" s="7" t="s">
        <v>107</v>
      </c>
      <c r="AG56" s="7" t="s">
        <v>107</v>
      </c>
      <c r="AH56" s="7" t="s">
        <v>107</v>
      </c>
      <c r="AI56" s="7" t="s">
        <v>107</v>
      </c>
      <c r="AJ56" s="7" t="s">
        <v>107</v>
      </c>
      <c r="AK56" s="7" t="s">
        <v>107</v>
      </c>
      <c r="AL56" s="7" t="s">
        <v>107</v>
      </c>
      <c r="AM56" s="7" t="s">
        <v>107</v>
      </c>
      <c r="AN56" s="7" t="s">
        <v>107</v>
      </c>
      <c r="AO56" s="6" cm="1">
        <f t="array" ref="AO56">INDEX($L$4:$L$444,MATCH(1,($C$4:$C$444=$Q56)*($B$4:$B$444=AO$33),0))</f>
        <v>70.874999999999986</v>
      </c>
      <c r="AP56" s="4"/>
      <c r="AQ56" s="4"/>
    </row>
    <row r="57" spans="2:43" ht="15.75" thickBot="1" x14ac:dyDescent="0.3">
      <c r="B57" s="2" t="s">
        <v>86</v>
      </c>
      <c r="C57" t="s">
        <v>14</v>
      </c>
      <c r="D57" t="s">
        <v>37</v>
      </c>
      <c r="E57" t="s">
        <v>66</v>
      </c>
      <c r="F57" t="s">
        <v>57</v>
      </c>
      <c r="G57">
        <v>0.94499999999999995</v>
      </c>
      <c r="H57" t="s">
        <v>58</v>
      </c>
      <c r="I57">
        <v>945</v>
      </c>
      <c r="J57" t="s">
        <v>62</v>
      </c>
      <c r="L57">
        <f t="shared" si="0"/>
        <v>0.94499999999999995</v>
      </c>
      <c r="O57" s="4"/>
      <c r="P57" s="4"/>
      <c r="Q57" s="10" t="str">
        <v>D5012.013a</v>
      </c>
      <c r="R57" s="10" t="str">
        <v>D5012.013a    Motor Control Center - Capacity: all - Unanchored equipment that is not vibration isolated - Equipment fragility only</v>
      </c>
      <c r="S57" s="10" t="s">
        <v>51</v>
      </c>
      <c r="T57" s="17" t="str">
        <f t="shared" si="2"/>
        <v xml:space="preserve">   Motor Control Center - Capacity: all - Unanchored equipment that is not vibration isolated - Equipment fragility only</v>
      </c>
      <c r="U57" s="13" t="str">
        <v>EA</v>
      </c>
      <c r="V57" s="14" t="s">
        <v>107</v>
      </c>
      <c r="W57" s="14" t="s">
        <v>107</v>
      </c>
      <c r="X57" s="14" t="s">
        <v>107</v>
      </c>
      <c r="Y57" s="14" t="s">
        <v>107</v>
      </c>
      <c r="Z57" s="14" t="s">
        <v>107</v>
      </c>
      <c r="AA57" s="14" t="s">
        <v>107</v>
      </c>
      <c r="AB57" s="14" t="s">
        <v>107</v>
      </c>
      <c r="AC57" s="14" t="s">
        <v>107</v>
      </c>
      <c r="AD57" s="14" t="s">
        <v>107</v>
      </c>
      <c r="AE57" s="14" t="s">
        <v>107</v>
      </c>
      <c r="AF57" s="14" t="s">
        <v>107</v>
      </c>
      <c r="AG57" s="14" t="s">
        <v>107</v>
      </c>
      <c r="AH57" s="14" t="s">
        <v>107</v>
      </c>
      <c r="AI57" s="14" t="s">
        <v>107</v>
      </c>
      <c r="AJ57" s="14" t="s">
        <v>107</v>
      </c>
      <c r="AK57" s="14" t="s">
        <v>107</v>
      </c>
      <c r="AL57" s="14" t="s">
        <v>107</v>
      </c>
      <c r="AM57" s="14" t="s">
        <v>107</v>
      </c>
      <c r="AN57" s="14" t="s">
        <v>107</v>
      </c>
      <c r="AO57" s="13" cm="1">
        <f t="array" ref="AO57">INDEX($L$4:$L$444,MATCH(1,($C$4:$C$444=$Q57)*($B$4:$B$444=AO$33),0))</f>
        <v>16.200000000000003</v>
      </c>
      <c r="AP57" s="4"/>
      <c r="AQ57" s="4"/>
    </row>
    <row r="58" spans="2:43" x14ac:dyDescent="0.25">
      <c r="B58" s="2" t="s">
        <v>86</v>
      </c>
      <c r="C58" t="s">
        <v>15</v>
      </c>
      <c r="D58" t="s">
        <v>38</v>
      </c>
      <c r="E58" t="s">
        <v>66</v>
      </c>
      <c r="F58" t="s">
        <v>57</v>
      </c>
      <c r="G58">
        <v>0.45</v>
      </c>
      <c r="H58" t="s">
        <v>58</v>
      </c>
      <c r="I58">
        <v>450</v>
      </c>
      <c r="J58" t="s">
        <v>62</v>
      </c>
      <c r="L58">
        <f t="shared" si="0"/>
        <v>0.45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2:43" x14ac:dyDescent="0.25">
      <c r="B59" s="2" t="s">
        <v>86</v>
      </c>
      <c r="C59" t="s">
        <v>16</v>
      </c>
      <c r="D59" t="s">
        <v>39</v>
      </c>
      <c r="E59" t="s">
        <v>66</v>
      </c>
      <c r="F59" t="s">
        <v>57</v>
      </c>
      <c r="G59">
        <v>1.6874999999999998</v>
      </c>
      <c r="H59" t="s">
        <v>58</v>
      </c>
      <c r="I59">
        <v>1687.4999999999998</v>
      </c>
      <c r="J59" t="s">
        <v>62</v>
      </c>
      <c r="L59">
        <f t="shared" si="0"/>
        <v>1.6874999999999998</v>
      </c>
      <c r="O59" s="4" t="s">
        <v>84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2:43" x14ac:dyDescent="0.25">
      <c r="B60" s="2" t="s">
        <v>86</v>
      </c>
      <c r="C60" t="s">
        <v>17</v>
      </c>
      <c r="D60" t="s">
        <v>40</v>
      </c>
      <c r="E60" t="s">
        <v>67</v>
      </c>
      <c r="F60" t="s">
        <v>57</v>
      </c>
      <c r="G60">
        <v>20.249999999999996</v>
      </c>
      <c r="H60" t="s">
        <v>58</v>
      </c>
      <c r="I60">
        <v>202.49999999999997</v>
      </c>
      <c r="J60" t="s">
        <v>65</v>
      </c>
      <c r="L60">
        <f t="shared" si="0"/>
        <v>20.249999999999996</v>
      </c>
      <c r="O60" s="4" t="s">
        <v>85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spans="2:43" x14ac:dyDescent="0.25">
      <c r="B61" s="2" t="s">
        <v>86</v>
      </c>
      <c r="C61" t="s">
        <v>18</v>
      </c>
      <c r="D61" t="s">
        <v>41</v>
      </c>
      <c r="E61" t="s">
        <v>67</v>
      </c>
      <c r="F61" t="s">
        <v>57</v>
      </c>
      <c r="G61">
        <v>11.25</v>
      </c>
      <c r="H61" t="s">
        <v>58</v>
      </c>
      <c r="I61">
        <v>112.5</v>
      </c>
      <c r="J61" t="s">
        <v>65</v>
      </c>
      <c r="L61">
        <f t="shared" si="0"/>
        <v>11.25</v>
      </c>
      <c r="O61" t="s">
        <v>86</v>
      </c>
    </row>
    <row r="62" spans="2:43" x14ac:dyDescent="0.25">
      <c r="B62" s="2" t="s">
        <v>86</v>
      </c>
      <c r="C62" t="s">
        <v>18</v>
      </c>
      <c r="D62" t="s">
        <v>41</v>
      </c>
      <c r="E62" t="s">
        <v>67</v>
      </c>
      <c r="F62" t="s">
        <v>57</v>
      </c>
      <c r="G62">
        <v>4.5</v>
      </c>
      <c r="H62" t="s">
        <v>58</v>
      </c>
      <c r="I62">
        <v>45</v>
      </c>
      <c r="J62" t="s">
        <v>65</v>
      </c>
      <c r="L62">
        <f t="shared" si="0"/>
        <v>4.5</v>
      </c>
      <c r="O62" t="s">
        <v>87</v>
      </c>
    </row>
    <row r="63" spans="2:43" x14ac:dyDescent="0.25">
      <c r="B63" s="2" t="s">
        <v>86</v>
      </c>
      <c r="C63" t="s">
        <v>19</v>
      </c>
      <c r="D63" t="s">
        <v>42</v>
      </c>
      <c r="E63" t="s">
        <v>64</v>
      </c>
      <c r="F63" t="s">
        <v>57</v>
      </c>
      <c r="G63">
        <v>337.5</v>
      </c>
      <c r="H63" t="s">
        <v>58</v>
      </c>
      <c r="I63">
        <v>337.5</v>
      </c>
      <c r="J63" t="s">
        <v>65</v>
      </c>
      <c r="L63">
        <f t="shared" si="0"/>
        <v>337.5</v>
      </c>
      <c r="O63" t="s">
        <v>88</v>
      </c>
    </row>
    <row r="64" spans="2:43" x14ac:dyDescent="0.25">
      <c r="B64" s="2" t="s">
        <v>86</v>
      </c>
      <c r="C64" t="s">
        <v>19</v>
      </c>
      <c r="D64" t="s">
        <v>42</v>
      </c>
      <c r="E64" t="s">
        <v>64</v>
      </c>
      <c r="F64" t="s">
        <v>57</v>
      </c>
      <c r="G64">
        <v>337.5</v>
      </c>
      <c r="H64" t="s">
        <v>58</v>
      </c>
      <c r="I64">
        <v>337.5</v>
      </c>
      <c r="J64" t="s">
        <v>65</v>
      </c>
      <c r="L64">
        <f t="shared" si="0"/>
        <v>337.5</v>
      </c>
      <c r="O64" t="s">
        <v>89</v>
      </c>
    </row>
    <row r="65" spans="2:15" x14ac:dyDescent="0.25">
      <c r="B65" s="2" t="s">
        <v>86</v>
      </c>
      <c r="C65" t="s">
        <v>20</v>
      </c>
      <c r="D65" t="s">
        <v>43</v>
      </c>
      <c r="E65" t="s">
        <v>66</v>
      </c>
      <c r="F65" t="s">
        <v>57</v>
      </c>
      <c r="G65">
        <v>4.5</v>
      </c>
      <c r="H65" t="s">
        <v>58</v>
      </c>
      <c r="I65">
        <v>4500</v>
      </c>
      <c r="J65" t="s">
        <v>62</v>
      </c>
      <c r="L65">
        <f t="shared" si="0"/>
        <v>4.5</v>
      </c>
      <c r="O65" t="s">
        <v>90</v>
      </c>
    </row>
    <row r="66" spans="2:15" x14ac:dyDescent="0.25">
      <c r="B66" s="2" t="s">
        <v>86</v>
      </c>
      <c r="C66" t="s">
        <v>21</v>
      </c>
      <c r="D66" t="s">
        <v>44</v>
      </c>
      <c r="E66" t="s">
        <v>68</v>
      </c>
      <c r="F66" t="s">
        <v>57</v>
      </c>
      <c r="G66">
        <v>2.0249999999999999</v>
      </c>
      <c r="H66" t="s">
        <v>58</v>
      </c>
      <c r="I66">
        <v>202.5</v>
      </c>
      <c r="J66" t="s">
        <v>65</v>
      </c>
      <c r="L66">
        <f t="shared" si="0"/>
        <v>2.0249999999999999</v>
      </c>
      <c r="O66" t="s">
        <v>91</v>
      </c>
    </row>
    <row r="67" spans="2:15" x14ac:dyDescent="0.25">
      <c r="B67" s="2" t="s">
        <v>87</v>
      </c>
      <c r="C67" t="s">
        <v>6</v>
      </c>
      <c r="D67" t="s">
        <v>29</v>
      </c>
      <c r="E67" t="s">
        <v>56</v>
      </c>
      <c r="F67">
        <v>225</v>
      </c>
      <c r="G67" t="s">
        <v>57</v>
      </c>
      <c r="H67" t="s">
        <v>58</v>
      </c>
      <c r="I67">
        <v>6750</v>
      </c>
      <c r="J67" t="s">
        <v>59</v>
      </c>
      <c r="L67">
        <f t="shared" si="0"/>
        <v>225</v>
      </c>
      <c r="O67" t="s">
        <v>92</v>
      </c>
    </row>
    <row r="68" spans="2:15" x14ac:dyDescent="0.25">
      <c r="B68" s="2" t="s">
        <v>87</v>
      </c>
      <c r="C68" t="s">
        <v>7</v>
      </c>
      <c r="D68" t="s">
        <v>30</v>
      </c>
      <c r="E68" t="s">
        <v>60</v>
      </c>
      <c r="F68" t="s">
        <v>57</v>
      </c>
      <c r="G68">
        <v>60.75</v>
      </c>
      <c r="H68" t="s">
        <v>58</v>
      </c>
      <c r="I68">
        <v>6075</v>
      </c>
      <c r="J68" t="s">
        <v>59</v>
      </c>
      <c r="L68">
        <f t="shared" si="0"/>
        <v>60.75</v>
      </c>
      <c r="O68" t="s">
        <v>93</v>
      </c>
    </row>
    <row r="69" spans="2:15" x14ac:dyDescent="0.25">
      <c r="B69" s="2" t="s">
        <v>87</v>
      </c>
      <c r="C69" t="s">
        <v>8</v>
      </c>
      <c r="D69" t="s">
        <v>31</v>
      </c>
      <c r="E69" t="s">
        <v>61</v>
      </c>
      <c r="F69">
        <v>22.5</v>
      </c>
      <c r="G69" t="s">
        <v>57</v>
      </c>
      <c r="H69" t="s">
        <v>58</v>
      </c>
      <c r="I69">
        <v>2250</v>
      </c>
      <c r="J69" t="s">
        <v>62</v>
      </c>
      <c r="L69">
        <f t="shared" ref="L69:L132" si="3">MAX(F69:G69)</f>
        <v>22.5</v>
      </c>
      <c r="O69" t="s">
        <v>94</v>
      </c>
    </row>
    <row r="70" spans="2:15" x14ac:dyDescent="0.25">
      <c r="B70" s="2" t="s">
        <v>87</v>
      </c>
      <c r="C70" t="s">
        <v>9</v>
      </c>
      <c r="D70" t="s">
        <v>32</v>
      </c>
      <c r="E70" t="s">
        <v>61</v>
      </c>
      <c r="F70">
        <v>1.7010000000000003</v>
      </c>
      <c r="G70" t="s">
        <v>57</v>
      </c>
      <c r="H70" t="s">
        <v>58</v>
      </c>
      <c r="I70">
        <v>170.10000000000002</v>
      </c>
      <c r="J70" t="s">
        <v>62</v>
      </c>
      <c r="L70">
        <f t="shared" si="3"/>
        <v>1.7010000000000003</v>
      </c>
      <c r="O70" t="s">
        <v>95</v>
      </c>
    </row>
    <row r="71" spans="2:15" x14ac:dyDescent="0.25">
      <c r="B71" s="2" t="s">
        <v>87</v>
      </c>
      <c r="C71" t="s">
        <v>10</v>
      </c>
      <c r="D71" t="s">
        <v>33</v>
      </c>
      <c r="E71" t="s">
        <v>60</v>
      </c>
      <c r="F71" t="s">
        <v>57</v>
      </c>
      <c r="G71">
        <v>168.75</v>
      </c>
      <c r="H71" t="s">
        <v>58</v>
      </c>
      <c r="I71">
        <v>16875</v>
      </c>
      <c r="J71" t="s">
        <v>59</v>
      </c>
      <c r="L71">
        <f t="shared" si="3"/>
        <v>168.75</v>
      </c>
      <c r="O71" t="s">
        <v>96</v>
      </c>
    </row>
    <row r="72" spans="2:15" x14ac:dyDescent="0.25">
      <c r="B72" s="2" t="s">
        <v>87</v>
      </c>
      <c r="C72" t="s">
        <v>11</v>
      </c>
      <c r="D72" t="s">
        <v>34</v>
      </c>
      <c r="E72" t="s">
        <v>63</v>
      </c>
      <c r="F72" t="s">
        <v>57</v>
      </c>
      <c r="G72">
        <v>81</v>
      </c>
      <c r="H72" t="s">
        <v>58</v>
      </c>
      <c r="I72">
        <v>20250</v>
      </c>
      <c r="J72" t="s">
        <v>59</v>
      </c>
      <c r="L72">
        <f t="shared" si="3"/>
        <v>81</v>
      </c>
      <c r="O72" t="s">
        <v>97</v>
      </c>
    </row>
    <row r="73" spans="2:15" x14ac:dyDescent="0.25">
      <c r="B73" s="2" t="s">
        <v>87</v>
      </c>
      <c r="C73" t="s">
        <v>11</v>
      </c>
      <c r="D73" t="s">
        <v>34</v>
      </c>
      <c r="E73" t="s">
        <v>63</v>
      </c>
      <c r="F73" t="s">
        <v>57</v>
      </c>
      <c r="G73">
        <v>4.5</v>
      </c>
      <c r="H73" t="s">
        <v>58</v>
      </c>
      <c r="I73">
        <v>1125</v>
      </c>
      <c r="J73" t="s">
        <v>59</v>
      </c>
      <c r="L73">
        <f t="shared" si="3"/>
        <v>4.5</v>
      </c>
      <c r="O73" t="s">
        <v>98</v>
      </c>
    </row>
    <row r="74" spans="2:15" x14ac:dyDescent="0.25">
      <c r="B74" s="2" t="s">
        <v>87</v>
      </c>
      <c r="C74" t="s">
        <v>11</v>
      </c>
      <c r="D74" t="s">
        <v>34</v>
      </c>
      <c r="E74" t="s">
        <v>63</v>
      </c>
      <c r="F74" t="s">
        <v>57</v>
      </c>
      <c r="G74">
        <v>2.7</v>
      </c>
      <c r="H74" t="s">
        <v>58</v>
      </c>
      <c r="I74">
        <v>675</v>
      </c>
      <c r="J74" t="s">
        <v>59</v>
      </c>
      <c r="L74">
        <f t="shared" si="3"/>
        <v>2.7</v>
      </c>
      <c r="O74" t="s">
        <v>99</v>
      </c>
    </row>
    <row r="75" spans="2:15" x14ac:dyDescent="0.25">
      <c r="B75" s="2" t="s">
        <v>87</v>
      </c>
      <c r="C75" t="s">
        <v>11</v>
      </c>
      <c r="D75" t="s">
        <v>34</v>
      </c>
      <c r="E75" t="s">
        <v>63</v>
      </c>
      <c r="F75" t="s">
        <v>57</v>
      </c>
      <c r="G75">
        <v>1.7999999999999916</v>
      </c>
      <c r="H75" t="s">
        <v>58</v>
      </c>
      <c r="I75">
        <v>449.9999999999979</v>
      </c>
      <c r="J75" t="s">
        <v>59</v>
      </c>
      <c r="L75">
        <f t="shared" si="3"/>
        <v>1.7999999999999916</v>
      </c>
      <c r="O75" t="s">
        <v>100</v>
      </c>
    </row>
    <row r="76" spans="2:15" x14ac:dyDescent="0.25">
      <c r="B76" s="2" t="s">
        <v>87</v>
      </c>
      <c r="C76" t="s">
        <v>12</v>
      </c>
      <c r="D76" t="s">
        <v>35</v>
      </c>
      <c r="E76" t="s">
        <v>64</v>
      </c>
      <c r="F76" t="s">
        <v>57</v>
      </c>
      <c r="G76">
        <v>18</v>
      </c>
      <c r="H76" t="s">
        <v>58</v>
      </c>
      <c r="I76">
        <v>18</v>
      </c>
      <c r="J76" t="s">
        <v>65</v>
      </c>
      <c r="L76">
        <f t="shared" si="3"/>
        <v>18</v>
      </c>
      <c r="O76" t="s">
        <v>101</v>
      </c>
    </row>
    <row r="77" spans="2:15" x14ac:dyDescent="0.25">
      <c r="B77" s="2" t="s">
        <v>87</v>
      </c>
      <c r="C77" t="s">
        <v>13</v>
      </c>
      <c r="D77" t="s">
        <v>36</v>
      </c>
      <c r="E77" t="s">
        <v>64</v>
      </c>
      <c r="F77" t="s">
        <v>57</v>
      </c>
      <c r="G77">
        <v>45</v>
      </c>
      <c r="H77" t="s">
        <v>58</v>
      </c>
      <c r="I77">
        <v>45</v>
      </c>
      <c r="J77" t="s">
        <v>65</v>
      </c>
      <c r="L77">
        <f t="shared" si="3"/>
        <v>45</v>
      </c>
      <c r="O77" t="s">
        <v>102</v>
      </c>
    </row>
    <row r="78" spans="2:15" x14ac:dyDescent="0.25">
      <c r="B78" s="2" t="s">
        <v>87</v>
      </c>
      <c r="C78" t="s">
        <v>14</v>
      </c>
      <c r="D78" t="s">
        <v>37</v>
      </c>
      <c r="E78" t="s">
        <v>66</v>
      </c>
      <c r="F78" t="s">
        <v>57</v>
      </c>
      <c r="G78">
        <v>0.94499999999999995</v>
      </c>
      <c r="H78" t="s">
        <v>58</v>
      </c>
      <c r="I78">
        <v>945</v>
      </c>
      <c r="J78" t="s">
        <v>62</v>
      </c>
      <c r="L78">
        <f t="shared" si="3"/>
        <v>0.94499999999999995</v>
      </c>
      <c r="O78">
        <v>0</v>
      </c>
    </row>
    <row r="79" spans="2:15" x14ac:dyDescent="0.25">
      <c r="B79" s="2" t="s">
        <v>87</v>
      </c>
      <c r="C79" t="s">
        <v>15</v>
      </c>
      <c r="D79" t="s">
        <v>38</v>
      </c>
      <c r="E79" t="s">
        <v>66</v>
      </c>
      <c r="F79" t="s">
        <v>57</v>
      </c>
      <c r="G79">
        <v>0.45</v>
      </c>
      <c r="H79" t="s">
        <v>58</v>
      </c>
      <c r="I79">
        <v>450</v>
      </c>
      <c r="J79" t="s">
        <v>62</v>
      </c>
      <c r="L79">
        <f t="shared" si="3"/>
        <v>0.45</v>
      </c>
      <c r="O79" t="s">
        <v>103</v>
      </c>
    </row>
    <row r="80" spans="2:15" x14ac:dyDescent="0.25">
      <c r="B80" s="2" t="s">
        <v>87</v>
      </c>
      <c r="C80" t="s">
        <v>16</v>
      </c>
      <c r="D80" t="s">
        <v>39</v>
      </c>
      <c r="E80" t="s">
        <v>66</v>
      </c>
      <c r="F80" t="s">
        <v>57</v>
      </c>
      <c r="G80">
        <v>1.6874999999999998</v>
      </c>
      <c r="H80" t="s">
        <v>58</v>
      </c>
      <c r="I80">
        <v>1687.4999999999998</v>
      </c>
      <c r="J80" t="s">
        <v>62</v>
      </c>
      <c r="L80">
        <f t="shared" si="3"/>
        <v>1.6874999999999998</v>
      </c>
    </row>
    <row r="81" spans="2:36" x14ac:dyDescent="0.25">
      <c r="B81" s="2" t="s">
        <v>87</v>
      </c>
      <c r="C81" t="s">
        <v>17</v>
      </c>
      <c r="D81" t="s">
        <v>40</v>
      </c>
      <c r="E81" t="s">
        <v>67</v>
      </c>
      <c r="F81" t="s">
        <v>57</v>
      </c>
      <c r="G81">
        <v>20.249999999999996</v>
      </c>
      <c r="H81" t="s">
        <v>58</v>
      </c>
      <c r="I81">
        <v>202.49999999999997</v>
      </c>
      <c r="J81" t="s">
        <v>65</v>
      </c>
      <c r="L81">
        <f t="shared" si="3"/>
        <v>20.249999999999996</v>
      </c>
    </row>
    <row r="82" spans="2:36" x14ac:dyDescent="0.25">
      <c r="B82" s="2" t="s">
        <v>87</v>
      </c>
      <c r="C82" t="s">
        <v>18</v>
      </c>
      <c r="D82" t="s">
        <v>41</v>
      </c>
      <c r="E82" t="s">
        <v>67</v>
      </c>
      <c r="F82" t="s">
        <v>57</v>
      </c>
      <c r="G82">
        <v>11.25</v>
      </c>
      <c r="H82" t="s">
        <v>58</v>
      </c>
      <c r="I82">
        <v>112.5</v>
      </c>
      <c r="J82" t="s">
        <v>65</v>
      </c>
      <c r="L82">
        <f t="shared" si="3"/>
        <v>11.25</v>
      </c>
    </row>
    <row r="83" spans="2:36" x14ac:dyDescent="0.25">
      <c r="B83" s="2" t="s">
        <v>87</v>
      </c>
      <c r="C83" t="s">
        <v>18</v>
      </c>
      <c r="D83" t="s">
        <v>41</v>
      </c>
      <c r="E83" t="s">
        <v>67</v>
      </c>
      <c r="F83" t="s">
        <v>57</v>
      </c>
      <c r="G83">
        <v>4.5</v>
      </c>
      <c r="H83" t="s">
        <v>58</v>
      </c>
      <c r="I83">
        <v>45</v>
      </c>
      <c r="J83" t="s">
        <v>65</v>
      </c>
      <c r="L83">
        <f t="shared" si="3"/>
        <v>4.5</v>
      </c>
      <c r="P83" t="s">
        <v>84</v>
      </c>
      <c r="Q83" t="s">
        <v>85</v>
      </c>
      <c r="R83" t="s">
        <v>86</v>
      </c>
      <c r="S83" t="s">
        <v>87</v>
      </c>
      <c r="T83" t="s">
        <v>88</v>
      </c>
      <c r="U83" t="s">
        <v>89</v>
      </c>
      <c r="V83" t="s">
        <v>90</v>
      </c>
      <c r="W83" t="s">
        <v>91</v>
      </c>
      <c r="X83" t="s">
        <v>92</v>
      </c>
      <c r="Y83" t="s">
        <v>93</v>
      </c>
      <c r="Z83" t="s">
        <v>94</v>
      </c>
      <c r="AA83" t="s">
        <v>95</v>
      </c>
      <c r="AB83" t="s">
        <v>96</v>
      </c>
      <c r="AC83" t="s">
        <v>97</v>
      </c>
      <c r="AD83" t="s">
        <v>98</v>
      </c>
      <c r="AE83" t="s">
        <v>99</v>
      </c>
      <c r="AF83" t="s">
        <v>100</v>
      </c>
      <c r="AG83" t="s">
        <v>101</v>
      </c>
      <c r="AH83" t="s">
        <v>102</v>
      </c>
      <c r="AI83">
        <v>0</v>
      </c>
      <c r="AJ83" t="s">
        <v>103</v>
      </c>
    </row>
    <row r="84" spans="2:36" x14ac:dyDescent="0.25">
      <c r="B84" s="2" t="s">
        <v>87</v>
      </c>
      <c r="C84" t="s">
        <v>19</v>
      </c>
      <c r="D84" t="s">
        <v>42</v>
      </c>
      <c r="E84" t="s">
        <v>64</v>
      </c>
      <c r="F84" t="s">
        <v>57</v>
      </c>
      <c r="G84">
        <v>337.5</v>
      </c>
      <c r="H84" t="s">
        <v>58</v>
      </c>
      <c r="I84">
        <v>337.5</v>
      </c>
      <c r="J84" t="s">
        <v>65</v>
      </c>
      <c r="L84">
        <f t="shared" si="3"/>
        <v>337.5</v>
      </c>
    </row>
    <row r="85" spans="2:36" x14ac:dyDescent="0.25">
      <c r="B85" s="2" t="s">
        <v>87</v>
      </c>
      <c r="C85" t="s">
        <v>19</v>
      </c>
      <c r="D85" t="s">
        <v>42</v>
      </c>
      <c r="E85" t="s">
        <v>64</v>
      </c>
      <c r="F85" t="s">
        <v>57</v>
      </c>
      <c r="G85">
        <v>337.5</v>
      </c>
      <c r="H85" t="s">
        <v>58</v>
      </c>
      <c r="I85">
        <v>337.5</v>
      </c>
      <c r="J85" t="s">
        <v>65</v>
      </c>
      <c r="L85">
        <f t="shared" si="3"/>
        <v>337.5</v>
      </c>
    </row>
    <row r="86" spans="2:36" x14ac:dyDescent="0.25">
      <c r="B86" s="2" t="s">
        <v>87</v>
      </c>
      <c r="C86" t="s">
        <v>20</v>
      </c>
      <c r="D86" t="s">
        <v>43</v>
      </c>
      <c r="E86" t="s">
        <v>66</v>
      </c>
      <c r="F86" t="s">
        <v>57</v>
      </c>
      <c r="G86">
        <v>4.5</v>
      </c>
      <c r="H86" t="s">
        <v>58</v>
      </c>
      <c r="I86">
        <v>4500</v>
      </c>
      <c r="J86" t="s">
        <v>62</v>
      </c>
      <c r="L86">
        <f t="shared" si="3"/>
        <v>4.5</v>
      </c>
    </row>
    <row r="87" spans="2:36" x14ac:dyDescent="0.25">
      <c r="B87" s="2" t="s">
        <v>87</v>
      </c>
      <c r="C87" t="s">
        <v>21</v>
      </c>
      <c r="D87" t="s">
        <v>44</v>
      </c>
      <c r="E87" t="s">
        <v>68</v>
      </c>
      <c r="F87" t="s">
        <v>57</v>
      </c>
      <c r="G87">
        <v>2.0249999999999999</v>
      </c>
      <c r="H87" t="s">
        <v>58</v>
      </c>
      <c r="I87">
        <v>202.5</v>
      </c>
      <c r="J87" t="s">
        <v>65</v>
      </c>
      <c r="L87">
        <f t="shared" si="3"/>
        <v>2.0249999999999999</v>
      </c>
    </row>
    <row r="88" spans="2:36" x14ac:dyDescent="0.25">
      <c r="B88" s="2" t="s">
        <v>88</v>
      </c>
      <c r="C88" t="s">
        <v>6</v>
      </c>
      <c r="D88" t="s">
        <v>29</v>
      </c>
      <c r="E88" t="s">
        <v>56</v>
      </c>
      <c r="F88">
        <v>225</v>
      </c>
      <c r="G88" t="s">
        <v>57</v>
      </c>
      <c r="H88" t="s">
        <v>58</v>
      </c>
      <c r="I88">
        <v>6750</v>
      </c>
      <c r="J88" t="s">
        <v>59</v>
      </c>
      <c r="L88">
        <f t="shared" si="3"/>
        <v>225</v>
      </c>
    </row>
    <row r="89" spans="2:36" x14ac:dyDescent="0.25">
      <c r="B89" s="2" t="s">
        <v>88</v>
      </c>
      <c r="C89" t="s">
        <v>7</v>
      </c>
      <c r="D89" t="s">
        <v>30</v>
      </c>
      <c r="E89" t="s">
        <v>60</v>
      </c>
      <c r="F89" t="s">
        <v>57</v>
      </c>
      <c r="G89">
        <v>60.75</v>
      </c>
      <c r="H89" t="s">
        <v>58</v>
      </c>
      <c r="I89">
        <v>6075</v>
      </c>
      <c r="J89" t="s">
        <v>59</v>
      </c>
      <c r="L89">
        <f t="shared" si="3"/>
        <v>60.75</v>
      </c>
    </row>
    <row r="90" spans="2:36" x14ac:dyDescent="0.25">
      <c r="B90" s="2" t="s">
        <v>88</v>
      </c>
      <c r="C90" t="s">
        <v>8</v>
      </c>
      <c r="D90" t="s">
        <v>31</v>
      </c>
      <c r="E90" t="s">
        <v>61</v>
      </c>
      <c r="F90">
        <v>22.5</v>
      </c>
      <c r="G90" t="s">
        <v>57</v>
      </c>
      <c r="H90" t="s">
        <v>58</v>
      </c>
      <c r="I90">
        <v>2250</v>
      </c>
      <c r="J90" t="s">
        <v>62</v>
      </c>
      <c r="L90">
        <f t="shared" si="3"/>
        <v>22.5</v>
      </c>
    </row>
    <row r="91" spans="2:36" x14ac:dyDescent="0.25">
      <c r="B91" s="2" t="s">
        <v>88</v>
      </c>
      <c r="C91" t="s">
        <v>9</v>
      </c>
      <c r="D91" t="s">
        <v>32</v>
      </c>
      <c r="E91" t="s">
        <v>61</v>
      </c>
      <c r="F91">
        <v>1.7010000000000003</v>
      </c>
      <c r="G91" t="s">
        <v>57</v>
      </c>
      <c r="H91" t="s">
        <v>58</v>
      </c>
      <c r="I91">
        <v>170.10000000000002</v>
      </c>
      <c r="J91" t="s">
        <v>62</v>
      </c>
      <c r="L91">
        <f t="shared" si="3"/>
        <v>1.7010000000000003</v>
      </c>
    </row>
    <row r="92" spans="2:36" x14ac:dyDescent="0.25">
      <c r="B92" s="2" t="s">
        <v>88</v>
      </c>
      <c r="C92" t="s">
        <v>10</v>
      </c>
      <c r="D92" t="s">
        <v>33</v>
      </c>
      <c r="E92" t="s">
        <v>60</v>
      </c>
      <c r="F92" t="s">
        <v>57</v>
      </c>
      <c r="G92">
        <v>168.75</v>
      </c>
      <c r="H92" t="s">
        <v>58</v>
      </c>
      <c r="I92">
        <v>16875</v>
      </c>
      <c r="J92" t="s">
        <v>59</v>
      </c>
      <c r="L92">
        <f t="shared" si="3"/>
        <v>168.75</v>
      </c>
    </row>
    <row r="93" spans="2:36" x14ac:dyDescent="0.25">
      <c r="B93" s="2" t="s">
        <v>88</v>
      </c>
      <c r="C93" t="s">
        <v>11</v>
      </c>
      <c r="D93" t="s">
        <v>34</v>
      </c>
      <c r="E93" t="s">
        <v>63</v>
      </c>
      <c r="F93" t="s">
        <v>57</v>
      </c>
      <c r="G93">
        <v>81</v>
      </c>
      <c r="H93" t="s">
        <v>58</v>
      </c>
      <c r="I93">
        <v>20250</v>
      </c>
      <c r="J93" t="s">
        <v>59</v>
      </c>
      <c r="L93">
        <f t="shared" si="3"/>
        <v>81</v>
      </c>
    </row>
    <row r="94" spans="2:36" x14ac:dyDescent="0.25">
      <c r="B94" s="2" t="s">
        <v>88</v>
      </c>
      <c r="C94" t="s">
        <v>11</v>
      </c>
      <c r="D94" t="s">
        <v>34</v>
      </c>
      <c r="E94" t="s">
        <v>63</v>
      </c>
      <c r="F94" t="s">
        <v>57</v>
      </c>
      <c r="G94">
        <v>4.5</v>
      </c>
      <c r="H94" t="s">
        <v>58</v>
      </c>
      <c r="I94">
        <v>1125</v>
      </c>
      <c r="J94" t="s">
        <v>59</v>
      </c>
      <c r="L94">
        <f t="shared" si="3"/>
        <v>4.5</v>
      </c>
    </row>
    <row r="95" spans="2:36" x14ac:dyDescent="0.25">
      <c r="B95" s="2" t="s">
        <v>88</v>
      </c>
      <c r="C95" t="s">
        <v>11</v>
      </c>
      <c r="D95" t="s">
        <v>34</v>
      </c>
      <c r="E95" t="s">
        <v>63</v>
      </c>
      <c r="F95" t="s">
        <v>57</v>
      </c>
      <c r="G95">
        <v>2.7</v>
      </c>
      <c r="H95" t="s">
        <v>58</v>
      </c>
      <c r="I95">
        <v>675</v>
      </c>
      <c r="J95" t="s">
        <v>59</v>
      </c>
      <c r="L95">
        <f t="shared" si="3"/>
        <v>2.7</v>
      </c>
    </row>
    <row r="96" spans="2:36" x14ac:dyDescent="0.25">
      <c r="B96" s="2" t="s">
        <v>88</v>
      </c>
      <c r="C96" t="s">
        <v>11</v>
      </c>
      <c r="D96" t="s">
        <v>34</v>
      </c>
      <c r="E96" t="s">
        <v>63</v>
      </c>
      <c r="F96" t="s">
        <v>57</v>
      </c>
      <c r="G96">
        <v>1.7999999999999916</v>
      </c>
      <c r="H96" t="s">
        <v>58</v>
      </c>
      <c r="I96">
        <v>449.9999999999979</v>
      </c>
      <c r="J96" t="s">
        <v>59</v>
      </c>
      <c r="L96">
        <f t="shared" si="3"/>
        <v>1.7999999999999916</v>
      </c>
    </row>
    <row r="97" spans="2:12" x14ac:dyDescent="0.25">
      <c r="B97" s="2" t="s">
        <v>88</v>
      </c>
      <c r="C97" t="s">
        <v>12</v>
      </c>
      <c r="D97" t="s">
        <v>35</v>
      </c>
      <c r="E97" t="s">
        <v>64</v>
      </c>
      <c r="F97" t="s">
        <v>57</v>
      </c>
      <c r="G97">
        <v>18</v>
      </c>
      <c r="H97" t="s">
        <v>58</v>
      </c>
      <c r="I97">
        <v>18</v>
      </c>
      <c r="J97" t="s">
        <v>65</v>
      </c>
      <c r="L97">
        <f t="shared" si="3"/>
        <v>18</v>
      </c>
    </row>
    <row r="98" spans="2:12" x14ac:dyDescent="0.25">
      <c r="B98" s="2" t="s">
        <v>88</v>
      </c>
      <c r="C98" t="s">
        <v>13</v>
      </c>
      <c r="D98" t="s">
        <v>36</v>
      </c>
      <c r="E98" t="s">
        <v>64</v>
      </c>
      <c r="F98" t="s">
        <v>57</v>
      </c>
      <c r="G98">
        <v>45</v>
      </c>
      <c r="H98" t="s">
        <v>58</v>
      </c>
      <c r="I98">
        <v>45</v>
      </c>
      <c r="J98" t="s">
        <v>65</v>
      </c>
      <c r="L98">
        <f t="shared" si="3"/>
        <v>45</v>
      </c>
    </row>
    <row r="99" spans="2:12" x14ac:dyDescent="0.25">
      <c r="B99" s="2" t="s">
        <v>88</v>
      </c>
      <c r="C99" t="s">
        <v>14</v>
      </c>
      <c r="D99" t="s">
        <v>37</v>
      </c>
      <c r="E99" t="s">
        <v>66</v>
      </c>
      <c r="F99" t="s">
        <v>57</v>
      </c>
      <c r="G99">
        <v>0.94499999999999995</v>
      </c>
      <c r="H99" t="s">
        <v>58</v>
      </c>
      <c r="I99">
        <v>945</v>
      </c>
      <c r="J99" t="s">
        <v>62</v>
      </c>
      <c r="L99">
        <f t="shared" si="3"/>
        <v>0.94499999999999995</v>
      </c>
    </row>
    <row r="100" spans="2:12" x14ac:dyDescent="0.25">
      <c r="B100" s="2" t="s">
        <v>88</v>
      </c>
      <c r="C100" t="s">
        <v>15</v>
      </c>
      <c r="D100" t="s">
        <v>38</v>
      </c>
      <c r="E100" t="s">
        <v>66</v>
      </c>
      <c r="F100" t="s">
        <v>57</v>
      </c>
      <c r="G100">
        <v>0.45</v>
      </c>
      <c r="H100" t="s">
        <v>58</v>
      </c>
      <c r="I100">
        <v>450</v>
      </c>
      <c r="J100" t="s">
        <v>62</v>
      </c>
      <c r="L100">
        <f t="shared" si="3"/>
        <v>0.45</v>
      </c>
    </row>
    <row r="101" spans="2:12" x14ac:dyDescent="0.25">
      <c r="B101" s="2" t="s">
        <v>88</v>
      </c>
      <c r="C101" t="s">
        <v>16</v>
      </c>
      <c r="D101" t="s">
        <v>39</v>
      </c>
      <c r="E101" t="s">
        <v>66</v>
      </c>
      <c r="F101" t="s">
        <v>57</v>
      </c>
      <c r="G101">
        <v>1.6874999999999998</v>
      </c>
      <c r="H101" t="s">
        <v>58</v>
      </c>
      <c r="I101">
        <v>1687.4999999999998</v>
      </c>
      <c r="J101" t="s">
        <v>62</v>
      </c>
      <c r="L101">
        <f t="shared" si="3"/>
        <v>1.6874999999999998</v>
      </c>
    </row>
    <row r="102" spans="2:12" x14ac:dyDescent="0.25">
      <c r="B102" s="2" t="s">
        <v>88</v>
      </c>
      <c r="C102" t="s">
        <v>17</v>
      </c>
      <c r="D102" t="s">
        <v>40</v>
      </c>
      <c r="E102" t="s">
        <v>67</v>
      </c>
      <c r="F102" t="s">
        <v>57</v>
      </c>
      <c r="G102">
        <v>20.249999999999996</v>
      </c>
      <c r="H102" t="s">
        <v>58</v>
      </c>
      <c r="I102">
        <v>202.49999999999997</v>
      </c>
      <c r="J102" t="s">
        <v>65</v>
      </c>
      <c r="L102">
        <f t="shared" si="3"/>
        <v>20.249999999999996</v>
      </c>
    </row>
    <row r="103" spans="2:12" x14ac:dyDescent="0.25">
      <c r="B103" s="2" t="s">
        <v>88</v>
      </c>
      <c r="C103" t="s">
        <v>18</v>
      </c>
      <c r="D103" t="s">
        <v>41</v>
      </c>
      <c r="E103" t="s">
        <v>67</v>
      </c>
      <c r="F103" t="s">
        <v>57</v>
      </c>
      <c r="G103">
        <v>11.25</v>
      </c>
      <c r="H103" t="s">
        <v>58</v>
      </c>
      <c r="I103">
        <v>112.5</v>
      </c>
      <c r="J103" t="s">
        <v>65</v>
      </c>
      <c r="L103">
        <f t="shared" si="3"/>
        <v>11.25</v>
      </c>
    </row>
    <row r="104" spans="2:12" x14ac:dyDescent="0.25">
      <c r="B104" s="2" t="s">
        <v>88</v>
      </c>
      <c r="C104" t="s">
        <v>18</v>
      </c>
      <c r="D104" t="s">
        <v>41</v>
      </c>
      <c r="E104" t="s">
        <v>67</v>
      </c>
      <c r="F104" t="s">
        <v>57</v>
      </c>
      <c r="G104">
        <v>4.5</v>
      </c>
      <c r="H104" t="s">
        <v>58</v>
      </c>
      <c r="I104">
        <v>45</v>
      </c>
      <c r="J104" t="s">
        <v>65</v>
      </c>
      <c r="L104">
        <f t="shared" si="3"/>
        <v>4.5</v>
      </c>
    </row>
    <row r="105" spans="2:12" x14ac:dyDescent="0.25">
      <c r="B105" s="2" t="s">
        <v>88</v>
      </c>
      <c r="C105" t="s">
        <v>19</v>
      </c>
      <c r="D105" t="s">
        <v>42</v>
      </c>
      <c r="E105" t="s">
        <v>64</v>
      </c>
      <c r="F105" t="s">
        <v>57</v>
      </c>
      <c r="G105">
        <v>337.5</v>
      </c>
      <c r="H105" t="s">
        <v>58</v>
      </c>
      <c r="I105">
        <v>337.5</v>
      </c>
      <c r="J105" t="s">
        <v>65</v>
      </c>
      <c r="L105">
        <f t="shared" si="3"/>
        <v>337.5</v>
      </c>
    </row>
    <row r="106" spans="2:12" x14ac:dyDescent="0.25">
      <c r="B106" s="2" t="s">
        <v>88</v>
      </c>
      <c r="C106" t="s">
        <v>19</v>
      </c>
      <c r="D106" t="s">
        <v>42</v>
      </c>
      <c r="E106" t="s">
        <v>64</v>
      </c>
      <c r="F106" t="s">
        <v>57</v>
      </c>
      <c r="G106">
        <v>337.5</v>
      </c>
      <c r="H106" t="s">
        <v>58</v>
      </c>
      <c r="I106">
        <v>337.5</v>
      </c>
      <c r="J106" t="s">
        <v>65</v>
      </c>
      <c r="L106">
        <f t="shared" si="3"/>
        <v>337.5</v>
      </c>
    </row>
    <row r="107" spans="2:12" x14ac:dyDescent="0.25">
      <c r="B107" s="2" t="s">
        <v>88</v>
      </c>
      <c r="C107" t="s">
        <v>20</v>
      </c>
      <c r="D107" t="s">
        <v>43</v>
      </c>
      <c r="E107" t="s">
        <v>66</v>
      </c>
      <c r="F107" t="s">
        <v>57</v>
      </c>
      <c r="G107">
        <v>4.5</v>
      </c>
      <c r="H107" t="s">
        <v>58</v>
      </c>
      <c r="I107">
        <v>4500</v>
      </c>
      <c r="J107" t="s">
        <v>62</v>
      </c>
      <c r="L107">
        <f t="shared" si="3"/>
        <v>4.5</v>
      </c>
    </row>
    <row r="108" spans="2:12" x14ac:dyDescent="0.25">
      <c r="B108" s="2" t="s">
        <v>88</v>
      </c>
      <c r="C108" t="s">
        <v>21</v>
      </c>
      <c r="D108" t="s">
        <v>44</v>
      </c>
      <c r="E108" t="s">
        <v>68</v>
      </c>
      <c r="F108" t="s">
        <v>57</v>
      </c>
      <c r="G108">
        <v>2.0249999999999999</v>
      </c>
      <c r="H108" t="s">
        <v>58</v>
      </c>
      <c r="I108">
        <v>202.5</v>
      </c>
      <c r="J108" t="s">
        <v>65</v>
      </c>
      <c r="L108">
        <f t="shared" si="3"/>
        <v>2.0249999999999999</v>
      </c>
    </row>
    <row r="109" spans="2:12" x14ac:dyDescent="0.25">
      <c r="B109" s="2" t="s">
        <v>89</v>
      </c>
      <c r="C109" t="s">
        <v>6</v>
      </c>
      <c r="D109" t="s">
        <v>29</v>
      </c>
      <c r="E109" t="s">
        <v>56</v>
      </c>
      <c r="F109">
        <v>225</v>
      </c>
      <c r="G109" t="s">
        <v>57</v>
      </c>
      <c r="H109" t="s">
        <v>58</v>
      </c>
      <c r="I109">
        <v>6750</v>
      </c>
      <c r="J109" t="s">
        <v>59</v>
      </c>
      <c r="L109">
        <f t="shared" si="3"/>
        <v>225</v>
      </c>
    </row>
    <row r="110" spans="2:12" x14ac:dyDescent="0.25">
      <c r="B110" s="2" t="s">
        <v>89</v>
      </c>
      <c r="C110" t="s">
        <v>7</v>
      </c>
      <c r="D110" t="s">
        <v>30</v>
      </c>
      <c r="E110" t="s">
        <v>60</v>
      </c>
      <c r="F110" t="s">
        <v>57</v>
      </c>
      <c r="G110">
        <v>60.75</v>
      </c>
      <c r="H110" t="s">
        <v>58</v>
      </c>
      <c r="I110">
        <v>6075</v>
      </c>
      <c r="J110" t="s">
        <v>59</v>
      </c>
      <c r="L110">
        <f t="shared" si="3"/>
        <v>60.75</v>
      </c>
    </row>
    <row r="111" spans="2:12" x14ac:dyDescent="0.25">
      <c r="B111" s="2" t="s">
        <v>89</v>
      </c>
      <c r="C111" t="s">
        <v>8</v>
      </c>
      <c r="D111" t="s">
        <v>31</v>
      </c>
      <c r="E111" t="s">
        <v>61</v>
      </c>
      <c r="F111">
        <v>22.5</v>
      </c>
      <c r="G111" t="s">
        <v>57</v>
      </c>
      <c r="H111" t="s">
        <v>58</v>
      </c>
      <c r="I111">
        <v>2250</v>
      </c>
      <c r="J111" t="s">
        <v>62</v>
      </c>
      <c r="L111">
        <f t="shared" si="3"/>
        <v>22.5</v>
      </c>
    </row>
    <row r="112" spans="2:12" x14ac:dyDescent="0.25">
      <c r="B112" s="2" t="s">
        <v>89</v>
      </c>
      <c r="C112" t="s">
        <v>9</v>
      </c>
      <c r="D112" t="s">
        <v>32</v>
      </c>
      <c r="E112" t="s">
        <v>61</v>
      </c>
      <c r="F112">
        <v>1.7010000000000003</v>
      </c>
      <c r="G112" t="s">
        <v>57</v>
      </c>
      <c r="H112" t="s">
        <v>58</v>
      </c>
      <c r="I112">
        <v>170.10000000000002</v>
      </c>
      <c r="J112" t="s">
        <v>62</v>
      </c>
      <c r="L112">
        <f t="shared" si="3"/>
        <v>1.7010000000000003</v>
      </c>
    </row>
    <row r="113" spans="2:12" x14ac:dyDescent="0.25">
      <c r="B113" s="2" t="s">
        <v>89</v>
      </c>
      <c r="C113" t="s">
        <v>10</v>
      </c>
      <c r="D113" t="s">
        <v>33</v>
      </c>
      <c r="E113" t="s">
        <v>60</v>
      </c>
      <c r="F113" t="s">
        <v>57</v>
      </c>
      <c r="G113">
        <v>168.75</v>
      </c>
      <c r="H113" t="s">
        <v>58</v>
      </c>
      <c r="I113">
        <v>16875</v>
      </c>
      <c r="J113" t="s">
        <v>59</v>
      </c>
      <c r="L113">
        <f t="shared" si="3"/>
        <v>168.75</v>
      </c>
    </row>
    <row r="114" spans="2:12" x14ac:dyDescent="0.25">
      <c r="B114" s="2" t="s">
        <v>89</v>
      </c>
      <c r="C114" t="s">
        <v>11</v>
      </c>
      <c r="D114" t="s">
        <v>34</v>
      </c>
      <c r="E114" t="s">
        <v>63</v>
      </c>
      <c r="F114" t="s">
        <v>57</v>
      </c>
      <c r="G114">
        <v>81</v>
      </c>
      <c r="H114" t="s">
        <v>58</v>
      </c>
      <c r="I114">
        <v>20250</v>
      </c>
      <c r="J114" t="s">
        <v>59</v>
      </c>
      <c r="L114">
        <f t="shared" si="3"/>
        <v>81</v>
      </c>
    </row>
    <row r="115" spans="2:12" x14ac:dyDescent="0.25">
      <c r="B115" s="2" t="s">
        <v>89</v>
      </c>
      <c r="C115" t="s">
        <v>11</v>
      </c>
      <c r="D115" t="s">
        <v>34</v>
      </c>
      <c r="E115" t="s">
        <v>63</v>
      </c>
      <c r="F115" t="s">
        <v>57</v>
      </c>
      <c r="G115">
        <v>4.5</v>
      </c>
      <c r="H115" t="s">
        <v>58</v>
      </c>
      <c r="I115">
        <v>1125</v>
      </c>
      <c r="J115" t="s">
        <v>59</v>
      </c>
      <c r="L115">
        <f t="shared" si="3"/>
        <v>4.5</v>
      </c>
    </row>
    <row r="116" spans="2:12" x14ac:dyDescent="0.25">
      <c r="B116" s="2" t="s">
        <v>89</v>
      </c>
      <c r="C116" t="s">
        <v>11</v>
      </c>
      <c r="D116" t="s">
        <v>34</v>
      </c>
      <c r="E116" t="s">
        <v>63</v>
      </c>
      <c r="F116" t="s">
        <v>57</v>
      </c>
      <c r="G116">
        <v>2.7</v>
      </c>
      <c r="H116" t="s">
        <v>58</v>
      </c>
      <c r="I116">
        <v>675</v>
      </c>
      <c r="J116" t="s">
        <v>59</v>
      </c>
      <c r="L116">
        <f t="shared" si="3"/>
        <v>2.7</v>
      </c>
    </row>
    <row r="117" spans="2:12" x14ac:dyDescent="0.25">
      <c r="B117" s="2" t="s">
        <v>89</v>
      </c>
      <c r="C117" t="s">
        <v>11</v>
      </c>
      <c r="D117" t="s">
        <v>34</v>
      </c>
      <c r="E117" t="s">
        <v>63</v>
      </c>
      <c r="F117" t="s">
        <v>57</v>
      </c>
      <c r="G117">
        <v>1.7999999999999916</v>
      </c>
      <c r="H117" t="s">
        <v>58</v>
      </c>
      <c r="I117">
        <v>449.9999999999979</v>
      </c>
      <c r="J117" t="s">
        <v>59</v>
      </c>
      <c r="L117">
        <f t="shared" si="3"/>
        <v>1.7999999999999916</v>
      </c>
    </row>
    <row r="118" spans="2:12" x14ac:dyDescent="0.25">
      <c r="B118" s="2" t="s">
        <v>89</v>
      </c>
      <c r="C118" t="s">
        <v>12</v>
      </c>
      <c r="D118" t="s">
        <v>35</v>
      </c>
      <c r="E118" t="s">
        <v>64</v>
      </c>
      <c r="F118" t="s">
        <v>57</v>
      </c>
      <c r="G118">
        <v>18</v>
      </c>
      <c r="H118" t="s">
        <v>58</v>
      </c>
      <c r="I118">
        <v>18</v>
      </c>
      <c r="J118" t="s">
        <v>65</v>
      </c>
      <c r="L118">
        <f t="shared" si="3"/>
        <v>18</v>
      </c>
    </row>
    <row r="119" spans="2:12" x14ac:dyDescent="0.25">
      <c r="B119" s="2" t="s">
        <v>89</v>
      </c>
      <c r="C119" t="s">
        <v>13</v>
      </c>
      <c r="D119" t="s">
        <v>36</v>
      </c>
      <c r="E119" t="s">
        <v>64</v>
      </c>
      <c r="F119" t="s">
        <v>57</v>
      </c>
      <c r="G119">
        <v>45</v>
      </c>
      <c r="H119" t="s">
        <v>58</v>
      </c>
      <c r="I119">
        <v>45</v>
      </c>
      <c r="J119" t="s">
        <v>65</v>
      </c>
      <c r="L119">
        <f t="shared" si="3"/>
        <v>45</v>
      </c>
    </row>
    <row r="120" spans="2:12" x14ac:dyDescent="0.25">
      <c r="B120" s="2" t="s">
        <v>89</v>
      </c>
      <c r="C120" t="s">
        <v>14</v>
      </c>
      <c r="D120" t="s">
        <v>37</v>
      </c>
      <c r="E120" t="s">
        <v>66</v>
      </c>
      <c r="F120" t="s">
        <v>57</v>
      </c>
      <c r="G120">
        <v>0.94499999999999995</v>
      </c>
      <c r="H120" t="s">
        <v>58</v>
      </c>
      <c r="I120">
        <v>945</v>
      </c>
      <c r="J120" t="s">
        <v>62</v>
      </c>
      <c r="L120">
        <f t="shared" si="3"/>
        <v>0.94499999999999995</v>
      </c>
    </row>
    <row r="121" spans="2:12" x14ac:dyDescent="0.25">
      <c r="B121" s="2" t="s">
        <v>89</v>
      </c>
      <c r="C121" t="s">
        <v>15</v>
      </c>
      <c r="D121" t="s">
        <v>38</v>
      </c>
      <c r="E121" t="s">
        <v>66</v>
      </c>
      <c r="F121" t="s">
        <v>57</v>
      </c>
      <c r="G121">
        <v>0.45</v>
      </c>
      <c r="H121" t="s">
        <v>58</v>
      </c>
      <c r="I121">
        <v>450</v>
      </c>
      <c r="J121" t="s">
        <v>62</v>
      </c>
      <c r="L121">
        <f t="shared" si="3"/>
        <v>0.45</v>
      </c>
    </row>
    <row r="122" spans="2:12" x14ac:dyDescent="0.25">
      <c r="B122" s="2" t="s">
        <v>89</v>
      </c>
      <c r="C122" t="s">
        <v>16</v>
      </c>
      <c r="D122" t="s">
        <v>39</v>
      </c>
      <c r="E122" t="s">
        <v>66</v>
      </c>
      <c r="F122" t="s">
        <v>57</v>
      </c>
      <c r="G122">
        <v>1.6874999999999998</v>
      </c>
      <c r="H122" t="s">
        <v>58</v>
      </c>
      <c r="I122">
        <v>1687.4999999999998</v>
      </c>
      <c r="J122" t="s">
        <v>62</v>
      </c>
      <c r="L122">
        <f t="shared" si="3"/>
        <v>1.6874999999999998</v>
      </c>
    </row>
    <row r="123" spans="2:12" x14ac:dyDescent="0.25">
      <c r="B123" s="2" t="s">
        <v>89</v>
      </c>
      <c r="C123" t="s">
        <v>17</v>
      </c>
      <c r="D123" t="s">
        <v>40</v>
      </c>
      <c r="E123" t="s">
        <v>67</v>
      </c>
      <c r="F123" t="s">
        <v>57</v>
      </c>
      <c r="G123">
        <v>20.249999999999996</v>
      </c>
      <c r="H123" t="s">
        <v>58</v>
      </c>
      <c r="I123">
        <v>202.49999999999997</v>
      </c>
      <c r="J123" t="s">
        <v>65</v>
      </c>
      <c r="L123">
        <f t="shared" si="3"/>
        <v>20.249999999999996</v>
      </c>
    </row>
    <row r="124" spans="2:12" x14ac:dyDescent="0.25">
      <c r="B124" s="2" t="s">
        <v>89</v>
      </c>
      <c r="C124" t="s">
        <v>18</v>
      </c>
      <c r="D124" t="s">
        <v>41</v>
      </c>
      <c r="E124" t="s">
        <v>67</v>
      </c>
      <c r="F124" t="s">
        <v>57</v>
      </c>
      <c r="G124">
        <v>11.25</v>
      </c>
      <c r="H124" t="s">
        <v>58</v>
      </c>
      <c r="I124">
        <v>112.5</v>
      </c>
      <c r="J124" t="s">
        <v>65</v>
      </c>
      <c r="L124">
        <f t="shared" si="3"/>
        <v>11.25</v>
      </c>
    </row>
    <row r="125" spans="2:12" x14ac:dyDescent="0.25">
      <c r="B125" s="2" t="s">
        <v>89</v>
      </c>
      <c r="C125" t="s">
        <v>18</v>
      </c>
      <c r="D125" t="s">
        <v>41</v>
      </c>
      <c r="E125" t="s">
        <v>67</v>
      </c>
      <c r="F125" t="s">
        <v>57</v>
      </c>
      <c r="G125">
        <v>4.5</v>
      </c>
      <c r="H125" t="s">
        <v>58</v>
      </c>
      <c r="I125">
        <v>45</v>
      </c>
      <c r="J125" t="s">
        <v>65</v>
      </c>
      <c r="L125">
        <f t="shared" si="3"/>
        <v>4.5</v>
      </c>
    </row>
    <row r="126" spans="2:12" x14ac:dyDescent="0.25">
      <c r="B126" s="2" t="s">
        <v>89</v>
      </c>
      <c r="C126" t="s">
        <v>19</v>
      </c>
      <c r="D126" t="s">
        <v>42</v>
      </c>
      <c r="E126" t="s">
        <v>64</v>
      </c>
      <c r="F126" t="s">
        <v>57</v>
      </c>
      <c r="G126">
        <v>337.5</v>
      </c>
      <c r="H126" t="s">
        <v>58</v>
      </c>
      <c r="I126">
        <v>337.5</v>
      </c>
      <c r="J126" t="s">
        <v>65</v>
      </c>
      <c r="L126">
        <f t="shared" si="3"/>
        <v>337.5</v>
      </c>
    </row>
    <row r="127" spans="2:12" x14ac:dyDescent="0.25">
      <c r="B127" s="2" t="s">
        <v>89</v>
      </c>
      <c r="C127" t="s">
        <v>19</v>
      </c>
      <c r="D127" t="s">
        <v>42</v>
      </c>
      <c r="E127" t="s">
        <v>64</v>
      </c>
      <c r="F127" t="s">
        <v>57</v>
      </c>
      <c r="G127">
        <v>337.5</v>
      </c>
      <c r="H127" t="s">
        <v>58</v>
      </c>
      <c r="I127">
        <v>337.5</v>
      </c>
      <c r="J127" t="s">
        <v>65</v>
      </c>
      <c r="L127">
        <f t="shared" si="3"/>
        <v>337.5</v>
      </c>
    </row>
    <row r="128" spans="2:12" x14ac:dyDescent="0.25">
      <c r="B128" s="2" t="s">
        <v>89</v>
      </c>
      <c r="C128" t="s">
        <v>20</v>
      </c>
      <c r="D128" t="s">
        <v>43</v>
      </c>
      <c r="E128" t="s">
        <v>66</v>
      </c>
      <c r="F128" t="s">
        <v>57</v>
      </c>
      <c r="G128">
        <v>4.5</v>
      </c>
      <c r="H128" t="s">
        <v>58</v>
      </c>
      <c r="I128">
        <v>4500</v>
      </c>
      <c r="J128" t="s">
        <v>62</v>
      </c>
      <c r="L128">
        <f t="shared" si="3"/>
        <v>4.5</v>
      </c>
    </row>
    <row r="129" spans="2:12" x14ac:dyDescent="0.25">
      <c r="B129" s="2" t="s">
        <v>89</v>
      </c>
      <c r="C129" t="s">
        <v>21</v>
      </c>
      <c r="D129" t="s">
        <v>44</v>
      </c>
      <c r="E129" t="s">
        <v>68</v>
      </c>
      <c r="F129" t="s">
        <v>57</v>
      </c>
      <c r="G129">
        <v>2.0249999999999999</v>
      </c>
      <c r="H129" t="s">
        <v>58</v>
      </c>
      <c r="I129">
        <v>202.5</v>
      </c>
      <c r="J129" t="s">
        <v>65</v>
      </c>
      <c r="L129">
        <f t="shared" si="3"/>
        <v>2.0249999999999999</v>
      </c>
    </row>
    <row r="130" spans="2:12" x14ac:dyDescent="0.25">
      <c r="B130" s="2" t="s">
        <v>90</v>
      </c>
      <c r="C130" t="s">
        <v>6</v>
      </c>
      <c r="D130" t="s">
        <v>29</v>
      </c>
      <c r="E130" t="s">
        <v>56</v>
      </c>
      <c r="F130">
        <v>225</v>
      </c>
      <c r="G130" t="s">
        <v>57</v>
      </c>
      <c r="H130" t="s">
        <v>58</v>
      </c>
      <c r="I130">
        <v>6750</v>
      </c>
      <c r="J130" t="s">
        <v>59</v>
      </c>
      <c r="L130">
        <f t="shared" si="3"/>
        <v>225</v>
      </c>
    </row>
    <row r="131" spans="2:12" x14ac:dyDescent="0.25">
      <c r="B131" s="2" t="s">
        <v>90</v>
      </c>
      <c r="C131" t="s">
        <v>7</v>
      </c>
      <c r="D131" t="s">
        <v>30</v>
      </c>
      <c r="E131" t="s">
        <v>60</v>
      </c>
      <c r="F131" t="s">
        <v>57</v>
      </c>
      <c r="G131">
        <v>60.75</v>
      </c>
      <c r="H131" t="s">
        <v>58</v>
      </c>
      <c r="I131">
        <v>6075</v>
      </c>
      <c r="J131" t="s">
        <v>59</v>
      </c>
      <c r="L131">
        <f t="shared" si="3"/>
        <v>60.75</v>
      </c>
    </row>
    <row r="132" spans="2:12" x14ac:dyDescent="0.25">
      <c r="B132" s="2" t="s">
        <v>90</v>
      </c>
      <c r="C132" t="s">
        <v>8</v>
      </c>
      <c r="D132" t="s">
        <v>31</v>
      </c>
      <c r="E132" t="s">
        <v>61</v>
      </c>
      <c r="F132">
        <v>22.5</v>
      </c>
      <c r="G132" t="s">
        <v>57</v>
      </c>
      <c r="H132" t="s">
        <v>58</v>
      </c>
      <c r="I132">
        <v>2250</v>
      </c>
      <c r="J132" t="s">
        <v>62</v>
      </c>
      <c r="L132">
        <f t="shared" si="3"/>
        <v>22.5</v>
      </c>
    </row>
    <row r="133" spans="2:12" x14ac:dyDescent="0.25">
      <c r="B133" s="2" t="s">
        <v>90</v>
      </c>
      <c r="C133" t="s">
        <v>9</v>
      </c>
      <c r="D133" t="s">
        <v>32</v>
      </c>
      <c r="E133" t="s">
        <v>61</v>
      </c>
      <c r="F133">
        <v>1.7010000000000003</v>
      </c>
      <c r="G133" t="s">
        <v>57</v>
      </c>
      <c r="H133" t="s">
        <v>58</v>
      </c>
      <c r="I133">
        <v>170.10000000000002</v>
      </c>
      <c r="J133" t="s">
        <v>62</v>
      </c>
      <c r="L133">
        <f t="shared" ref="L133:L196" si="4">MAX(F133:G133)</f>
        <v>1.7010000000000003</v>
      </c>
    </row>
    <row r="134" spans="2:12" x14ac:dyDescent="0.25">
      <c r="B134" s="2" t="s">
        <v>90</v>
      </c>
      <c r="C134" t="s">
        <v>10</v>
      </c>
      <c r="D134" t="s">
        <v>33</v>
      </c>
      <c r="E134" t="s">
        <v>60</v>
      </c>
      <c r="F134" t="s">
        <v>57</v>
      </c>
      <c r="G134">
        <v>168.75</v>
      </c>
      <c r="H134" t="s">
        <v>58</v>
      </c>
      <c r="I134">
        <v>16875</v>
      </c>
      <c r="J134" t="s">
        <v>59</v>
      </c>
      <c r="L134">
        <f t="shared" si="4"/>
        <v>168.75</v>
      </c>
    </row>
    <row r="135" spans="2:12" x14ac:dyDescent="0.25">
      <c r="B135" s="2" t="s">
        <v>90</v>
      </c>
      <c r="C135" t="s">
        <v>11</v>
      </c>
      <c r="D135" t="s">
        <v>34</v>
      </c>
      <c r="E135" t="s">
        <v>63</v>
      </c>
      <c r="F135" t="s">
        <v>57</v>
      </c>
      <c r="G135">
        <v>81</v>
      </c>
      <c r="H135" t="s">
        <v>58</v>
      </c>
      <c r="I135">
        <v>20250</v>
      </c>
      <c r="J135" t="s">
        <v>59</v>
      </c>
      <c r="L135">
        <f t="shared" si="4"/>
        <v>81</v>
      </c>
    </row>
    <row r="136" spans="2:12" x14ac:dyDescent="0.25">
      <c r="B136" s="2" t="s">
        <v>90</v>
      </c>
      <c r="C136" t="s">
        <v>11</v>
      </c>
      <c r="D136" t="s">
        <v>34</v>
      </c>
      <c r="E136" t="s">
        <v>63</v>
      </c>
      <c r="F136" t="s">
        <v>57</v>
      </c>
      <c r="G136">
        <v>4.5</v>
      </c>
      <c r="H136" t="s">
        <v>58</v>
      </c>
      <c r="I136">
        <v>1125</v>
      </c>
      <c r="J136" t="s">
        <v>59</v>
      </c>
      <c r="L136">
        <f t="shared" si="4"/>
        <v>4.5</v>
      </c>
    </row>
    <row r="137" spans="2:12" x14ac:dyDescent="0.25">
      <c r="B137" s="2" t="s">
        <v>90</v>
      </c>
      <c r="C137" t="s">
        <v>11</v>
      </c>
      <c r="D137" t="s">
        <v>34</v>
      </c>
      <c r="E137" t="s">
        <v>63</v>
      </c>
      <c r="F137" t="s">
        <v>57</v>
      </c>
      <c r="G137">
        <v>2.7</v>
      </c>
      <c r="H137" t="s">
        <v>58</v>
      </c>
      <c r="I137">
        <v>675</v>
      </c>
      <c r="J137" t="s">
        <v>59</v>
      </c>
      <c r="L137">
        <f t="shared" si="4"/>
        <v>2.7</v>
      </c>
    </row>
    <row r="138" spans="2:12" x14ac:dyDescent="0.25">
      <c r="B138" s="2" t="s">
        <v>90</v>
      </c>
      <c r="C138" t="s">
        <v>11</v>
      </c>
      <c r="D138" t="s">
        <v>34</v>
      </c>
      <c r="E138" t="s">
        <v>63</v>
      </c>
      <c r="F138" t="s">
        <v>57</v>
      </c>
      <c r="G138">
        <v>1.7999999999999916</v>
      </c>
      <c r="H138" t="s">
        <v>58</v>
      </c>
      <c r="I138">
        <v>449.9999999999979</v>
      </c>
      <c r="J138" t="s">
        <v>59</v>
      </c>
      <c r="L138">
        <f t="shared" si="4"/>
        <v>1.7999999999999916</v>
      </c>
    </row>
    <row r="139" spans="2:12" x14ac:dyDescent="0.25">
      <c r="B139" s="2" t="s">
        <v>90</v>
      </c>
      <c r="C139" t="s">
        <v>12</v>
      </c>
      <c r="D139" t="s">
        <v>35</v>
      </c>
      <c r="E139" t="s">
        <v>64</v>
      </c>
      <c r="F139" t="s">
        <v>57</v>
      </c>
      <c r="G139">
        <v>18</v>
      </c>
      <c r="H139" t="s">
        <v>58</v>
      </c>
      <c r="I139">
        <v>18</v>
      </c>
      <c r="J139" t="s">
        <v>65</v>
      </c>
      <c r="L139">
        <f t="shared" si="4"/>
        <v>18</v>
      </c>
    </row>
    <row r="140" spans="2:12" x14ac:dyDescent="0.25">
      <c r="B140" s="2" t="s">
        <v>90</v>
      </c>
      <c r="C140" t="s">
        <v>13</v>
      </c>
      <c r="D140" t="s">
        <v>36</v>
      </c>
      <c r="E140" t="s">
        <v>64</v>
      </c>
      <c r="F140" t="s">
        <v>57</v>
      </c>
      <c r="G140">
        <v>45</v>
      </c>
      <c r="H140" t="s">
        <v>58</v>
      </c>
      <c r="I140">
        <v>45</v>
      </c>
      <c r="J140" t="s">
        <v>65</v>
      </c>
      <c r="L140">
        <f t="shared" si="4"/>
        <v>45</v>
      </c>
    </row>
    <row r="141" spans="2:12" x14ac:dyDescent="0.25">
      <c r="B141" s="2" t="s">
        <v>90</v>
      </c>
      <c r="C141" t="s">
        <v>14</v>
      </c>
      <c r="D141" t="s">
        <v>37</v>
      </c>
      <c r="E141" t="s">
        <v>66</v>
      </c>
      <c r="F141" t="s">
        <v>57</v>
      </c>
      <c r="G141">
        <v>0.94499999999999995</v>
      </c>
      <c r="H141" t="s">
        <v>58</v>
      </c>
      <c r="I141">
        <v>945</v>
      </c>
      <c r="J141" t="s">
        <v>62</v>
      </c>
      <c r="L141">
        <f t="shared" si="4"/>
        <v>0.94499999999999995</v>
      </c>
    </row>
    <row r="142" spans="2:12" x14ac:dyDescent="0.25">
      <c r="B142" s="2" t="s">
        <v>90</v>
      </c>
      <c r="C142" t="s">
        <v>15</v>
      </c>
      <c r="D142" t="s">
        <v>38</v>
      </c>
      <c r="E142" t="s">
        <v>66</v>
      </c>
      <c r="F142" t="s">
        <v>57</v>
      </c>
      <c r="G142">
        <v>0.45</v>
      </c>
      <c r="H142" t="s">
        <v>58</v>
      </c>
      <c r="I142">
        <v>450</v>
      </c>
      <c r="J142" t="s">
        <v>62</v>
      </c>
      <c r="L142">
        <f t="shared" si="4"/>
        <v>0.45</v>
      </c>
    </row>
    <row r="143" spans="2:12" x14ac:dyDescent="0.25">
      <c r="B143" s="2" t="s">
        <v>90</v>
      </c>
      <c r="C143" t="s">
        <v>16</v>
      </c>
      <c r="D143" t="s">
        <v>39</v>
      </c>
      <c r="E143" t="s">
        <v>66</v>
      </c>
      <c r="F143" t="s">
        <v>57</v>
      </c>
      <c r="G143">
        <v>1.6874999999999998</v>
      </c>
      <c r="H143" t="s">
        <v>58</v>
      </c>
      <c r="I143">
        <v>1687.4999999999998</v>
      </c>
      <c r="J143" t="s">
        <v>62</v>
      </c>
      <c r="L143">
        <f t="shared" si="4"/>
        <v>1.6874999999999998</v>
      </c>
    </row>
    <row r="144" spans="2:12" x14ac:dyDescent="0.25">
      <c r="B144" s="2" t="s">
        <v>90</v>
      </c>
      <c r="C144" t="s">
        <v>17</v>
      </c>
      <c r="D144" t="s">
        <v>40</v>
      </c>
      <c r="E144" t="s">
        <v>67</v>
      </c>
      <c r="F144" t="s">
        <v>57</v>
      </c>
      <c r="G144">
        <v>20.249999999999996</v>
      </c>
      <c r="H144" t="s">
        <v>58</v>
      </c>
      <c r="I144">
        <v>202.49999999999997</v>
      </c>
      <c r="J144" t="s">
        <v>65</v>
      </c>
      <c r="L144">
        <f t="shared" si="4"/>
        <v>20.249999999999996</v>
      </c>
    </row>
    <row r="145" spans="2:12" x14ac:dyDescent="0.25">
      <c r="B145" s="2" t="s">
        <v>90</v>
      </c>
      <c r="C145" t="s">
        <v>18</v>
      </c>
      <c r="D145" t="s">
        <v>41</v>
      </c>
      <c r="E145" t="s">
        <v>67</v>
      </c>
      <c r="F145" t="s">
        <v>57</v>
      </c>
      <c r="G145">
        <v>11.25</v>
      </c>
      <c r="H145" t="s">
        <v>58</v>
      </c>
      <c r="I145">
        <v>112.5</v>
      </c>
      <c r="J145" t="s">
        <v>65</v>
      </c>
      <c r="L145">
        <f t="shared" si="4"/>
        <v>11.25</v>
      </c>
    </row>
    <row r="146" spans="2:12" x14ac:dyDescent="0.25">
      <c r="B146" s="2" t="s">
        <v>90</v>
      </c>
      <c r="C146" t="s">
        <v>18</v>
      </c>
      <c r="D146" t="s">
        <v>41</v>
      </c>
      <c r="E146" t="s">
        <v>67</v>
      </c>
      <c r="F146" t="s">
        <v>57</v>
      </c>
      <c r="G146">
        <v>4.5</v>
      </c>
      <c r="H146" t="s">
        <v>58</v>
      </c>
      <c r="I146">
        <v>45</v>
      </c>
      <c r="J146" t="s">
        <v>65</v>
      </c>
      <c r="L146">
        <f t="shared" si="4"/>
        <v>4.5</v>
      </c>
    </row>
    <row r="147" spans="2:12" x14ac:dyDescent="0.25">
      <c r="B147" s="2" t="s">
        <v>90</v>
      </c>
      <c r="C147" t="s">
        <v>19</v>
      </c>
      <c r="D147" t="s">
        <v>42</v>
      </c>
      <c r="E147" t="s">
        <v>64</v>
      </c>
      <c r="F147" t="s">
        <v>57</v>
      </c>
      <c r="G147">
        <v>337.5</v>
      </c>
      <c r="H147" t="s">
        <v>58</v>
      </c>
      <c r="I147">
        <v>337.5</v>
      </c>
      <c r="J147" t="s">
        <v>65</v>
      </c>
      <c r="L147">
        <f t="shared" si="4"/>
        <v>337.5</v>
      </c>
    </row>
    <row r="148" spans="2:12" x14ac:dyDescent="0.25">
      <c r="B148" s="2" t="s">
        <v>90</v>
      </c>
      <c r="C148" t="s">
        <v>19</v>
      </c>
      <c r="D148" t="s">
        <v>42</v>
      </c>
      <c r="E148" t="s">
        <v>64</v>
      </c>
      <c r="F148" t="s">
        <v>57</v>
      </c>
      <c r="G148">
        <v>337.5</v>
      </c>
      <c r="H148" t="s">
        <v>58</v>
      </c>
      <c r="I148">
        <v>337.5</v>
      </c>
      <c r="J148" t="s">
        <v>65</v>
      </c>
      <c r="L148">
        <f t="shared" si="4"/>
        <v>337.5</v>
      </c>
    </row>
    <row r="149" spans="2:12" x14ac:dyDescent="0.25">
      <c r="B149" s="2" t="s">
        <v>90</v>
      </c>
      <c r="C149" t="s">
        <v>20</v>
      </c>
      <c r="D149" t="s">
        <v>43</v>
      </c>
      <c r="E149" t="s">
        <v>66</v>
      </c>
      <c r="F149" t="s">
        <v>57</v>
      </c>
      <c r="G149">
        <v>4.5</v>
      </c>
      <c r="H149" t="s">
        <v>58</v>
      </c>
      <c r="I149">
        <v>4500</v>
      </c>
      <c r="J149" t="s">
        <v>62</v>
      </c>
      <c r="L149">
        <f t="shared" si="4"/>
        <v>4.5</v>
      </c>
    </row>
    <row r="150" spans="2:12" x14ac:dyDescent="0.25">
      <c r="B150" s="2" t="s">
        <v>90</v>
      </c>
      <c r="C150" t="s">
        <v>21</v>
      </c>
      <c r="D150" t="s">
        <v>44</v>
      </c>
      <c r="E150" t="s">
        <v>68</v>
      </c>
      <c r="F150" t="s">
        <v>57</v>
      </c>
      <c r="G150">
        <v>2.0249999999999999</v>
      </c>
      <c r="H150" t="s">
        <v>58</v>
      </c>
      <c r="I150">
        <v>202.5</v>
      </c>
      <c r="J150" t="s">
        <v>65</v>
      </c>
      <c r="L150">
        <f t="shared" si="4"/>
        <v>2.0249999999999999</v>
      </c>
    </row>
    <row r="151" spans="2:12" x14ac:dyDescent="0.25">
      <c r="B151" s="2" t="s">
        <v>91</v>
      </c>
      <c r="C151" t="s">
        <v>6</v>
      </c>
      <c r="D151" t="s">
        <v>29</v>
      </c>
      <c r="E151" t="s">
        <v>56</v>
      </c>
      <c r="F151">
        <v>225</v>
      </c>
      <c r="G151" t="s">
        <v>57</v>
      </c>
      <c r="H151" t="s">
        <v>58</v>
      </c>
      <c r="I151">
        <v>6750</v>
      </c>
      <c r="J151" t="s">
        <v>59</v>
      </c>
      <c r="L151">
        <f t="shared" si="4"/>
        <v>225</v>
      </c>
    </row>
    <row r="152" spans="2:12" x14ac:dyDescent="0.25">
      <c r="B152" s="2" t="s">
        <v>91</v>
      </c>
      <c r="C152" t="s">
        <v>7</v>
      </c>
      <c r="D152" t="s">
        <v>30</v>
      </c>
      <c r="E152" t="s">
        <v>60</v>
      </c>
      <c r="F152" t="s">
        <v>57</v>
      </c>
      <c r="G152">
        <v>60.75</v>
      </c>
      <c r="H152" t="s">
        <v>58</v>
      </c>
      <c r="I152">
        <v>6075</v>
      </c>
      <c r="J152" t="s">
        <v>59</v>
      </c>
      <c r="L152">
        <f t="shared" si="4"/>
        <v>60.75</v>
      </c>
    </row>
    <row r="153" spans="2:12" x14ac:dyDescent="0.25">
      <c r="B153" s="2" t="s">
        <v>91</v>
      </c>
      <c r="C153" t="s">
        <v>8</v>
      </c>
      <c r="D153" t="s">
        <v>31</v>
      </c>
      <c r="E153" t="s">
        <v>61</v>
      </c>
      <c r="F153">
        <v>22.5</v>
      </c>
      <c r="G153" t="s">
        <v>57</v>
      </c>
      <c r="H153" t="s">
        <v>58</v>
      </c>
      <c r="I153">
        <v>2250</v>
      </c>
      <c r="J153" t="s">
        <v>62</v>
      </c>
      <c r="L153">
        <f t="shared" si="4"/>
        <v>22.5</v>
      </c>
    </row>
    <row r="154" spans="2:12" x14ac:dyDescent="0.25">
      <c r="B154" s="2" t="s">
        <v>91</v>
      </c>
      <c r="C154" t="s">
        <v>9</v>
      </c>
      <c r="D154" t="s">
        <v>32</v>
      </c>
      <c r="E154" t="s">
        <v>61</v>
      </c>
      <c r="F154">
        <v>1.7010000000000003</v>
      </c>
      <c r="G154" t="s">
        <v>57</v>
      </c>
      <c r="H154" t="s">
        <v>58</v>
      </c>
      <c r="I154">
        <v>170.10000000000002</v>
      </c>
      <c r="J154" t="s">
        <v>62</v>
      </c>
      <c r="L154">
        <f t="shared" si="4"/>
        <v>1.7010000000000003</v>
      </c>
    </row>
    <row r="155" spans="2:12" x14ac:dyDescent="0.25">
      <c r="B155" s="2" t="s">
        <v>91</v>
      </c>
      <c r="C155" t="s">
        <v>10</v>
      </c>
      <c r="D155" t="s">
        <v>33</v>
      </c>
      <c r="E155" t="s">
        <v>60</v>
      </c>
      <c r="F155" t="s">
        <v>57</v>
      </c>
      <c r="G155">
        <v>168.75</v>
      </c>
      <c r="H155" t="s">
        <v>58</v>
      </c>
      <c r="I155">
        <v>16875</v>
      </c>
      <c r="J155" t="s">
        <v>59</v>
      </c>
      <c r="L155">
        <f t="shared" si="4"/>
        <v>168.75</v>
      </c>
    </row>
    <row r="156" spans="2:12" x14ac:dyDescent="0.25">
      <c r="B156" s="2" t="s">
        <v>91</v>
      </c>
      <c r="C156" t="s">
        <v>11</v>
      </c>
      <c r="D156" t="s">
        <v>34</v>
      </c>
      <c r="E156" t="s">
        <v>63</v>
      </c>
      <c r="F156" t="s">
        <v>57</v>
      </c>
      <c r="G156">
        <v>81</v>
      </c>
      <c r="H156" t="s">
        <v>58</v>
      </c>
      <c r="I156">
        <v>20250</v>
      </c>
      <c r="J156" t="s">
        <v>59</v>
      </c>
      <c r="L156">
        <f t="shared" si="4"/>
        <v>81</v>
      </c>
    </row>
    <row r="157" spans="2:12" x14ac:dyDescent="0.25">
      <c r="B157" s="2" t="s">
        <v>91</v>
      </c>
      <c r="C157" t="s">
        <v>11</v>
      </c>
      <c r="D157" t="s">
        <v>34</v>
      </c>
      <c r="E157" t="s">
        <v>63</v>
      </c>
      <c r="F157" t="s">
        <v>57</v>
      </c>
      <c r="G157">
        <v>4.5</v>
      </c>
      <c r="H157" t="s">
        <v>58</v>
      </c>
      <c r="I157">
        <v>1125</v>
      </c>
      <c r="J157" t="s">
        <v>59</v>
      </c>
      <c r="L157">
        <f t="shared" si="4"/>
        <v>4.5</v>
      </c>
    </row>
    <row r="158" spans="2:12" x14ac:dyDescent="0.25">
      <c r="B158" s="2" t="s">
        <v>91</v>
      </c>
      <c r="C158" t="s">
        <v>11</v>
      </c>
      <c r="D158" t="s">
        <v>34</v>
      </c>
      <c r="E158" t="s">
        <v>63</v>
      </c>
      <c r="F158" t="s">
        <v>57</v>
      </c>
      <c r="G158">
        <v>2.7</v>
      </c>
      <c r="H158" t="s">
        <v>58</v>
      </c>
      <c r="I158">
        <v>675</v>
      </c>
      <c r="J158" t="s">
        <v>59</v>
      </c>
      <c r="L158">
        <f t="shared" si="4"/>
        <v>2.7</v>
      </c>
    </row>
    <row r="159" spans="2:12" x14ac:dyDescent="0.25">
      <c r="B159" s="2" t="s">
        <v>91</v>
      </c>
      <c r="C159" t="s">
        <v>11</v>
      </c>
      <c r="D159" t="s">
        <v>34</v>
      </c>
      <c r="E159" t="s">
        <v>63</v>
      </c>
      <c r="F159" t="s">
        <v>57</v>
      </c>
      <c r="G159">
        <v>1.7999999999999916</v>
      </c>
      <c r="H159" t="s">
        <v>58</v>
      </c>
      <c r="I159">
        <v>449.9999999999979</v>
      </c>
      <c r="J159" t="s">
        <v>59</v>
      </c>
      <c r="L159">
        <f t="shared" si="4"/>
        <v>1.7999999999999916</v>
      </c>
    </row>
    <row r="160" spans="2:12" x14ac:dyDescent="0.25">
      <c r="B160" s="2" t="s">
        <v>91</v>
      </c>
      <c r="C160" t="s">
        <v>12</v>
      </c>
      <c r="D160" t="s">
        <v>35</v>
      </c>
      <c r="E160" t="s">
        <v>64</v>
      </c>
      <c r="F160" t="s">
        <v>57</v>
      </c>
      <c r="G160">
        <v>18</v>
      </c>
      <c r="H160" t="s">
        <v>58</v>
      </c>
      <c r="I160">
        <v>18</v>
      </c>
      <c r="J160" t="s">
        <v>65</v>
      </c>
      <c r="L160">
        <f t="shared" si="4"/>
        <v>18</v>
      </c>
    </row>
    <row r="161" spans="2:12" x14ac:dyDescent="0.25">
      <c r="B161" s="2" t="s">
        <v>91</v>
      </c>
      <c r="C161" t="s">
        <v>13</v>
      </c>
      <c r="D161" t="s">
        <v>36</v>
      </c>
      <c r="E161" t="s">
        <v>64</v>
      </c>
      <c r="F161" t="s">
        <v>57</v>
      </c>
      <c r="G161">
        <v>45</v>
      </c>
      <c r="H161" t="s">
        <v>58</v>
      </c>
      <c r="I161">
        <v>45</v>
      </c>
      <c r="J161" t="s">
        <v>65</v>
      </c>
      <c r="L161">
        <f t="shared" si="4"/>
        <v>45</v>
      </c>
    </row>
    <row r="162" spans="2:12" x14ac:dyDescent="0.25">
      <c r="B162" s="2" t="s">
        <v>91</v>
      </c>
      <c r="C162" t="s">
        <v>14</v>
      </c>
      <c r="D162" t="s">
        <v>37</v>
      </c>
      <c r="E162" t="s">
        <v>66</v>
      </c>
      <c r="F162" t="s">
        <v>57</v>
      </c>
      <c r="G162">
        <v>0.94499999999999995</v>
      </c>
      <c r="H162" t="s">
        <v>58</v>
      </c>
      <c r="I162">
        <v>945</v>
      </c>
      <c r="J162" t="s">
        <v>62</v>
      </c>
      <c r="L162">
        <f t="shared" si="4"/>
        <v>0.94499999999999995</v>
      </c>
    </row>
    <row r="163" spans="2:12" x14ac:dyDescent="0.25">
      <c r="B163" s="2" t="s">
        <v>91</v>
      </c>
      <c r="C163" t="s">
        <v>15</v>
      </c>
      <c r="D163" t="s">
        <v>38</v>
      </c>
      <c r="E163" t="s">
        <v>66</v>
      </c>
      <c r="F163" t="s">
        <v>57</v>
      </c>
      <c r="G163">
        <v>0.45</v>
      </c>
      <c r="H163" t="s">
        <v>58</v>
      </c>
      <c r="I163">
        <v>450</v>
      </c>
      <c r="J163" t="s">
        <v>62</v>
      </c>
      <c r="L163">
        <f t="shared" si="4"/>
        <v>0.45</v>
      </c>
    </row>
    <row r="164" spans="2:12" x14ac:dyDescent="0.25">
      <c r="B164" s="2" t="s">
        <v>91</v>
      </c>
      <c r="C164" t="s">
        <v>16</v>
      </c>
      <c r="D164" t="s">
        <v>39</v>
      </c>
      <c r="E164" t="s">
        <v>66</v>
      </c>
      <c r="F164" t="s">
        <v>57</v>
      </c>
      <c r="G164">
        <v>1.6874999999999998</v>
      </c>
      <c r="H164" t="s">
        <v>58</v>
      </c>
      <c r="I164">
        <v>1687.4999999999998</v>
      </c>
      <c r="J164" t="s">
        <v>62</v>
      </c>
      <c r="L164">
        <f t="shared" si="4"/>
        <v>1.6874999999999998</v>
      </c>
    </row>
    <row r="165" spans="2:12" x14ac:dyDescent="0.25">
      <c r="B165" s="2" t="s">
        <v>91</v>
      </c>
      <c r="C165" t="s">
        <v>17</v>
      </c>
      <c r="D165" t="s">
        <v>40</v>
      </c>
      <c r="E165" t="s">
        <v>67</v>
      </c>
      <c r="F165" t="s">
        <v>57</v>
      </c>
      <c r="G165">
        <v>20.249999999999996</v>
      </c>
      <c r="H165" t="s">
        <v>58</v>
      </c>
      <c r="I165">
        <v>202.49999999999997</v>
      </c>
      <c r="J165" t="s">
        <v>65</v>
      </c>
      <c r="L165">
        <f t="shared" si="4"/>
        <v>20.249999999999996</v>
      </c>
    </row>
    <row r="166" spans="2:12" x14ac:dyDescent="0.25">
      <c r="B166" s="2" t="s">
        <v>91</v>
      </c>
      <c r="C166" t="s">
        <v>18</v>
      </c>
      <c r="D166" t="s">
        <v>41</v>
      </c>
      <c r="E166" t="s">
        <v>67</v>
      </c>
      <c r="F166" t="s">
        <v>57</v>
      </c>
      <c r="G166">
        <v>11.25</v>
      </c>
      <c r="H166" t="s">
        <v>58</v>
      </c>
      <c r="I166">
        <v>112.5</v>
      </c>
      <c r="J166" t="s">
        <v>65</v>
      </c>
      <c r="L166">
        <f t="shared" si="4"/>
        <v>11.25</v>
      </c>
    </row>
    <row r="167" spans="2:12" x14ac:dyDescent="0.25">
      <c r="B167" s="2" t="s">
        <v>91</v>
      </c>
      <c r="C167" t="s">
        <v>18</v>
      </c>
      <c r="D167" t="s">
        <v>41</v>
      </c>
      <c r="E167" t="s">
        <v>67</v>
      </c>
      <c r="F167" t="s">
        <v>57</v>
      </c>
      <c r="G167">
        <v>4.5</v>
      </c>
      <c r="H167" t="s">
        <v>58</v>
      </c>
      <c r="I167">
        <v>45</v>
      </c>
      <c r="J167" t="s">
        <v>65</v>
      </c>
      <c r="L167">
        <f t="shared" si="4"/>
        <v>4.5</v>
      </c>
    </row>
    <row r="168" spans="2:12" x14ac:dyDescent="0.25">
      <c r="B168" s="2" t="s">
        <v>91</v>
      </c>
      <c r="C168" t="s">
        <v>19</v>
      </c>
      <c r="D168" t="s">
        <v>42</v>
      </c>
      <c r="E168" t="s">
        <v>64</v>
      </c>
      <c r="F168" t="s">
        <v>57</v>
      </c>
      <c r="G168">
        <v>337.5</v>
      </c>
      <c r="H168" t="s">
        <v>58</v>
      </c>
      <c r="I168">
        <v>337.5</v>
      </c>
      <c r="J168" t="s">
        <v>65</v>
      </c>
      <c r="L168">
        <f t="shared" si="4"/>
        <v>337.5</v>
      </c>
    </row>
    <row r="169" spans="2:12" x14ac:dyDescent="0.25">
      <c r="B169" s="2" t="s">
        <v>91</v>
      </c>
      <c r="C169" t="s">
        <v>19</v>
      </c>
      <c r="D169" t="s">
        <v>42</v>
      </c>
      <c r="E169" t="s">
        <v>64</v>
      </c>
      <c r="F169" t="s">
        <v>57</v>
      </c>
      <c r="G169">
        <v>337.5</v>
      </c>
      <c r="H169" t="s">
        <v>58</v>
      </c>
      <c r="I169">
        <v>337.5</v>
      </c>
      <c r="J169" t="s">
        <v>65</v>
      </c>
      <c r="L169">
        <f t="shared" si="4"/>
        <v>337.5</v>
      </c>
    </row>
    <row r="170" spans="2:12" x14ac:dyDescent="0.25">
      <c r="B170" s="2" t="s">
        <v>91</v>
      </c>
      <c r="C170" t="s">
        <v>20</v>
      </c>
      <c r="D170" t="s">
        <v>43</v>
      </c>
      <c r="E170" t="s">
        <v>66</v>
      </c>
      <c r="F170" t="s">
        <v>57</v>
      </c>
      <c r="G170">
        <v>4.5</v>
      </c>
      <c r="H170" t="s">
        <v>58</v>
      </c>
      <c r="I170">
        <v>4500</v>
      </c>
      <c r="J170" t="s">
        <v>62</v>
      </c>
      <c r="L170">
        <f t="shared" si="4"/>
        <v>4.5</v>
      </c>
    </row>
    <row r="171" spans="2:12" x14ac:dyDescent="0.25">
      <c r="B171" s="2" t="s">
        <v>91</v>
      </c>
      <c r="C171" t="s">
        <v>21</v>
      </c>
      <c r="D171" t="s">
        <v>44</v>
      </c>
      <c r="E171" t="s">
        <v>68</v>
      </c>
      <c r="F171" t="s">
        <v>57</v>
      </c>
      <c r="G171">
        <v>2.0249999999999999</v>
      </c>
      <c r="H171" t="s">
        <v>58</v>
      </c>
      <c r="I171">
        <v>202.5</v>
      </c>
      <c r="J171" t="s">
        <v>65</v>
      </c>
      <c r="L171">
        <f t="shared" si="4"/>
        <v>2.0249999999999999</v>
      </c>
    </row>
    <row r="172" spans="2:12" x14ac:dyDescent="0.25">
      <c r="B172" s="2" t="s">
        <v>92</v>
      </c>
      <c r="C172" t="s">
        <v>6</v>
      </c>
      <c r="D172" t="s">
        <v>29</v>
      </c>
      <c r="E172" t="s">
        <v>56</v>
      </c>
      <c r="F172">
        <v>225</v>
      </c>
      <c r="G172" t="s">
        <v>57</v>
      </c>
      <c r="H172" t="s">
        <v>58</v>
      </c>
      <c r="I172">
        <v>6750</v>
      </c>
      <c r="J172" t="s">
        <v>59</v>
      </c>
      <c r="L172">
        <f t="shared" si="4"/>
        <v>225</v>
      </c>
    </row>
    <row r="173" spans="2:12" x14ac:dyDescent="0.25">
      <c r="B173" s="2" t="s">
        <v>92</v>
      </c>
      <c r="C173" t="s">
        <v>7</v>
      </c>
      <c r="D173" t="s">
        <v>30</v>
      </c>
      <c r="E173" t="s">
        <v>60</v>
      </c>
      <c r="F173" t="s">
        <v>57</v>
      </c>
      <c r="G173">
        <v>60.75</v>
      </c>
      <c r="H173" t="s">
        <v>58</v>
      </c>
      <c r="I173">
        <v>6075</v>
      </c>
      <c r="J173" t="s">
        <v>59</v>
      </c>
      <c r="L173">
        <f t="shared" si="4"/>
        <v>60.75</v>
      </c>
    </row>
    <row r="174" spans="2:12" x14ac:dyDescent="0.25">
      <c r="B174" s="2" t="s">
        <v>92</v>
      </c>
      <c r="C174" t="s">
        <v>8</v>
      </c>
      <c r="D174" t="s">
        <v>31</v>
      </c>
      <c r="E174" t="s">
        <v>61</v>
      </c>
      <c r="F174">
        <v>22.5</v>
      </c>
      <c r="G174" t="s">
        <v>57</v>
      </c>
      <c r="H174" t="s">
        <v>58</v>
      </c>
      <c r="I174">
        <v>2250</v>
      </c>
      <c r="J174" t="s">
        <v>62</v>
      </c>
      <c r="L174">
        <f t="shared" si="4"/>
        <v>22.5</v>
      </c>
    </row>
    <row r="175" spans="2:12" x14ac:dyDescent="0.25">
      <c r="B175" s="2" t="s">
        <v>92</v>
      </c>
      <c r="C175" t="s">
        <v>9</v>
      </c>
      <c r="D175" t="s">
        <v>32</v>
      </c>
      <c r="E175" t="s">
        <v>61</v>
      </c>
      <c r="F175">
        <v>1.7010000000000003</v>
      </c>
      <c r="G175" t="s">
        <v>57</v>
      </c>
      <c r="H175" t="s">
        <v>58</v>
      </c>
      <c r="I175">
        <v>170.10000000000002</v>
      </c>
      <c r="J175" t="s">
        <v>62</v>
      </c>
      <c r="L175">
        <f t="shared" si="4"/>
        <v>1.7010000000000003</v>
      </c>
    </row>
    <row r="176" spans="2:12" x14ac:dyDescent="0.25">
      <c r="B176" s="2" t="s">
        <v>92</v>
      </c>
      <c r="C176" t="s">
        <v>10</v>
      </c>
      <c r="D176" t="s">
        <v>33</v>
      </c>
      <c r="E176" t="s">
        <v>60</v>
      </c>
      <c r="F176" t="s">
        <v>57</v>
      </c>
      <c r="G176">
        <v>168.75</v>
      </c>
      <c r="H176" t="s">
        <v>58</v>
      </c>
      <c r="I176">
        <v>16875</v>
      </c>
      <c r="J176" t="s">
        <v>59</v>
      </c>
      <c r="L176">
        <f t="shared" si="4"/>
        <v>168.75</v>
      </c>
    </row>
    <row r="177" spans="2:12" x14ac:dyDescent="0.25">
      <c r="B177" s="2" t="s">
        <v>92</v>
      </c>
      <c r="C177" t="s">
        <v>11</v>
      </c>
      <c r="D177" t="s">
        <v>34</v>
      </c>
      <c r="E177" t="s">
        <v>63</v>
      </c>
      <c r="F177" t="s">
        <v>57</v>
      </c>
      <c r="G177">
        <v>81</v>
      </c>
      <c r="H177" t="s">
        <v>58</v>
      </c>
      <c r="I177">
        <v>20250</v>
      </c>
      <c r="J177" t="s">
        <v>59</v>
      </c>
      <c r="L177">
        <f t="shared" si="4"/>
        <v>81</v>
      </c>
    </row>
    <row r="178" spans="2:12" x14ac:dyDescent="0.25">
      <c r="B178" s="2" t="s">
        <v>92</v>
      </c>
      <c r="C178" t="s">
        <v>11</v>
      </c>
      <c r="D178" t="s">
        <v>34</v>
      </c>
      <c r="E178" t="s">
        <v>63</v>
      </c>
      <c r="F178" t="s">
        <v>57</v>
      </c>
      <c r="G178">
        <v>4.5</v>
      </c>
      <c r="H178" t="s">
        <v>58</v>
      </c>
      <c r="I178">
        <v>1125</v>
      </c>
      <c r="J178" t="s">
        <v>59</v>
      </c>
      <c r="L178">
        <f t="shared" si="4"/>
        <v>4.5</v>
      </c>
    </row>
    <row r="179" spans="2:12" x14ac:dyDescent="0.25">
      <c r="B179" s="2" t="s">
        <v>92</v>
      </c>
      <c r="C179" t="s">
        <v>11</v>
      </c>
      <c r="D179" t="s">
        <v>34</v>
      </c>
      <c r="E179" t="s">
        <v>63</v>
      </c>
      <c r="F179" t="s">
        <v>57</v>
      </c>
      <c r="G179">
        <v>2.7</v>
      </c>
      <c r="H179" t="s">
        <v>58</v>
      </c>
      <c r="I179">
        <v>675</v>
      </c>
      <c r="J179" t="s">
        <v>59</v>
      </c>
      <c r="L179">
        <f t="shared" si="4"/>
        <v>2.7</v>
      </c>
    </row>
    <row r="180" spans="2:12" x14ac:dyDescent="0.25">
      <c r="B180" s="2" t="s">
        <v>92</v>
      </c>
      <c r="C180" t="s">
        <v>11</v>
      </c>
      <c r="D180" t="s">
        <v>34</v>
      </c>
      <c r="E180" t="s">
        <v>63</v>
      </c>
      <c r="F180" t="s">
        <v>57</v>
      </c>
      <c r="G180">
        <v>1.7999999999999916</v>
      </c>
      <c r="H180" t="s">
        <v>58</v>
      </c>
      <c r="I180">
        <v>449.9999999999979</v>
      </c>
      <c r="J180" t="s">
        <v>59</v>
      </c>
      <c r="L180">
        <f t="shared" si="4"/>
        <v>1.7999999999999916</v>
      </c>
    </row>
    <row r="181" spans="2:12" x14ac:dyDescent="0.25">
      <c r="B181" s="2" t="s">
        <v>92</v>
      </c>
      <c r="C181" t="s">
        <v>12</v>
      </c>
      <c r="D181" t="s">
        <v>35</v>
      </c>
      <c r="E181" t="s">
        <v>64</v>
      </c>
      <c r="F181" t="s">
        <v>57</v>
      </c>
      <c r="G181">
        <v>18</v>
      </c>
      <c r="H181" t="s">
        <v>58</v>
      </c>
      <c r="I181">
        <v>18</v>
      </c>
      <c r="J181" t="s">
        <v>65</v>
      </c>
      <c r="L181">
        <f t="shared" si="4"/>
        <v>18</v>
      </c>
    </row>
    <row r="182" spans="2:12" x14ac:dyDescent="0.25">
      <c r="B182" s="2" t="s">
        <v>92</v>
      </c>
      <c r="C182" t="s">
        <v>13</v>
      </c>
      <c r="D182" t="s">
        <v>36</v>
      </c>
      <c r="E182" t="s">
        <v>64</v>
      </c>
      <c r="F182" t="s">
        <v>57</v>
      </c>
      <c r="G182">
        <v>45</v>
      </c>
      <c r="H182" t="s">
        <v>58</v>
      </c>
      <c r="I182">
        <v>45</v>
      </c>
      <c r="J182" t="s">
        <v>65</v>
      </c>
      <c r="L182">
        <f t="shared" si="4"/>
        <v>45</v>
      </c>
    </row>
    <row r="183" spans="2:12" x14ac:dyDescent="0.25">
      <c r="B183" s="2" t="s">
        <v>92</v>
      </c>
      <c r="C183" t="s">
        <v>14</v>
      </c>
      <c r="D183" t="s">
        <v>37</v>
      </c>
      <c r="E183" t="s">
        <v>66</v>
      </c>
      <c r="F183" t="s">
        <v>57</v>
      </c>
      <c r="G183">
        <v>0.94499999999999995</v>
      </c>
      <c r="H183" t="s">
        <v>58</v>
      </c>
      <c r="I183">
        <v>945</v>
      </c>
      <c r="J183" t="s">
        <v>62</v>
      </c>
      <c r="L183">
        <f t="shared" si="4"/>
        <v>0.94499999999999995</v>
      </c>
    </row>
    <row r="184" spans="2:12" x14ac:dyDescent="0.25">
      <c r="B184" s="2" t="s">
        <v>92</v>
      </c>
      <c r="C184" t="s">
        <v>15</v>
      </c>
      <c r="D184" t="s">
        <v>38</v>
      </c>
      <c r="E184" t="s">
        <v>66</v>
      </c>
      <c r="F184" t="s">
        <v>57</v>
      </c>
      <c r="G184">
        <v>0.45</v>
      </c>
      <c r="H184" t="s">
        <v>58</v>
      </c>
      <c r="I184">
        <v>450</v>
      </c>
      <c r="J184" t="s">
        <v>62</v>
      </c>
      <c r="L184">
        <f t="shared" si="4"/>
        <v>0.45</v>
      </c>
    </row>
    <row r="185" spans="2:12" x14ac:dyDescent="0.25">
      <c r="B185" s="2" t="s">
        <v>92</v>
      </c>
      <c r="C185" t="s">
        <v>16</v>
      </c>
      <c r="D185" t="s">
        <v>39</v>
      </c>
      <c r="E185" t="s">
        <v>66</v>
      </c>
      <c r="F185" t="s">
        <v>57</v>
      </c>
      <c r="G185">
        <v>1.6874999999999998</v>
      </c>
      <c r="H185" t="s">
        <v>58</v>
      </c>
      <c r="I185">
        <v>1687.4999999999998</v>
      </c>
      <c r="J185" t="s">
        <v>62</v>
      </c>
      <c r="L185">
        <f t="shared" si="4"/>
        <v>1.6874999999999998</v>
      </c>
    </row>
    <row r="186" spans="2:12" x14ac:dyDescent="0.25">
      <c r="B186" s="2" t="s">
        <v>92</v>
      </c>
      <c r="C186" t="s">
        <v>17</v>
      </c>
      <c r="D186" t="s">
        <v>40</v>
      </c>
      <c r="E186" t="s">
        <v>67</v>
      </c>
      <c r="F186" t="s">
        <v>57</v>
      </c>
      <c r="G186">
        <v>20.249999999999996</v>
      </c>
      <c r="H186" t="s">
        <v>58</v>
      </c>
      <c r="I186">
        <v>202.49999999999997</v>
      </c>
      <c r="J186" t="s">
        <v>65</v>
      </c>
      <c r="L186">
        <f t="shared" si="4"/>
        <v>20.249999999999996</v>
      </c>
    </row>
    <row r="187" spans="2:12" x14ac:dyDescent="0.25">
      <c r="B187" s="2" t="s">
        <v>92</v>
      </c>
      <c r="C187" t="s">
        <v>18</v>
      </c>
      <c r="D187" t="s">
        <v>41</v>
      </c>
      <c r="E187" t="s">
        <v>67</v>
      </c>
      <c r="F187" t="s">
        <v>57</v>
      </c>
      <c r="G187">
        <v>11.25</v>
      </c>
      <c r="H187" t="s">
        <v>58</v>
      </c>
      <c r="I187">
        <v>112.5</v>
      </c>
      <c r="J187" t="s">
        <v>65</v>
      </c>
      <c r="L187">
        <f t="shared" si="4"/>
        <v>11.25</v>
      </c>
    </row>
    <row r="188" spans="2:12" x14ac:dyDescent="0.25">
      <c r="B188" s="2" t="s">
        <v>92</v>
      </c>
      <c r="C188" t="s">
        <v>18</v>
      </c>
      <c r="D188" t="s">
        <v>41</v>
      </c>
      <c r="E188" t="s">
        <v>67</v>
      </c>
      <c r="F188" t="s">
        <v>57</v>
      </c>
      <c r="G188">
        <v>4.5</v>
      </c>
      <c r="H188" t="s">
        <v>58</v>
      </c>
      <c r="I188">
        <v>45</v>
      </c>
      <c r="J188" t="s">
        <v>65</v>
      </c>
      <c r="L188">
        <f t="shared" si="4"/>
        <v>4.5</v>
      </c>
    </row>
    <row r="189" spans="2:12" x14ac:dyDescent="0.25">
      <c r="B189" s="2" t="s">
        <v>92</v>
      </c>
      <c r="C189" t="s">
        <v>19</v>
      </c>
      <c r="D189" t="s">
        <v>42</v>
      </c>
      <c r="E189" t="s">
        <v>64</v>
      </c>
      <c r="F189" t="s">
        <v>57</v>
      </c>
      <c r="G189">
        <v>337.5</v>
      </c>
      <c r="H189" t="s">
        <v>58</v>
      </c>
      <c r="I189">
        <v>337.5</v>
      </c>
      <c r="J189" t="s">
        <v>65</v>
      </c>
      <c r="L189">
        <f t="shared" si="4"/>
        <v>337.5</v>
      </c>
    </row>
    <row r="190" spans="2:12" x14ac:dyDescent="0.25">
      <c r="B190" s="2" t="s">
        <v>92</v>
      </c>
      <c r="C190" t="s">
        <v>19</v>
      </c>
      <c r="D190" t="s">
        <v>42</v>
      </c>
      <c r="E190" t="s">
        <v>64</v>
      </c>
      <c r="F190" t="s">
        <v>57</v>
      </c>
      <c r="G190">
        <v>337.5</v>
      </c>
      <c r="H190" t="s">
        <v>58</v>
      </c>
      <c r="I190">
        <v>337.5</v>
      </c>
      <c r="J190" t="s">
        <v>65</v>
      </c>
      <c r="L190">
        <f t="shared" si="4"/>
        <v>337.5</v>
      </c>
    </row>
    <row r="191" spans="2:12" x14ac:dyDescent="0.25">
      <c r="B191" s="2" t="s">
        <v>92</v>
      </c>
      <c r="C191" t="s">
        <v>20</v>
      </c>
      <c r="D191" t="s">
        <v>43</v>
      </c>
      <c r="E191" t="s">
        <v>66</v>
      </c>
      <c r="F191" t="s">
        <v>57</v>
      </c>
      <c r="G191">
        <v>4.5</v>
      </c>
      <c r="H191" t="s">
        <v>58</v>
      </c>
      <c r="I191">
        <v>4500</v>
      </c>
      <c r="J191" t="s">
        <v>62</v>
      </c>
      <c r="L191">
        <f t="shared" si="4"/>
        <v>4.5</v>
      </c>
    </row>
    <row r="192" spans="2:12" x14ac:dyDescent="0.25">
      <c r="B192" s="2" t="s">
        <v>92</v>
      </c>
      <c r="C192" t="s">
        <v>21</v>
      </c>
      <c r="D192" t="s">
        <v>44</v>
      </c>
      <c r="E192" t="s">
        <v>68</v>
      </c>
      <c r="F192" t="s">
        <v>57</v>
      </c>
      <c r="G192">
        <v>2.0249999999999999</v>
      </c>
      <c r="H192" t="s">
        <v>58</v>
      </c>
      <c r="I192">
        <v>202.5</v>
      </c>
      <c r="J192" t="s">
        <v>65</v>
      </c>
      <c r="L192">
        <f t="shared" si="4"/>
        <v>2.0249999999999999</v>
      </c>
    </row>
    <row r="193" spans="2:12" x14ac:dyDescent="0.25">
      <c r="B193" s="2" t="s">
        <v>93</v>
      </c>
      <c r="C193" t="s">
        <v>6</v>
      </c>
      <c r="D193" t="s">
        <v>29</v>
      </c>
      <c r="E193" t="s">
        <v>56</v>
      </c>
      <c r="F193">
        <v>225</v>
      </c>
      <c r="G193" t="s">
        <v>57</v>
      </c>
      <c r="H193" t="s">
        <v>58</v>
      </c>
      <c r="I193">
        <v>6750</v>
      </c>
      <c r="J193" t="s">
        <v>59</v>
      </c>
      <c r="L193">
        <f t="shared" si="4"/>
        <v>225</v>
      </c>
    </row>
    <row r="194" spans="2:12" x14ac:dyDescent="0.25">
      <c r="B194" s="2" t="s">
        <v>93</v>
      </c>
      <c r="C194" t="s">
        <v>7</v>
      </c>
      <c r="D194" t="s">
        <v>30</v>
      </c>
      <c r="E194" t="s">
        <v>60</v>
      </c>
      <c r="F194" t="s">
        <v>57</v>
      </c>
      <c r="G194">
        <v>60.75</v>
      </c>
      <c r="H194" t="s">
        <v>58</v>
      </c>
      <c r="I194">
        <v>6075</v>
      </c>
      <c r="J194" t="s">
        <v>59</v>
      </c>
      <c r="L194">
        <f t="shared" si="4"/>
        <v>60.75</v>
      </c>
    </row>
    <row r="195" spans="2:12" x14ac:dyDescent="0.25">
      <c r="B195" s="2" t="s">
        <v>93</v>
      </c>
      <c r="C195" t="s">
        <v>8</v>
      </c>
      <c r="D195" t="s">
        <v>31</v>
      </c>
      <c r="E195" t="s">
        <v>61</v>
      </c>
      <c r="F195">
        <v>22.5</v>
      </c>
      <c r="G195" t="s">
        <v>57</v>
      </c>
      <c r="H195" t="s">
        <v>58</v>
      </c>
      <c r="I195">
        <v>2250</v>
      </c>
      <c r="J195" t="s">
        <v>62</v>
      </c>
      <c r="L195">
        <f t="shared" si="4"/>
        <v>22.5</v>
      </c>
    </row>
    <row r="196" spans="2:12" x14ac:dyDescent="0.25">
      <c r="B196" s="2" t="s">
        <v>93</v>
      </c>
      <c r="C196" t="s">
        <v>9</v>
      </c>
      <c r="D196" t="s">
        <v>32</v>
      </c>
      <c r="E196" t="s">
        <v>61</v>
      </c>
      <c r="F196">
        <v>1.7010000000000003</v>
      </c>
      <c r="G196" t="s">
        <v>57</v>
      </c>
      <c r="H196" t="s">
        <v>58</v>
      </c>
      <c r="I196">
        <v>170.10000000000002</v>
      </c>
      <c r="J196" t="s">
        <v>62</v>
      </c>
      <c r="L196">
        <f t="shared" si="4"/>
        <v>1.7010000000000003</v>
      </c>
    </row>
    <row r="197" spans="2:12" x14ac:dyDescent="0.25">
      <c r="B197" s="2" t="s">
        <v>93</v>
      </c>
      <c r="C197" t="s">
        <v>10</v>
      </c>
      <c r="D197" t="s">
        <v>33</v>
      </c>
      <c r="E197" t="s">
        <v>60</v>
      </c>
      <c r="F197" t="s">
        <v>57</v>
      </c>
      <c r="G197">
        <v>168.75</v>
      </c>
      <c r="H197" t="s">
        <v>58</v>
      </c>
      <c r="I197">
        <v>16875</v>
      </c>
      <c r="J197" t="s">
        <v>59</v>
      </c>
      <c r="L197">
        <f t="shared" ref="L197:L260" si="5">MAX(F197:G197)</f>
        <v>168.75</v>
      </c>
    </row>
    <row r="198" spans="2:12" x14ac:dyDescent="0.25">
      <c r="B198" s="2" t="s">
        <v>93</v>
      </c>
      <c r="C198" t="s">
        <v>11</v>
      </c>
      <c r="D198" t="s">
        <v>34</v>
      </c>
      <c r="E198" t="s">
        <v>63</v>
      </c>
      <c r="F198" t="s">
        <v>57</v>
      </c>
      <c r="G198">
        <v>81</v>
      </c>
      <c r="H198" t="s">
        <v>58</v>
      </c>
      <c r="I198">
        <v>20250</v>
      </c>
      <c r="J198" t="s">
        <v>59</v>
      </c>
      <c r="L198">
        <f t="shared" si="5"/>
        <v>81</v>
      </c>
    </row>
    <row r="199" spans="2:12" x14ac:dyDescent="0.25">
      <c r="B199" s="2" t="s">
        <v>93</v>
      </c>
      <c r="C199" t="s">
        <v>11</v>
      </c>
      <c r="D199" t="s">
        <v>34</v>
      </c>
      <c r="E199" t="s">
        <v>63</v>
      </c>
      <c r="F199" t="s">
        <v>57</v>
      </c>
      <c r="G199">
        <v>4.5</v>
      </c>
      <c r="H199" t="s">
        <v>58</v>
      </c>
      <c r="I199">
        <v>1125</v>
      </c>
      <c r="J199" t="s">
        <v>59</v>
      </c>
      <c r="L199">
        <f t="shared" si="5"/>
        <v>4.5</v>
      </c>
    </row>
    <row r="200" spans="2:12" x14ac:dyDescent="0.25">
      <c r="B200" s="2" t="s">
        <v>93</v>
      </c>
      <c r="C200" t="s">
        <v>11</v>
      </c>
      <c r="D200" t="s">
        <v>34</v>
      </c>
      <c r="E200" t="s">
        <v>63</v>
      </c>
      <c r="F200" t="s">
        <v>57</v>
      </c>
      <c r="G200">
        <v>2.7</v>
      </c>
      <c r="H200" t="s">
        <v>58</v>
      </c>
      <c r="I200">
        <v>675</v>
      </c>
      <c r="J200" t="s">
        <v>59</v>
      </c>
      <c r="L200">
        <f t="shared" si="5"/>
        <v>2.7</v>
      </c>
    </row>
    <row r="201" spans="2:12" x14ac:dyDescent="0.25">
      <c r="B201" s="2" t="s">
        <v>93</v>
      </c>
      <c r="C201" t="s">
        <v>11</v>
      </c>
      <c r="D201" t="s">
        <v>34</v>
      </c>
      <c r="E201" t="s">
        <v>63</v>
      </c>
      <c r="F201" t="s">
        <v>57</v>
      </c>
      <c r="G201">
        <v>1.7999999999999916</v>
      </c>
      <c r="H201" t="s">
        <v>58</v>
      </c>
      <c r="I201">
        <v>449.9999999999979</v>
      </c>
      <c r="J201" t="s">
        <v>59</v>
      </c>
      <c r="L201">
        <f t="shared" si="5"/>
        <v>1.7999999999999916</v>
      </c>
    </row>
    <row r="202" spans="2:12" x14ac:dyDescent="0.25">
      <c r="B202" s="2" t="s">
        <v>93</v>
      </c>
      <c r="C202" t="s">
        <v>12</v>
      </c>
      <c r="D202" t="s">
        <v>35</v>
      </c>
      <c r="E202" t="s">
        <v>64</v>
      </c>
      <c r="F202" t="s">
        <v>57</v>
      </c>
      <c r="G202">
        <v>18</v>
      </c>
      <c r="H202" t="s">
        <v>58</v>
      </c>
      <c r="I202">
        <v>18</v>
      </c>
      <c r="J202" t="s">
        <v>65</v>
      </c>
      <c r="L202">
        <f t="shared" si="5"/>
        <v>18</v>
      </c>
    </row>
    <row r="203" spans="2:12" x14ac:dyDescent="0.25">
      <c r="B203" s="2" t="s">
        <v>93</v>
      </c>
      <c r="C203" t="s">
        <v>13</v>
      </c>
      <c r="D203" t="s">
        <v>36</v>
      </c>
      <c r="E203" t="s">
        <v>64</v>
      </c>
      <c r="F203" t="s">
        <v>57</v>
      </c>
      <c r="G203">
        <v>45</v>
      </c>
      <c r="H203" t="s">
        <v>58</v>
      </c>
      <c r="I203">
        <v>45</v>
      </c>
      <c r="J203" t="s">
        <v>65</v>
      </c>
      <c r="L203">
        <f t="shared" si="5"/>
        <v>45</v>
      </c>
    </row>
    <row r="204" spans="2:12" x14ac:dyDescent="0.25">
      <c r="B204" s="2" t="s">
        <v>93</v>
      </c>
      <c r="C204" t="s">
        <v>14</v>
      </c>
      <c r="D204" t="s">
        <v>37</v>
      </c>
      <c r="E204" t="s">
        <v>66</v>
      </c>
      <c r="F204" t="s">
        <v>57</v>
      </c>
      <c r="G204">
        <v>0.94499999999999995</v>
      </c>
      <c r="H204" t="s">
        <v>58</v>
      </c>
      <c r="I204">
        <v>945</v>
      </c>
      <c r="J204" t="s">
        <v>62</v>
      </c>
      <c r="L204">
        <f t="shared" si="5"/>
        <v>0.94499999999999995</v>
      </c>
    </row>
    <row r="205" spans="2:12" x14ac:dyDescent="0.25">
      <c r="B205" s="2" t="s">
        <v>93</v>
      </c>
      <c r="C205" t="s">
        <v>15</v>
      </c>
      <c r="D205" t="s">
        <v>38</v>
      </c>
      <c r="E205" t="s">
        <v>66</v>
      </c>
      <c r="F205" t="s">
        <v>57</v>
      </c>
      <c r="G205">
        <v>0.45</v>
      </c>
      <c r="H205" t="s">
        <v>58</v>
      </c>
      <c r="I205">
        <v>450</v>
      </c>
      <c r="J205" t="s">
        <v>62</v>
      </c>
      <c r="L205">
        <f t="shared" si="5"/>
        <v>0.45</v>
      </c>
    </row>
    <row r="206" spans="2:12" x14ac:dyDescent="0.25">
      <c r="B206" s="2" t="s">
        <v>93</v>
      </c>
      <c r="C206" t="s">
        <v>16</v>
      </c>
      <c r="D206" t="s">
        <v>39</v>
      </c>
      <c r="E206" t="s">
        <v>66</v>
      </c>
      <c r="F206" t="s">
        <v>57</v>
      </c>
      <c r="G206">
        <v>1.6874999999999998</v>
      </c>
      <c r="H206" t="s">
        <v>58</v>
      </c>
      <c r="I206">
        <v>1687.4999999999998</v>
      </c>
      <c r="J206" t="s">
        <v>62</v>
      </c>
      <c r="L206">
        <f t="shared" si="5"/>
        <v>1.6874999999999998</v>
      </c>
    </row>
    <row r="207" spans="2:12" x14ac:dyDescent="0.25">
      <c r="B207" s="2" t="s">
        <v>93</v>
      </c>
      <c r="C207" t="s">
        <v>17</v>
      </c>
      <c r="D207" t="s">
        <v>40</v>
      </c>
      <c r="E207" t="s">
        <v>67</v>
      </c>
      <c r="F207" t="s">
        <v>57</v>
      </c>
      <c r="G207">
        <v>20.249999999999996</v>
      </c>
      <c r="H207" t="s">
        <v>58</v>
      </c>
      <c r="I207">
        <v>202.49999999999997</v>
      </c>
      <c r="J207" t="s">
        <v>65</v>
      </c>
      <c r="L207">
        <f t="shared" si="5"/>
        <v>20.249999999999996</v>
      </c>
    </row>
    <row r="208" spans="2:12" x14ac:dyDescent="0.25">
      <c r="B208" s="2" t="s">
        <v>93</v>
      </c>
      <c r="C208" t="s">
        <v>18</v>
      </c>
      <c r="D208" t="s">
        <v>41</v>
      </c>
      <c r="E208" t="s">
        <v>67</v>
      </c>
      <c r="F208" t="s">
        <v>57</v>
      </c>
      <c r="G208">
        <v>11.25</v>
      </c>
      <c r="H208" t="s">
        <v>58</v>
      </c>
      <c r="I208">
        <v>112.5</v>
      </c>
      <c r="J208" t="s">
        <v>65</v>
      </c>
      <c r="L208">
        <f t="shared" si="5"/>
        <v>11.25</v>
      </c>
    </row>
    <row r="209" spans="2:12" x14ac:dyDescent="0.25">
      <c r="B209" s="2" t="s">
        <v>93</v>
      </c>
      <c r="C209" t="s">
        <v>18</v>
      </c>
      <c r="D209" t="s">
        <v>41</v>
      </c>
      <c r="E209" t="s">
        <v>67</v>
      </c>
      <c r="F209" t="s">
        <v>57</v>
      </c>
      <c r="G209">
        <v>4.5</v>
      </c>
      <c r="H209" t="s">
        <v>58</v>
      </c>
      <c r="I209">
        <v>45</v>
      </c>
      <c r="J209" t="s">
        <v>65</v>
      </c>
      <c r="L209">
        <f t="shared" si="5"/>
        <v>4.5</v>
      </c>
    </row>
    <row r="210" spans="2:12" x14ac:dyDescent="0.25">
      <c r="B210" s="2" t="s">
        <v>93</v>
      </c>
      <c r="C210" t="s">
        <v>19</v>
      </c>
      <c r="D210" t="s">
        <v>42</v>
      </c>
      <c r="E210" t="s">
        <v>64</v>
      </c>
      <c r="F210" t="s">
        <v>57</v>
      </c>
      <c r="G210">
        <v>337.5</v>
      </c>
      <c r="H210" t="s">
        <v>58</v>
      </c>
      <c r="I210">
        <v>337.5</v>
      </c>
      <c r="J210" t="s">
        <v>65</v>
      </c>
      <c r="L210">
        <f t="shared" si="5"/>
        <v>337.5</v>
      </c>
    </row>
    <row r="211" spans="2:12" x14ac:dyDescent="0.25">
      <c r="B211" s="2" t="s">
        <v>93</v>
      </c>
      <c r="C211" t="s">
        <v>19</v>
      </c>
      <c r="D211" t="s">
        <v>42</v>
      </c>
      <c r="E211" t="s">
        <v>64</v>
      </c>
      <c r="F211" t="s">
        <v>57</v>
      </c>
      <c r="G211">
        <v>337.5</v>
      </c>
      <c r="H211" t="s">
        <v>58</v>
      </c>
      <c r="I211">
        <v>337.5</v>
      </c>
      <c r="J211" t="s">
        <v>65</v>
      </c>
      <c r="L211">
        <f t="shared" si="5"/>
        <v>337.5</v>
      </c>
    </row>
    <row r="212" spans="2:12" x14ac:dyDescent="0.25">
      <c r="B212" s="2" t="s">
        <v>93</v>
      </c>
      <c r="C212" t="s">
        <v>20</v>
      </c>
      <c r="D212" t="s">
        <v>43</v>
      </c>
      <c r="E212" t="s">
        <v>66</v>
      </c>
      <c r="F212" t="s">
        <v>57</v>
      </c>
      <c r="G212">
        <v>4.5</v>
      </c>
      <c r="H212" t="s">
        <v>58</v>
      </c>
      <c r="I212">
        <v>4500</v>
      </c>
      <c r="J212" t="s">
        <v>62</v>
      </c>
      <c r="L212">
        <f t="shared" si="5"/>
        <v>4.5</v>
      </c>
    </row>
    <row r="213" spans="2:12" x14ac:dyDescent="0.25">
      <c r="B213" s="2" t="s">
        <v>93</v>
      </c>
      <c r="C213" t="s">
        <v>21</v>
      </c>
      <c r="D213" t="s">
        <v>44</v>
      </c>
      <c r="E213" t="s">
        <v>68</v>
      </c>
      <c r="F213" t="s">
        <v>57</v>
      </c>
      <c r="G213">
        <v>2.0249999999999999</v>
      </c>
      <c r="H213" t="s">
        <v>58</v>
      </c>
      <c r="I213">
        <v>202.5</v>
      </c>
      <c r="J213" t="s">
        <v>65</v>
      </c>
      <c r="L213">
        <f t="shared" si="5"/>
        <v>2.0249999999999999</v>
      </c>
    </row>
    <row r="214" spans="2:12" x14ac:dyDescent="0.25">
      <c r="B214" s="2" t="s">
        <v>94</v>
      </c>
      <c r="C214" t="s">
        <v>6</v>
      </c>
      <c r="D214" t="s">
        <v>29</v>
      </c>
      <c r="E214" t="s">
        <v>56</v>
      </c>
      <c r="F214">
        <v>225</v>
      </c>
      <c r="G214" t="s">
        <v>57</v>
      </c>
      <c r="H214" t="s">
        <v>58</v>
      </c>
      <c r="I214">
        <v>6750</v>
      </c>
      <c r="J214" t="s">
        <v>59</v>
      </c>
      <c r="L214">
        <f t="shared" si="5"/>
        <v>225</v>
      </c>
    </row>
    <row r="215" spans="2:12" x14ac:dyDescent="0.25">
      <c r="B215" s="2" t="s">
        <v>94</v>
      </c>
      <c r="C215" t="s">
        <v>7</v>
      </c>
      <c r="D215" t="s">
        <v>30</v>
      </c>
      <c r="E215" t="s">
        <v>60</v>
      </c>
      <c r="F215" t="s">
        <v>57</v>
      </c>
      <c r="G215">
        <v>60.75</v>
      </c>
      <c r="H215" t="s">
        <v>58</v>
      </c>
      <c r="I215">
        <v>6075</v>
      </c>
      <c r="J215" t="s">
        <v>59</v>
      </c>
      <c r="L215">
        <f t="shared" si="5"/>
        <v>60.75</v>
      </c>
    </row>
    <row r="216" spans="2:12" x14ac:dyDescent="0.25">
      <c r="B216" s="2" t="s">
        <v>94</v>
      </c>
      <c r="C216" t="s">
        <v>8</v>
      </c>
      <c r="D216" t="s">
        <v>31</v>
      </c>
      <c r="E216" t="s">
        <v>61</v>
      </c>
      <c r="F216">
        <v>22.5</v>
      </c>
      <c r="G216" t="s">
        <v>57</v>
      </c>
      <c r="H216" t="s">
        <v>58</v>
      </c>
      <c r="I216">
        <v>2250</v>
      </c>
      <c r="J216" t="s">
        <v>62</v>
      </c>
      <c r="L216">
        <f t="shared" si="5"/>
        <v>22.5</v>
      </c>
    </row>
    <row r="217" spans="2:12" x14ac:dyDescent="0.25">
      <c r="B217" s="2" t="s">
        <v>94</v>
      </c>
      <c r="C217" t="s">
        <v>9</v>
      </c>
      <c r="D217" t="s">
        <v>32</v>
      </c>
      <c r="E217" t="s">
        <v>61</v>
      </c>
      <c r="F217">
        <v>1.7010000000000003</v>
      </c>
      <c r="G217" t="s">
        <v>57</v>
      </c>
      <c r="H217" t="s">
        <v>58</v>
      </c>
      <c r="I217">
        <v>170.10000000000002</v>
      </c>
      <c r="J217" t="s">
        <v>62</v>
      </c>
      <c r="L217">
        <f t="shared" si="5"/>
        <v>1.7010000000000003</v>
      </c>
    </row>
    <row r="218" spans="2:12" x14ac:dyDescent="0.25">
      <c r="B218" s="2" t="s">
        <v>94</v>
      </c>
      <c r="C218" t="s">
        <v>10</v>
      </c>
      <c r="D218" t="s">
        <v>33</v>
      </c>
      <c r="E218" t="s">
        <v>60</v>
      </c>
      <c r="F218" t="s">
        <v>57</v>
      </c>
      <c r="G218">
        <v>168.75</v>
      </c>
      <c r="H218" t="s">
        <v>58</v>
      </c>
      <c r="I218">
        <v>16875</v>
      </c>
      <c r="J218" t="s">
        <v>59</v>
      </c>
      <c r="L218">
        <f t="shared" si="5"/>
        <v>168.75</v>
      </c>
    </row>
    <row r="219" spans="2:12" x14ac:dyDescent="0.25">
      <c r="B219" s="2" t="s">
        <v>94</v>
      </c>
      <c r="C219" t="s">
        <v>11</v>
      </c>
      <c r="D219" t="s">
        <v>34</v>
      </c>
      <c r="E219" t="s">
        <v>63</v>
      </c>
      <c r="F219" t="s">
        <v>57</v>
      </c>
      <c r="G219">
        <v>81</v>
      </c>
      <c r="H219" t="s">
        <v>58</v>
      </c>
      <c r="I219">
        <v>20250</v>
      </c>
      <c r="J219" t="s">
        <v>59</v>
      </c>
      <c r="L219">
        <f t="shared" si="5"/>
        <v>81</v>
      </c>
    </row>
    <row r="220" spans="2:12" x14ac:dyDescent="0.25">
      <c r="B220" s="2" t="s">
        <v>94</v>
      </c>
      <c r="C220" t="s">
        <v>11</v>
      </c>
      <c r="D220" t="s">
        <v>34</v>
      </c>
      <c r="E220" t="s">
        <v>63</v>
      </c>
      <c r="F220" t="s">
        <v>57</v>
      </c>
      <c r="G220">
        <v>4.5</v>
      </c>
      <c r="H220" t="s">
        <v>58</v>
      </c>
      <c r="I220">
        <v>1125</v>
      </c>
      <c r="J220" t="s">
        <v>59</v>
      </c>
      <c r="L220">
        <f t="shared" si="5"/>
        <v>4.5</v>
      </c>
    </row>
    <row r="221" spans="2:12" x14ac:dyDescent="0.25">
      <c r="B221" s="2" t="s">
        <v>94</v>
      </c>
      <c r="C221" t="s">
        <v>11</v>
      </c>
      <c r="D221" t="s">
        <v>34</v>
      </c>
      <c r="E221" t="s">
        <v>63</v>
      </c>
      <c r="F221" t="s">
        <v>57</v>
      </c>
      <c r="G221">
        <v>2.7</v>
      </c>
      <c r="H221" t="s">
        <v>58</v>
      </c>
      <c r="I221">
        <v>675</v>
      </c>
      <c r="J221" t="s">
        <v>59</v>
      </c>
      <c r="L221">
        <f t="shared" si="5"/>
        <v>2.7</v>
      </c>
    </row>
    <row r="222" spans="2:12" x14ac:dyDescent="0.25">
      <c r="B222" s="2" t="s">
        <v>94</v>
      </c>
      <c r="C222" t="s">
        <v>11</v>
      </c>
      <c r="D222" t="s">
        <v>34</v>
      </c>
      <c r="E222" t="s">
        <v>63</v>
      </c>
      <c r="F222" t="s">
        <v>57</v>
      </c>
      <c r="G222">
        <v>1.7999999999999916</v>
      </c>
      <c r="H222" t="s">
        <v>58</v>
      </c>
      <c r="I222">
        <v>449.9999999999979</v>
      </c>
      <c r="J222" t="s">
        <v>59</v>
      </c>
      <c r="L222">
        <f t="shared" si="5"/>
        <v>1.7999999999999916</v>
      </c>
    </row>
    <row r="223" spans="2:12" x14ac:dyDescent="0.25">
      <c r="B223" s="2" t="s">
        <v>94</v>
      </c>
      <c r="C223" t="s">
        <v>12</v>
      </c>
      <c r="D223" t="s">
        <v>35</v>
      </c>
      <c r="E223" t="s">
        <v>64</v>
      </c>
      <c r="F223" t="s">
        <v>57</v>
      </c>
      <c r="G223">
        <v>18</v>
      </c>
      <c r="H223" t="s">
        <v>58</v>
      </c>
      <c r="I223">
        <v>18</v>
      </c>
      <c r="J223" t="s">
        <v>65</v>
      </c>
      <c r="L223">
        <f t="shared" si="5"/>
        <v>18</v>
      </c>
    </row>
    <row r="224" spans="2:12" x14ac:dyDescent="0.25">
      <c r="B224" s="2" t="s">
        <v>94</v>
      </c>
      <c r="C224" t="s">
        <v>13</v>
      </c>
      <c r="D224" t="s">
        <v>36</v>
      </c>
      <c r="E224" t="s">
        <v>64</v>
      </c>
      <c r="F224" t="s">
        <v>57</v>
      </c>
      <c r="G224">
        <v>45</v>
      </c>
      <c r="H224" t="s">
        <v>58</v>
      </c>
      <c r="I224">
        <v>45</v>
      </c>
      <c r="J224" t="s">
        <v>65</v>
      </c>
      <c r="L224">
        <f t="shared" si="5"/>
        <v>45</v>
      </c>
    </row>
    <row r="225" spans="2:12" x14ac:dyDescent="0.25">
      <c r="B225" s="2" t="s">
        <v>94</v>
      </c>
      <c r="C225" t="s">
        <v>14</v>
      </c>
      <c r="D225" t="s">
        <v>37</v>
      </c>
      <c r="E225" t="s">
        <v>66</v>
      </c>
      <c r="F225" t="s">
        <v>57</v>
      </c>
      <c r="G225">
        <v>0.94499999999999995</v>
      </c>
      <c r="H225" t="s">
        <v>58</v>
      </c>
      <c r="I225">
        <v>945</v>
      </c>
      <c r="J225" t="s">
        <v>62</v>
      </c>
      <c r="L225">
        <f t="shared" si="5"/>
        <v>0.94499999999999995</v>
      </c>
    </row>
    <row r="226" spans="2:12" x14ac:dyDescent="0.25">
      <c r="B226" s="2" t="s">
        <v>94</v>
      </c>
      <c r="C226" t="s">
        <v>15</v>
      </c>
      <c r="D226" t="s">
        <v>38</v>
      </c>
      <c r="E226" t="s">
        <v>66</v>
      </c>
      <c r="F226" t="s">
        <v>57</v>
      </c>
      <c r="G226">
        <v>0.45</v>
      </c>
      <c r="H226" t="s">
        <v>58</v>
      </c>
      <c r="I226">
        <v>450</v>
      </c>
      <c r="J226" t="s">
        <v>62</v>
      </c>
      <c r="L226">
        <f t="shared" si="5"/>
        <v>0.45</v>
      </c>
    </row>
    <row r="227" spans="2:12" x14ac:dyDescent="0.25">
      <c r="B227" s="2" t="s">
        <v>94</v>
      </c>
      <c r="C227" t="s">
        <v>16</v>
      </c>
      <c r="D227" t="s">
        <v>39</v>
      </c>
      <c r="E227" t="s">
        <v>66</v>
      </c>
      <c r="F227" t="s">
        <v>57</v>
      </c>
      <c r="G227">
        <v>1.6874999999999998</v>
      </c>
      <c r="H227" t="s">
        <v>58</v>
      </c>
      <c r="I227">
        <v>1687.4999999999998</v>
      </c>
      <c r="J227" t="s">
        <v>62</v>
      </c>
      <c r="L227">
        <f t="shared" si="5"/>
        <v>1.6874999999999998</v>
      </c>
    </row>
    <row r="228" spans="2:12" x14ac:dyDescent="0.25">
      <c r="B228" s="2" t="s">
        <v>94</v>
      </c>
      <c r="C228" t="s">
        <v>17</v>
      </c>
      <c r="D228" t="s">
        <v>40</v>
      </c>
      <c r="E228" t="s">
        <v>67</v>
      </c>
      <c r="F228" t="s">
        <v>57</v>
      </c>
      <c r="G228">
        <v>20.249999999999996</v>
      </c>
      <c r="H228" t="s">
        <v>58</v>
      </c>
      <c r="I228">
        <v>202.49999999999997</v>
      </c>
      <c r="J228" t="s">
        <v>65</v>
      </c>
      <c r="L228">
        <f t="shared" si="5"/>
        <v>20.249999999999996</v>
      </c>
    </row>
    <row r="229" spans="2:12" x14ac:dyDescent="0.25">
      <c r="B229" s="2" t="s">
        <v>94</v>
      </c>
      <c r="C229" t="s">
        <v>18</v>
      </c>
      <c r="D229" t="s">
        <v>41</v>
      </c>
      <c r="E229" t="s">
        <v>67</v>
      </c>
      <c r="F229" t="s">
        <v>57</v>
      </c>
      <c r="G229">
        <v>11.25</v>
      </c>
      <c r="H229" t="s">
        <v>58</v>
      </c>
      <c r="I229">
        <v>112.5</v>
      </c>
      <c r="J229" t="s">
        <v>65</v>
      </c>
      <c r="L229">
        <f t="shared" si="5"/>
        <v>11.25</v>
      </c>
    </row>
    <row r="230" spans="2:12" x14ac:dyDescent="0.25">
      <c r="B230" s="2" t="s">
        <v>94</v>
      </c>
      <c r="C230" t="s">
        <v>18</v>
      </c>
      <c r="D230" t="s">
        <v>41</v>
      </c>
      <c r="E230" t="s">
        <v>67</v>
      </c>
      <c r="F230" t="s">
        <v>57</v>
      </c>
      <c r="G230">
        <v>4.5</v>
      </c>
      <c r="H230" t="s">
        <v>58</v>
      </c>
      <c r="I230">
        <v>45</v>
      </c>
      <c r="J230" t="s">
        <v>65</v>
      </c>
      <c r="L230">
        <f t="shared" si="5"/>
        <v>4.5</v>
      </c>
    </row>
    <row r="231" spans="2:12" x14ac:dyDescent="0.25">
      <c r="B231" s="2" t="s">
        <v>94</v>
      </c>
      <c r="C231" t="s">
        <v>19</v>
      </c>
      <c r="D231" t="s">
        <v>42</v>
      </c>
      <c r="E231" t="s">
        <v>64</v>
      </c>
      <c r="F231" t="s">
        <v>57</v>
      </c>
      <c r="G231">
        <v>337.5</v>
      </c>
      <c r="H231" t="s">
        <v>58</v>
      </c>
      <c r="I231">
        <v>337.5</v>
      </c>
      <c r="J231" t="s">
        <v>65</v>
      </c>
      <c r="L231">
        <f t="shared" si="5"/>
        <v>337.5</v>
      </c>
    </row>
    <row r="232" spans="2:12" x14ac:dyDescent="0.25">
      <c r="B232" s="2" t="s">
        <v>94</v>
      </c>
      <c r="C232" t="s">
        <v>19</v>
      </c>
      <c r="D232" t="s">
        <v>42</v>
      </c>
      <c r="E232" t="s">
        <v>64</v>
      </c>
      <c r="F232" t="s">
        <v>57</v>
      </c>
      <c r="G232">
        <v>337.5</v>
      </c>
      <c r="H232" t="s">
        <v>58</v>
      </c>
      <c r="I232">
        <v>337.5</v>
      </c>
      <c r="J232" t="s">
        <v>65</v>
      </c>
      <c r="L232">
        <f t="shared" si="5"/>
        <v>337.5</v>
      </c>
    </row>
    <row r="233" spans="2:12" x14ac:dyDescent="0.25">
      <c r="B233" s="2" t="s">
        <v>94</v>
      </c>
      <c r="C233" t="s">
        <v>20</v>
      </c>
      <c r="D233" t="s">
        <v>43</v>
      </c>
      <c r="E233" t="s">
        <v>66</v>
      </c>
      <c r="F233" t="s">
        <v>57</v>
      </c>
      <c r="G233">
        <v>4.5</v>
      </c>
      <c r="H233" t="s">
        <v>58</v>
      </c>
      <c r="I233">
        <v>4500</v>
      </c>
      <c r="J233" t="s">
        <v>62</v>
      </c>
      <c r="L233">
        <f t="shared" si="5"/>
        <v>4.5</v>
      </c>
    </row>
    <row r="234" spans="2:12" x14ac:dyDescent="0.25">
      <c r="B234" s="2" t="s">
        <v>94</v>
      </c>
      <c r="C234" t="s">
        <v>21</v>
      </c>
      <c r="D234" t="s">
        <v>44</v>
      </c>
      <c r="E234" t="s">
        <v>68</v>
      </c>
      <c r="F234" t="s">
        <v>57</v>
      </c>
      <c r="G234">
        <v>2.0249999999999999</v>
      </c>
      <c r="H234" t="s">
        <v>58</v>
      </c>
      <c r="I234">
        <v>202.5</v>
      </c>
      <c r="J234" t="s">
        <v>65</v>
      </c>
      <c r="L234">
        <f t="shared" si="5"/>
        <v>2.0249999999999999</v>
      </c>
    </row>
    <row r="235" spans="2:12" x14ac:dyDescent="0.25">
      <c r="B235" s="2" t="s">
        <v>95</v>
      </c>
      <c r="C235" t="s">
        <v>6</v>
      </c>
      <c r="D235" t="s">
        <v>29</v>
      </c>
      <c r="E235" t="s">
        <v>56</v>
      </c>
      <c r="F235">
        <v>225</v>
      </c>
      <c r="G235" t="s">
        <v>57</v>
      </c>
      <c r="H235" t="s">
        <v>58</v>
      </c>
      <c r="I235">
        <v>6750</v>
      </c>
      <c r="J235" t="s">
        <v>59</v>
      </c>
      <c r="L235">
        <f t="shared" si="5"/>
        <v>225</v>
      </c>
    </row>
    <row r="236" spans="2:12" x14ac:dyDescent="0.25">
      <c r="B236" s="2" t="s">
        <v>95</v>
      </c>
      <c r="C236" t="s">
        <v>7</v>
      </c>
      <c r="D236" t="s">
        <v>30</v>
      </c>
      <c r="E236" t="s">
        <v>60</v>
      </c>
      <c r="F236" t="s">
        <v>57</v>
      </c>
      <c r="G236">
        <v>60.75</v>
      </c>
      <c r="H236" t="s">
        <v>58</v>
      </c>
      <c r="I236">
        <v>6075</v>
      </c>
      <c r="J236" t="s">
        <v>59</v>
      </c>
      <c r="L236">
        <f t="shared" si="5"/>
        <v>60.75</v>
      </c>
    </row>
    <row r="237" spans="2:12" x14ac:dyDescent="0.25">
      <c r="B237" s="2" t="s">
        <v>95</v>
      </c>
      <c r="C237" t="s">
        <v>8</v>
      </c>
      <c r="D237" t="s">
        <v>31</v>
      </c>
      <c r="E237" t="s">
        <v>61</v>
      </c>
      <c r="F237">
        <v>22.5</v>
      </c>
      <c r="G237" t="s">
        <v>57</v>
      </c>
      <c r="H237" t="s">
        <v>58</v>
      </c>
      <c r="I237">
        <v>2250</v>
      </c>
      <c r="J237" t="s">
        <v>62</v>
      </c>
      <c r="L237">
        <f t="shared" si="5"/>
        <v>22.5</v>
      </c>
    </row>
    <row r="238" spans="2:12" x14ac:dyDescent="0.25">
      <c r="B238" s="2" t="s">
        <v>95</v>
      </c>
      <c r="C238" t="s">
        <v>9</v>
      </c>
      <c r="D238" t="s">
        <v>32</v>
      </c>
      <c r="E238" t="s">
        <v>61</v>
      </c>
      <c r="F238">
        <v>1.7010000000000003</v>
      </c>
      <c r="G238" t="s">
        <v>57</v>
      </c>
      <c r="H238" t="s">
        <v>58</v>
      </c>
      <c r="I238">
        <v>170.10000000000002</v>
      </c>
      <c r="J238" t="s">
        <v>62</v>
      </c>
      <c r="L238">
        <f t="shared" si="5"/>
        <v>1.7010000000000003</v>
      </c>
    </row>
    <row r="239" spans="2:12" x14ac:dyDescent="0.25">
      <c r="B239" s="2" t="s">
        <v>95</v>
      </c>
      <c r="C239" t="s">
        <v>10</v>
      </c>
      <c r="D239" t="s">
        <v>33</v>
      </c>
      <c r="E239" t="s">
        <v>60</v>
      </c>
      <c r="F239" t="s">
        <v>57</v>
      </c>
      <c r="G239">
        <v>168.75</v>
      </c>
      <c r="H239" t="s">
        <v>58</v>
      </c>
      <c r="I239">
        <v>16875</v>
      </c>
      <c r="J239" t="s">
        <v>59</v>
      </c>
      <c r="L239">
        <f t="shared" si="5"/>
        <v>168.75</v>
      </c>
    </row>
    <row r="240" spans="2:12" x14ac:dyDescent="0.25">
      <c r="B240" s="2" t="s">
        <v>95</v>
      </c>
      <c r="C240" t="s">
        <v>11</v>
      </c>
      <c r="D240" t="s">
        <v>34</v>
      </c>
      <c r="E240" t="s">
        <v>63</v>
      </c>
      <c r="F240" t="s">
        <v>57</v>
      </c>
      <c r="G240">
        <v>81</v>
      </c>
      <c r="H240" t="s">
        <v>58</v>
      </c>
      <c r="I240">
        <v>20250</v>
      </c>
      <c r="J240" t="s">
        <v>59</v>
      </c>
      <c r="L240">
        <f t="shared" si="5"/>
        <v>81</v>
      </c>
    </row>
    <row r="241" spans="2:12" x14ac:dyDescent="0.25">
      <c r="B241" s="2" t="s">
        <v>95</v>
      </c>
      <c r="C241" t="s">
        <v>11</v>
      </c>
      <c r="D241" t="s">
        <v>34</v>
      </c>
      <c r="E241" t="s">
        <v>63</v>
      </c>
      <c r="F241" t="s">
        <v>57</v>
      </c>
      <c r="G241">
        <v>4.5</v>
      </c>
      <c r="H241" t="s">
        <v>58</v>
      </c>
      <c r="I241">
        <v>1125</v>
      </c>
      <c r="J241" t="s">
        <v>59</v>
      </c>
      <c r="L241">
        <f t="shared" si="5"/>
        <v>4.5</v>
      </c>
    </row>
    <row r="242" spans="2:12" x14ac:dyDescent="0.25">
      <c r="B242" s="2" t="s">
        <v>95</v>
      </c>
      <c r="C242" t="s">
        <v>11</v>
      </c>
      <c r="D242" t="s">
        <v>34</v>
      </c>
      <c r="E242" t="s">
        <v>63</v>
      </c>
      <c r="F242" t="s">
        <v>57</v>
      </c>
      <c r="G242">
        <v>2.7</v>
      </c>
      <c r="H242" t="s">
        <v>58</v>
      </c>
      <c r="I242">
        <v>675</v>
      </c>
      <c r="J242" t="s">
        <v>59</v>
      </c>
      <c r="L242">
        <f t="shared" si="5"/>
        <v>2.7</v>
      </c>
    </row>
    <row r="243" spans="2:12" x14ac:dyDescent="0.25">
      <c r="B243" s="2" t="s">
        <v>95</v>
      </c>
      <c r="C243" t="s">
        <v>11</v>
      </c>
      <c r="D243" t="s">
        <v>34</v>
      </c>
      <c r="E243" t="s">
        <v>63</v>
      </c>
      <c r="F243" t="s">
        <v>57</v>
      </c>
      <c r="G243">
        <v>1.7999999999999916</v>
      </c>
      <c r="H243" t="s">
        <v>58</v>
      </c>
      <c r="I243">
        <v>449.9999999999979</v>
      </c>
      <c r="J243" t="s">
        <v>59</v>
      </c>
      <c r="L243">
        <f t="shared" si="5"/>
        <v>1.7999999999999916</v>
      </c>
    </row>
    <row r="244" spans="2:12" x14ac:dyDescent="0.25">
      <c r="B244" s="2" t="s">
        <v>95</v>
      </c>
      <c r="C244" t="s">
        <v>12</v>
      </c>
      <c r="D244" t="s">
        <v>35</v>
      </c>
      <c r="E244" t="s">
        <v>64</v>
      </c>
      <c r="F244" t="s">
        <v>57</v>
      </c>
      <c r="G244">
        <v>18</v>
      </c>
      <c r="H244" t="s">
        <v>58</v>
      </c>
      <c r="I244">
        <v>18</v>
      </c>
      <c r="J244" t="s">
        <v>65</v>
      </c>
      <c r="L244">
        <f t="shared" si="5"/>
        <v>18</v>
      </c>
    </row>
    <row r="245" spans="2:12" x14ac:dyDescent="0.25">
      <c r="B245" s="2" t="s">
        <v>95</v>
      </c>
      <c r="C245" t="s">
        <v>13</v>
      </c>
      <c r="D245" t="s">
        <v>36</v>
      </c>
      <c r="E245" t="s">
        <v>64</v>
      </c>
      <c r="F245" t="s">
        <v>57</v>
      </c>
      <c r="G245">
        <v>45</v>
      </c>
      <c r="H245" t="s">
        <v>58</v>
      </c>
      <c r="I245">
        <v>45</v>
      </c>
      <c r="J245" t="s">
        <v>65</v>
      </c>
      <c r="L245">
        <f t="shared" si="5"/>
        <v>45</v>
      </c>
    </row>
    <row r="246" spans="2:12" x14ac:dyDescent="0.25">
      <c r="B246" s="2" t="s">
        <v>95</v>
      </c>
      <c r="C246" t="s">
        <v>14</v>
      </c>
      <c r="D246" t="s">
        <v>37</v>
      </c>
      <c r="E246" t="s">
        <v>66</v>
      </c>
      <c r="F246" t="s">
        <v>57</v>
      </c>
      <c r="G246">
        <v>0.94499999999999995</v>
      </c>
      <c r="H246" t="s">
        <v>58</v>
      </c>
      <c r="I246">
        <v>945</v>
      </c>
      <c r="J246" t="s">
        <v>62</v>
      </c>
      <c r="L246">
        <f t="shared" si="5"/>
        <v>0.94499999999999995</v>
      </c>
    </row>
    <row r="247" spans="2:12" x14ac:dyDescent="0.25">
      <c r="B247" s="2" t="s">
        <v>95</v>
      </c>
      <c r="C247" t="s">
        <v>15</v>
      </c>
      <c r="D247" t="s">
        <v>38</v>
      </c>
      <c r="E247" t="s">
        <v>66</v>
      </c>
      <c r="F247" t="s">
        <v>57</v>
      </c>
      <c r="G247">
        <v>0.45</v>
      </c>
      <c r="H247" t="s">
        <v>58</v>
      </c>
      <c r="I247">
        <v>450</v>
      </c>
      <c r="J247" t="s">
        <v>62</v>
      </c>
      <c r="L247">
        <f t="shared" si="5"/>
        <v>0.45</v>
      </c>
    </row>
    <row r="248" spans="2:12" x14ac:dyDescent="0.25">
      <c r="B248" s="2" t="s">
        <v>95</v>
      </c>
      <c r="C248" t="s">
        <v>16</v>
      </c>
      <c r="D248" t="s">
        <v>39</v>
      </c>
      <c r="E248" t="s">
        <v>66</v>
      </c>
      <c r="F248" t="s">
        <v>57</v>
      </c>
      <c r="G248">
        <v>1.6874999999999998</v>
      </c>
      <c r="H248" t="s">
        <v>58</v>
      </c>
      <c r="I248">
        <v>1687.4999999999998</v>
      </c>
      <c r="J248" t="s">
        <v>62</v>
      </c>
      <c r="L248">
        <f t="shared" si="5"/>
        <v>1.6874999999999998</v>
      </c>
    </row>
    <row r="249" spans="2:12" x14ac:dyDescent="0.25">
      <c r="B249" s="2" t="s">
        <v>95</v>
      </c>
      <c r="C249" t="s">
        <v>17</v>
      </c>
      <c r="D249" t="s">
        <v>40</v>
      </c>
      <c r="E249" t="s">
        <v>67</v>
      </c>
      <c r="F249" t="s">
        <v>57</v>
      </c>
      <c r="G249">
        <v>20.249999999999996</v>
      </c>
      <c r="H249" t="s">
        <v>58</v>
      </c>
      <c r="I249">
        <v>202.49999999999997</v>
      </c>
      <c r="J249" t="s">
        <v>65</v>
      </c>
      <c r="L249">
        <f t="shared" si="5"/>
        <v>20.249999999999996</v>
      </c>
    </row>
    <row r="250" spans="2:12" x14ac:dyDescent="0.25">
      <c r="B250" s="2" t="s">
        <v>95</v>
      </c>
      <c r="C250" t="s">
        <v>18</v>
      </c>
      <c r="D250" t="s">
        <v>41</v>
      </c>
      <c r="E250" t="s">
        <v>67</v>
      </c>
      <c r="F250" t="s">
        <v>57</v>
      </c>
      <c r="G250">
        <v>11.25</v>
      </c>
      <c r="H250" t="s">
        <v>58</v>
      </c>
      <c r="I250">
        <v>112.5</v>
      </c>
      <c r="J250" t="s">
        <v>65</v>
      </c>
      <c r="L250">
        <f t="shared" si="5"/>
        <v>11.25</v>
      </c>
    </row>
    <row r="251" spans="2:12" x14ac:dyDescent="0.25">
      <c r="B251" s="2" t="s">
        <v>95</v>
      </c>
      <c r="C251" t="s">
        <v>18</v>
      </c>
      <c r="D251" t="s">
        <v>41</v>
      </c>
      <c r="E251" t="s">
        <v>67</v>
      </c>
      <c r="F251" t="s">
        <v>57</v>
      </c>
      <c r="G251">
        <v>4.5</v>
      </c>
      <c r="H251" t="s">
        <v>58</v>
      </c>
      <c r="I251">
        <v>45</v>
      </c>
      <c r="J251" t="s">
        <v>65</v>
      </c>
      <c r="L251">
        <f t="shared" si="5"/>
        <v>4.5</v>
      </c>
    </row>
    <row r="252" spans="2:12" x14ac:dyDescent="0.25">
      <c r="B252" s="2" t="s">
        <v>95</v>
      </c>
      <c r="C252" t="s">
        <v>19</v>
      </c>
      <c r="D252" t="s">
        <v>42</v>
      </c>
      <c r="E252" t="s">
        <v>64</v>
      </c>
      <c r="F252" t="s">
        <v>57</v>
      </c>
      <c r="G252">
        <v>337.5</v>
      </c>
      <c r="H252" t="s">
        <v>58</v>
      </c>
      <c r="I252">
        <v>337.5</v>
      </c>
      <c r="J252" t="s">
        <v>65</v>
      </c>
      <c r="L252">
        <f t="shared" si="5"/>
        <v>337.5</v>
      </c>
    </row>
    <row r="253" spans="2:12" x14ac:dyDescent="0.25">
      <c r="B253" s="2" t="s">
        <v>95</v>
      </c>
      <c r="C253" t="s">
        <v>19</v>
      </c>
      <c r="D253" t="s">
        <v>42</v>
      </c>
      <c r="E253" t="s">
        <v>64</v>
      </c>
      <c r="F253" t="s">
        <v>57</v>
      </c>
      <c r="G253">
        <v>337.5</v>
      </c>
      <c r="H253" t="s">
        <v>58</v>
      </c>
      <c r="I253">
        <v>337.5</v>
      </c>
      <c r="J253" t="s">
        <v>65</v>
      </c>
      <c r="L253">
        <f t="shared" si="5"/>
        <v>337.5</v>
      </c>
    </row>
    <row r="254" spans="2:12" x14ac:dyDescent="0.25">
      <c r="B254" s="2" t="s">
        <v>95</v>
      </c>
      <c r="C254" t="s">
        <v>20</v>
      </c>
      <c r="D254" t="s">
        <v>43</v>
      </c>
      <c r="E254" t="s">
        <v>66</v>
      </c>
      <c r="F254" t="s">
        <v>57</v>
      </c>
      <c r="G254">
        <v>4.5</v>
      </c>
      <c r="H254" t="s">
        <v>58</v>
      </c>
      <c r="I254">
        <v>4500</v>
      </c>
      <c r="J254" t="s">
        <v>62</v>
      </c>
      <c r="L254">
        <f t="shared" si="5"/>
        <v>4.5</v>
      </c>
    </row>
    <row r="255" spans="2:12" x14ac:dyDescent="0.25">
      <c r="B255" s="2" t="s">
        <v>95</v>
      </c>
      <c r="C255" t="s">
        <v>21</v>
      </c>
      <c r="D255" t="s">
        <v>44</v>
      </c>
      <c r="E255" t="s">
        <v>68</v>
      </c>
      <c r="F255" t="s">
        <v>57</v>
      </c>
      <c r="G255">
        <v>2.0249999999999999</v>
      </c>
      <c r="H255" t="s">
        <v>58</v>
      </c>
      <c r="I255">
        <v>202.5</v>
      </c>
      <c r="J255" t="s">
        <v>65</v>
      </c>
      <c r="L255">
        <f t="shared" si="5"/>
        <v>2.0249999999999999</v>
      </c>
    </row>
    <row r="256" spans="2:12" x14ac:dyDescent="0.25">
      <c r="B256" s="2" t="s">
        <v>96</v>
      </c>
      <c r="C256" t="s">
        <v>6</v>
      </c>
      <c r="D256" t="s">
        <v>29</v>
      </c>
      <c r="E256" t="s">
        <v>56</v>
      </c>
      <c r="F256">
        <v>225</v>
      </c>
      <c r="G256" t="s">
        <v>57</v>
      </c>
      <c r="H256" t="s">
        <v>58</v>
      </c>
      <c r="I256">
        <v>6750</v>
      </c>
      <c r="J256" t="s">
        <v>59</v>
      </c>
      <c r="L256">
        <f t="shared" si="5"/>
        <v>225</v>
      </c>
    </row>
    <row r="257" spans="2:12" x14ac:dyDescent="0.25">
      <c r="B257" s="2" t="s">
        <v>96</v>
      </c>
      <c r="C257" t="s">
        <v>7</v>
      </c>
      <c r="D257" t="s">
        <v>30</v>
      </c>
      <c r="E257" t="s">
        <v>60</v>
      </c>
      <c r="F257" t="s">
        <v>57</v>
      </c>
      <c r="G257">
        <v>60.75</v>
      </c>
      <c r="H257" t="s">
        <v>58</v>
      </c>
      <c r="I257">
        <v>6075</v>
      </c>
      <c r="J257" t="s">
        <v>59</v>
      </c>
      <c r="L257">
        <f t="shared" si="5"/>
        <v>60.75</v>
      </c>
    </row>
    <row r="258" spans="2:12" x14ac:dyDescent="0.25">
      <c r="B258" s="2" t="s">
        <v>96</v>
      </c>
      <c r="C258" t="s">
        <v>8</v>
      </c>
      <c r="D258" t="s">
        <v>31</v>
      </c>
      <c r="E258" t="s">
        <v>61</v>
      </c>
      <c r="F258">
        <v>22.5</v>
      </c>
      <c r="G258" t="s">
        <v>57</v>
      </c>
      <c r="H258" t="s">
        <v>58</v>
      </c>
      <c r="I258">
        <v>2250</v>
      </c>
      <c r="J258" t="s">
        <v>62</v>
      </c>
      <c r="L258">
        <f t="shared" si="5"/>
        <v>22.5</v>
      </c>
    </row>
    <row r="259" spans="2:12" x14ac:dyDescent="0.25">
      <c r="B259" s="2" t="s">
        <v>96</v>
      </c>
      <c r="C259" t="s">
        <v>9</v>
      </c>
      <c r="D259" t="s">
        <v>32</v>
      </c>
      <c r="E259" t="s">
        <v>61</v>
      </c>
      <c r="F259">
        <v>1.7010000000000003</v>
      </c>
      <c r="G259" t="s">
        <v>57</v>
      </c>
      <c r="H259" t="s">
        <v>58</v>
      </c>
      <c r="I259">
        <v>170.10000000000002</v>
      </c>
      <c r="J259" t="s">
        <v>62</v>
      </c>
      <c r="L259">
        <f t="shared" si="5"/>
        <v>1.7010000000000003</v>
      </c>
    </row>
    <row r="260" spans="2:12" x14ac:dyDescent="0.25">
      <c r="B260" s="2" t="s">
        <v>96</v>
      </c>
      <c r="C260" t="s">
        <v>10</v>
      </c>
      <c r="D260" t="s">
        <v>33</v>
      </c>
      <c r="E260" t="s">
        <v>60</v>
      </c>
      <c r="F260" t="s">
        <v>57</v>
      </c>
      <c r="G260">
        <v>168.75</v>
      </c>
      <c r="H260" t="s">
        <v>58</v>
      </c>
      <c r="I260">
        <v>16875</v>
      </c>
      <c r="J260" t="s">
        <v>59</v>
      </c>
      <c r="L260">
        <f t="shared" si="5"/>
        <v>168.75</v>
      </c>
    </row>
    <row r="261" spans="2:12" x14ac:dyDescent="0.25">
      <c r="B261" s="2" t="s">
        <v>96</v>
      </c>
      <c r="C261" t="s">
        <v>11</v>
      </c>
      <c r="D261" t="s">
        <v>34</v>
      </c>
      <c r="E261" t="s">
        <v>63</v>
      </c>
      <c r="F261" t="s">
        <v>57</v>
      </c>
      <c r="G261">
        <v>81</v>
      </c>
      <c r="H261" t="s">
        <v>58</v>
      </c>
      <c r="I261">
        <v>20250</v>
      </c>
      <c r="J261" t="s">
        <v>59</v>
      </c>
      <c r="L261">
        <f t="shared" ref="L261:L324" si="6">MAX(F261:G261)</f>
        <v>81</v>
      </c>
    </row>
    <row r="262" spans="2:12" x14ac:dyDescent="0.25">
      <c r="B262" s="2" t="s">
        <v>96</v>
      </c>
      <c r="C262" t="s">
        <v>11</v>
      </c>
      <c r="D262" t="s">
        <v>34</v>
      </c>
      <c r="E262" t="s">
        <v>63</v>
      </c>
      <c r="F262" t="s">
        <v>57</v>
      </c>
      <c r="G262">
        <v>4.5</v>
      </c>
      <c r="H262" t="s">
        <v>58</v>
      </c>
      <c r="I262">
        <v>1125</v>
      </c>
      <c r="J262" t="s">
        <v>59</v>
      </c>
      <c r="L262">
        <f t="shared" si="6"/>
        <v>4.5</v>
      </c>
    </row>
    <row r="263" spans="2:12" x14ac:dyDescent="0.25">
      <c r="B263" s="2" t="s">
        <v>96</v>
      </c>
      <c r="C263" t="s">
        <v>11</v>
      </c>
      <c r="D263" t="s">
        <v>34</v>
      </c>
      <c r="E263" t="s">
        <v>63</v>
      </c>
      <c r="F263" t="s">
        <v>57</v>
      </c>
      <c r="G263">
        <v>2.7</v>
      </c>
      <c r="H263" t="s">
        <v>58</v>
      </c>
      <c r="I263">
        <v>675</v>
      </c>
      <c r="J263" t="s">
        <v>59</v>
      </c>
      <c r="L263">
        <f t="shared" si="6"/>
        <v>2.7</v>
      </c>
    </row>
    <row r="264" spans="2:12" x14ac:dyDescent="0.25">
      <c r="B264" s="2" t="s">
        <v>96</v>
      </c>
      <c r="C264" t="s">
        <v>11</v>
      </c>
      <c r="D264" t="s">
        <v>34</v>
      </c>
      <c r="E264" t="s">
        <v>63</v>
      </c>
      <c r="F264" t="s">
        <v>57</v>
      </c>
      <c r="G264">
        <v>1.7999999999999916</v>
      </c>
      <c r="H264" t="s">
        <v>58</v>
      </c>
      <c r="I264">
        <v>449.9999999999979</v>
      </c>
      <c r="J264" t="s">
        <v>59</v>
      </c>
      <c r="L264">
        <f t="shared" si="6"/>
        <v>1.7999999999999916</v>
      </c>
    </row>
    <row r="265" spans="2:12" x14ac:dyDescent="0.25">
      <c r="B265" s="2" t="s">
        <v>96</v>
      </c>
      <c r="C265" t="s">
        <v>12</v>
      </c>
      <c r="D265" t="s">
        <v>35</v>
      </c>
      <c r="E265" t="s">
        <v>64</v>
      </c>
      <c r="F265" t="s">
        <v>57</v>
      </c>
      <c r="G265">
        <v>18</v>
      </c>
      <c r="H265" t="s">
        <v>58</v>
      </c>
      <c r="I265">
        <v>18</v>
      </c>
      <c r="J265" t="s">
        <v>65</v>
      </c>
      <c r="L265">
        <f t="shared" si="6"/>
        <v>18</v>
      </c>
    </row>
    <row r="266" spans="2:12" x14ac:dyDescent="0.25">
      <c r="B266" s="2" t="s">
        <v>96</v>
      </c>
      <c r="C266" t="s">
        <v>13</v>
      </c>
      <c r="D266" t="s">
        <v>36</v>
      </c>
      <c r="E266" t="s">
        <v>64</v>
      </c>
      <c r="F266" t="s">
        <v>57</v>
      </c>
      <c r="G266">
        <v>45</v>
      </c>
      <c r="H266" t="s">
        <v>58</v>
      </c>
      <c r="I266">
        <v>45</v>
      </c>
      <c r="J266" t="s">
        <v>65</v>
      </c>
      <c r="L266">
        <f t="shared" si="6"/>
        <v>45</v>
      </c>
    </row>
    <row r="267" spans="2:12" x14ac:dyDescent="0.25">
      <c r="B267" s="2" t="s">
        <v>96</v>
      </c>
      <c r="C267" t="s">
        <v>14</v>
      </c>
      <c r="D267" t="s">
        <v>37</v>
      </c>
      <c r="E267" t="s">
        <v>66</v>
      </c>
      <c r="F267" t="s">
        <v>57</v>
      </c>
      <c r="G267">
        <v>0.94499999999999995</v>
      </c>
      <c r="H267" t="s">
        <v>58</v>
      </c>
      <c r="I267">
        <v>945</v>
      </c>
      <c r="J267" t="s">
        <v>62</v>
      </c>
      <c r="L267">
        <f t="shared" si="6"/>
        <v>0.94499999999999995</v>
      </c>
    </row>
    <row r="268" spans="2:12" x14ac:dyDescent="0.25">
      <c r="B268" s="2" t="s">
        <v>96</v>
      </c>
      <c r="C268" t="s">
        <v>15</v>
      </c>
      <c r="D268" t="s">
        <v>38</v>
      </c>
      <c r="E268" t="s">
        <v>66</v>
      </c>
      <c r="F268" t="s">
        <v>57</v>
      </c>
      <c r="G268">
        <v>0.45</v>
      </c>
      <c r="H268" t="s">
        <v>58</v>
      </c>
      <c r="I268">
        <v>450</v>
      </c>
      <c r="J268" t="s">
        <v>62</v>
      </c>
      <c r="L268">
        <f t="shared" si="6"/>
        <v>0.45</v>
      </c>
    </row>
    <row r="269" spans="2:12" x14ac:dyDescent="0.25">
      <c r="B269" s="2" t="s">
        <v>96</v>
      </c>
      <c r="C269" t="s">
        <v>16</v>
      </c>
      <c r="D269" t="s">
        <v>39</v>
      </c>
      <c r="E269" t="s">
        <v>66</v>
      </c>
      <c r="F269" t="s">
        <v>57</v>
      </c>
      <c r="G269">
        <v>1.6874999999999998</v>
      </c>
      <c r="H269" t="s">
        <v>58</v>
      </c>
      <c r="I269">
        <v>1687.4999999999998</v>
      </c>
      <c r="J269" t="s">
        <v>62</v>
      </c>
      <c r="L269">
        <f t="shared" si="6"/>
        <v>1.6874999999999998</v>
      </c>
    </row>
    <row r="270" spans="2:12" x14ac:dyDescent="0.25">
      <c r="B270" s="2" t="s">
        <v>96</v>
      </c>
      <c r="C270" t="s">
        <v>17</v>
      </c>
      <c r="D270" t="s">
        <v>40</v>
      </c>
      <c r="E270" t="s">
        <v>67</v>
      </c>
      <c r="F270" t="s">
        <v>57</v>
      </c>
      <c r="G270">
        <v>20.249999999999996</v>
      </c>
      <c r="H270" t="s">
        <v>58</v>
      </c>
      <c r="I270">
        <v>202.49999999999997</v>
      </c>
      <c r="J270" t="s">
        <v>65</v>
      </c>
      <c r="L270">
        <f t="shared" si="6"/>
        <v>20.249999999999996</v>
      </c>
    </row>
    <row r="271" spans="2:12" x14ac:dyDescent="0.25">
      <c r="B271" s="2" t="s">
        <v>96</v>
      </c>
      <c r="C271" t="s">
        <v>18</v>
      </c>
      <c r="D271" t="s">
        <v>41</v>
      </c>
      <c r="E271" t="s">
        <v>67</v>
      </c>
      <c r="F271" t="s">
        <v>57</v>
      </c>
      <c r="G271">
        <v>11.25</v>
      </c>
      <c r="H271" t="s">
        <v>58</v>
      </c>
      <c r="I271">
        <v>112.5</v>
      </c>
      <c r="J271" t="s">
        <v>65</v>
      </c>
      <c r="L271">
        <f t="shared" si="6"/>
        <v>11.25</v>
      </c>
    </row>
    <row r="272" spans="2:12" x14ac:dyDescent="0.25">
      <c r="B272" s="2" t="s">
        <v>96</v>
      </c>
      <c r="C272" t="s">
        <v>18</v>
      </c>
      <c r="D272" t="s">
        <v>41</v>
      </c>
      <c r="E272" t="s">
        <v>67</v>
      </c>
      <c r="F272" t="s">
        <v>57</v>
      </c>
      <c r="G272">
        <v>4.5</v>
      </c>
      <c r="H272" t="s">
        <v>58</v>
      </c>
      <c r="I272">
        <v>45</v>
      </c>
      <c r="J272" t="s">
        <v>65</v>
      </c>
      <c r="L272">
        <f t="shared" si="6"/>
        <v>4.5</v>
      </c>
    </row>
    <row r="273" spans="2:12" x14ac:dyDescent="0.25">
      <c r="B273" s="2" t="s">
        <v>96</v>
      </c>
      <c r="C273" t="s">
        <v>19</v>
      </c>
      <c r="D273" t="s">
        <v>42</v>
      </c>
      <c r="E273" t="s">
        <v>64</v>
      </c>
      <c r="F273" t="s">
        <v>57</v>
      </c>
      <c r="G273">
        <v>337.5</v>
      </c>
      <c r="H273" t="s">
        <v>58</v>
      </c>
      <c r="I273">
        <v>337.5</v>
      </c>
      <c r="J273" t="s">
        <v>65</v>
      </c>
      <c r="L273">
        <f t="shared" si="6"/>
        <v>337.5</v>
      </c>
    </row>
    <row r="274" spans="2:12" x14ac:dyDescent="0.25">
      <c r="B274" s="2" t="s">
        <v>96</v>
      </c>
      <c r="C274" t="s">
        <v>19</v>
      </c>
      <c r="D274" t="s">
        <v>42</v>
      </c>
      <c r="E274" t="s">
        <v>64</v>
      </c>
      <c r="F274" t="s">
        <v>57</v>
      </c>
      <c r="G274">
        <v>337.5</v>
      </c>
      <c r="H274" t="s">
        <v>58</v>
      </c>
      <c r="I274">
        <v>337.5</v>
      </c>
      <c r="J274" t="s">
        <v>65</v>
      </c>
      <c r="L274">
        <f t="shared" si="6"/>
        <v>337.5</v>
      </c>
    </row>
    <row r="275" spans="2:12" x14ac:dyDescent="0.25">
      <c r="B275" s="2" t="s">
        <v>96</v>
      </c>
      <c r="C275" t="s">
        <v>20</v>
      </c>
      <c r="D275" t="s">
        <v>43</v>
      </c>
      <c r="E275" t="s">
        <v>66</v>
      </c>
      <c r="F275" t="s">
        <v>57</v>
      </c>
      <c r="G275">
        <v>4.5</v>
      </c>
      <c r="H275" t="s">
        <v>58</v>
      </c>
      <c r="I275">
        <v>4500</v>
      </c>
      <c r="J275" t="s">
        <v>62</v>
      </c>
      <c r="L275">
        <f t="shared" si="6"/>
        <v>4.5</v>
      </c>
    </row>
    <row r="276" spans="2:12" x14ac:dyDescent="0.25">
      <c r="B276" s="2" t="s">
        <v>96</v>
      </c>
      <c r="C276" t="s">
        <v>21</v>
      </c>
      <c r="D276" t="s">
        <v>44</v>
      </c>
      <c r="E276" t="s">
        <v>68</v>
      </c>
      <c r="F276" t="s">
        <v>57</v>
      </c>
      <c r="G276">
        <v>2.0249999999999999</v>
      </c>
      <c r="H276" t="s">
        <v>58</v>
      </c>
      <c r="I276">
        <v>202.5</v>
      </c>
      <c r="J276" t="s">
        <v>65</v>
      </c>
      <c r="L276">
        <f t="shared" si="6"/>
        <v>2.0249999999999999</v>
      </c>
    </row>
    <row r="277" spans="2:12" x14ac:dyDescent="0.25">
      <c r="B277" s="2" t="s">
        <v>97</v>
      </c>
      <c r="C277" t="s">
        <v>6</v>
      </c>
      <c r="D277" t="s">
        <v>29</v>
      </c>
      <c r="E277" t="s">
        <v>56</v>
      </c>
      <c r="F277">
        <v>225</v>
      </c>
      <c r="G277" t="s">
        <v>57</v>
      </c>
      <c r="H277" t="s">
        <v>58</v>
      </c>
      <c r="I277">
        <v>6750</v>
      </c>
      <c r="J277" t="s">
        <v>59</v>
      </c>
      <c r="L277">
        <f t="shared" si="6"/>
        <v>225</v>
      </c>
    </row>
    <row r="278" spans="2:12" x14ac:dyDescent="0.25">
      <c r="B278" s="2" t="s">
        <v>97</v>
      </c>
      <c r="C278" t="s">
        <v>7</v>
      </c>
      <c r="D278" t="s">
        <v>30</v>
      </c>
      <c r="E278" t="s">
        <v>60</v>
      </c>
      <c r="F278" t="s">
        <v>57</v>
      </c>
      <c r="G278">
        <v>60.75</v>
      </c>
      <c r="H278" t="s">
        <v>58</v>
      </c>
      <c r="I278">
        <v>6075</v>
      </c>
      <c r="J278" t="s">
        <v>59</v>
      </c>
      <c r="L278">
        <f t="shared" si="6"/>
        <v>60.75</v>
      </c>
    </row>
    <row r="279" spans="2:12" x14ac:dyDescent="0.25">
      <c r="B279" s="2" t="s">
        <v>97</v>
      </c>
      <c r="C279" t="s">
        <v>8</v>
      </c>
      <c r="D279" t="s">
        <v>31</v>
      </c>
      <c r="E279" t="s">
        <v>61</v>
      </c>
      <c r="F279">
        <v>22.5</v>
      </c>
      <c r="G279" t="s">
        <v>57</v>
      </c>
      <c r="H279" t="s">
        <v>58</v>
      </c>
      <c r="I279">
        <v>2250</v>
      </c>
      <c r="J279" t="s">
        <v>62</v>
      </c>
      <c r="L279">
        <f t="shared" si="6"/>
        <v>22.5</v>
      </c>
    </row>
    <row r="280" spans="2:12" x14ac:dyDescent="0.25">
      <c r="B280" s="2" t="s">
        <v>97</v>
      </c>
      <c r="C280" t="s">
        <v>9</v>
      </c>
      <c r="D280" t="s">
        <v>32</v>
      </c>
      <c r="E280" t="s">
        <v>61</v>
      </c>
      <c r="F280">
        <v>1.7010000000000003</v>
      </c>
      <c r="G280" t="s">
        <v>57</v>
      </c>
      <c r="H280" t="s">
        <v>58</v>
      </c>
      <c r="I280">
        <v>170.10000000000002</v>
      </c>
      <c r="J280" t="s">
        <v>62</v>
      </c>
      <c r="L280">
        <f t="shared" si="6"/>
        <v>1.7010000000000003</v>
      </c>
    </row>
    <row r="281" spans="2:12" x14ac:dyDescent="0.25">
      <c r="B281" s="2" t="s">
        <v>97</v>
      </c>
      <c r="C281" t="s">
        <v>10</v>
      </c>
      <c r="D281" t="s">
        <v>33</v>
      </c>
      <c r="E281" t="s">
        <v>60</v>
      </c>
      <c r="F281" t="s">
        <v>57</v>
      </c>
      <c r="G281">
        <v>168.75</v>
      </c>
      <c r="H281" t="s">
        <v>58</v>
      </c>
      <c r="I281">
        <v>16875</v>
      </c>
      <c r="J281" t="s">
        <v>59</v>
      </c>
      <c r="L281">
        <f t="shared" si="6"/>
        <v>168.75</v>
      </c>
    </row>
    <row r="282" spans="2:12" x14ac:dyDescent="0.25">
      <c r="B282" s="2" t="s">
        <v>97</v>
      </c>
      <c r="C282" t="s">
        <v>11</v>
      </c>
      <c r="D282" t="s">
        <v>34</v>
      </c>
      <c r="E282" t="s">
        <v>63</v>
      </c>
      <c r="F282" t="s">
        <v>57</v>
      </c>
      <c r="G282">
        <v>81</v>
      </c>
      <c r="H282" t="s">
        <v>58</v>
      </c>
      <c r="I282">
        <v>20250</v>
      </c>
      <c r="J282" t="s">
        <v>59</v>
      </c>
      <c r="L282">
        <f t="shared" si="6"/>
        <v>81</v>
      </c>
    </row>
    <row r="283" spans="2:12" x14ac:dyDescent="0.25">
      <c r="B283" s="2" t="s">
        <v>97</v>
      </c>
      <c r="C283" t="s">
        <v>11</v>
      </c>
      <c r="D283" t="s">
        <v>34</v>
      </c>
      <c r="E283" t="s">
        <v>63</v>
      </c>
      <c r="F283" t="s">
        <v>57</v>
      </c>
      <c r="G283">
        <v>4.5</v>
      </c>
      <c r="H283" t="s">
        <v>58</v>
      </c>
      <c r="I283">
        <v>1125</v>
      </c>
      <c r="J283" t="s">
        <v>59</v>
      </c>
      <c r="L283">
        <f t="shared" si="6"/>
        <v>4.5</v>
      </c>
    </row>
    <row r="284" spans="2:12" x14ac:dyDescent="0.25">
      <c r="B284" s="2" t="s">
        <v>97</v>
      </c>
      <c r="C284" t="s">
        <v>11</v>
      </c>
      <c r="D284" t="s">
        <v>34</v>
      </c>
      <c r="E284" t="s">
        <v>63</v>
      </c>
      <c r="F284" t="s">
        <v>57</v>
      </c>
      <c r="G284">
        <v>2.7</v>
      </c>
      <c r="H284" t="s">
        <v>58</v>
      </c>
      <c r="I284">
        <v>675</v>
      </c>
      <c r="J284" t="s">
        <v>59</v>
      </c>
      <c r="L284">
        <f t="shared" si="6"/>
        <v>2.7</v>
      </c>
    </row>
    <row r="285" spans="2:12" x14ac:dyDescent="0.25">
      <c r="B285" s="2" t="s">
        <v>97</v>
      </c>
      <c r="C285" t="s">
        <v>11</v>
      </c>
      <c r="D285" t="s">
        <v>34</v>
      </c>
      <c r="E285" t="s">
        <v>63</v>
      </c>
      <c r="F285" t="s">
        <v>57</v>
      </c>
      <c r="G285">
        <v>1.7999999999999916</v>
      </c>
      <c r="H285" t="s">
        <v>58</v>
      </c>
      <c r="I285">
        <v>449.9999999999979</v>
      </c>
      <c r="J285" t="s">
        <v>59</v>
      </c>
      <c r="L285">
        <f t="shared" si="6"/>
        <v>1.7999999999999916</v>
      </c>
    </row>
    <row r="286" spans="2:12" x14ac:dyDescent="0.25">
      <c r="B286" s="2" t="s">
        <v>97</v>
      </c>
      <c r="C286" t="s">
        <v>12</v>
      </c>
      <c r="D286" t="s">
        <v>35</v>
      </c>
      <c r="E286" t="s">
        <v>64</v>
      </c>
      <c r="F286" t="s">
        <v>57</v>
      </c>
      <c r="G286">
        <v>18</v>
      </c>
      <c r="H286" t="s">
        <v>58</v>
      </c>
      <c r="I286">
        <v>18</v>
      </c>
      <c r="J286" t="s">
        <v>65</v>
      </c>
      <c r="L286">
        <f t="shared" si="6"/>
        <v>18</v>
      </c>
    </row>
    <row r="287" spans="2:12" x14ac:dyDescent="0.25">
      <c r="B287" s="2" t="s">
        <v>97</v>
      </c>
      <c r="C287" t="s">
        <v>13</v>
      </c>
      <c r="D287" t="s">
        <v>36</v>
      </c>
      <c r="E287" t="s">
        <v>64</v>
      </c>
      <c r="F287" t="s">
        <v>57</v>
      </c>
      <c r="G287">
        <v>45</v>
      </c>
      <c r="H287" t="s">
        <v>58</v>
      </c>
      <c r="I287">
        <v>45</v>
      </c>
      <c r="J287" t="s">
        <v>65</v>
      </c>
      <c r="L287">
        <f t="shared" si="6"/>
        <v>45</v>
      </c>
    </row>
    <row r="288" spans="2:12" x14ac:dyDescent="0.25">
      <c r="B288" s="2" t="s">
        <v>97</v>
      </c>
      <c r="C288" t="s">
        <v>14</v>
      </c>
      <c r="D288" t="s">
        <v>37</v>
      </c>
      <c r="E288" t="s">
        <v>66</v>
      </c>
      <c r="F288" t="s">
        <v>57</v>
      </c>
      <c r="G288">
        <v>0.94499999999999995</v>
      </c>
      <c r="H288" t="s">
        <v>58</v>
      </c>
      <c r="I288">
        <v>945</v>
      </c>
      <c r="J288" t="s">
        <v>62</v>
      </c>
      <c r="L288">
        <f t="shared" si="6"/>
        <v>0.94499999999999995</v>
      </c>
    </row>
    <row r="289" spans="2:12" x14ac:dyDescent="0.25">
      <c r="B289" s="2" t="s">
        <v>97</v>
      </c>
      <c r="C289" t="s">
        <v>15</v>
      </c>
      <c r="D289" t="s">
        <v>38</v>
      </c>
      <c r="E289" t="s">
        <v>66</v>
      </c>
      <c r="F289" t="s">
        <v>57</v>
      </c>
      <c r="G289">
        <v>0.45</v>
      </c>
      <c r="H289" t="s">
        <v>58</v>
      </c>
      <c r="I289">
        <v>450</v>
      </c>
      <c r="J289" t="s">
        <v>62</v>
      </c>
      <c r="L289">
        <f t="shared" si="6"/>
        <v>0.45</v>
      </c>
    </row>
    <row r="290" spans="2:12" x14ac:dyDescent="0.25">
      <c r="B290" s="2" t="s">
        <v>97</v>
      </c>
      <c r="C290" t="s">
        <v>16</v>
      </c>
      <c r="D290" t="s">
        <v>39</v>
      </c>
      <c r="E290" t="s">
        <v>66</v>
      </c>
      <c r="F290" t="s">
        <v>57</v>
      </c>
      <c r="G290">
        <v>1.6874999999999998</v>
      </c>
      <c r="H290" t="s">
        <v>58</v>
      </c>
      <c r="I290">
        <v>1687.4999999999998</v>
      </c>
      <c r="J290" t="s">
        <v>62</v>
      </c>
      <c r="L290">
        <f t="shared" si="6"/>
        <v>1.6874999999999998</v>
      </c>
    </row>
    <row r="291" spans="2:12" x14ac:dyDescent="0.25">
      <c r="B291" s="2" t="s">
        <v>97</v>
      </c>
      <c r="C291" t="s">
        <v>17</v>
      </c>
      <c r="D291" t="s">
        <v>40</v>
      </c>
      <c r="E291" t="s">
        <v>67</v>
      </c>
      <c r="F291" t="s">
        <v>57</v>
      </c>
      <c r="G291">
        <v>20.249999999999996</v>
      </c>
      <c r="H291" t="s">
        <v>58</v>
      </c>
      <c r="I291">
        <v>202.49999999999997</v>
      </c>
      <c r="J291" t="s">
        <v>65</v>
      </c>
      <c r="L291">
        <f t="shared" si="6"/>
        <v>20.249999999999996</v>
      </c>
    </row>
    <row r="292" spans="2:12" x14ac:dyDescent="0.25">
      <c r="B292" s="2" t="s">
        <v>97</v>
      </c>
      <c r="C292" t="s">
        <v>18</v>
      </c>
      <c r="D292" t="s">
        <v>41</v>
      </c>
      <c r="E292" t="s">
        <v>67</v>
      </c>
      <c r="F292" t="s">
        <v>57</v>
      </c>
      <c r="G292">
        <v>11.25</v>
      </c>
      <c r="H292" t="s">
        <v>58</v>
      </c>
      <c r="I292">
        <v>112.5</v>
      </c>
      <c r="J292" t="s">
        <v>65</v>
      </c>
      <c r="L292">
        <f t="shared" si="6"/>
        <v>11.25</v>
      </c>
    </row>
    <row r="293" spans="2:12" x14ac:dyDescent="0.25">
      <c r="B293" s="2" t="s">
        <v>97</v>
      </c>
      <c r="C293" t="s">
        <v>18</v>
      </c>
      <c r="D293" t="s">
        <v>41</v>
      </c>
      <c r="E293" t="s">
        <v>67</v>
      </c>
      <c r="F293" t="s">
        <v>57</v>
      </c>
      <c r="G293">
        <v>4.5</v>
      </c>
      <c r="H293" t="s">
        <v>58</v>
      </c>
      <c r="I293">
        <v>45</v>
      </c>
      <c r="J293" t="s">
        <v>65</v>
      </c>
      <c r="L293">
        <f t="shared" si="6"/>
        <v>4.5</v>
      </c>
    </row>
    <row r="294" spans="2:12" x14ac:dyDescent="0.25">
      <c r="B294" s="2" t="s">
        <v>97</v>
      </c>
      <c r="C294" t="s">
        <v>19</v>
      </c>
      <c r="D294" t="s">
        <v>42</v>
      </c>
      <c r="E294" t="s">
        <v>64</v>
      </c>
      <c r="F294" t="s">
        <v>57</v>
      </c>
      <c r="G294">
        <v>337.5</v>
      </c>
      <c r="H294" t="s">
        <v>58</v>
      </c>
      <c r="I294">
        <v>337.5</v>
      </c>
      <c r="J294" t="s">
        <v>65</v>
      </c>
      <c r="L294">
        <f t="shared" si="6"/>
        <v>337.5</v>
      </c>
    </row>
    <row r="295" spans="2:12" x14ac:dyDescent="0.25">
      <c r="B295" s="2" t="s">
        <v>97</v>
      </c>
      <c r="C295" t="s">
        <v>19</v>
      </c>
      <c r="D295" t="s">
        <v>42</v>
      </c>
      <c r="E295" t="s">
        <v>64</v>
      </c>
      <c r="F295" t="s">
        <v>57</v>
      </c>
      <c r="G295">
        <v>337.5</v>
      </c>
      <c r="H295" t="s">
        <v>58</v>
      </c>
      <c r="I295">
        <v>337.5</v>
      </c>
      <c r="J295" t="s">
        <v>65</v>
      </c>
      <c r="L295">
        <f t="shared" si="6"/>
        <v>337.5</v>
      </c>
    </row>
    <row r="296" spans="2:12" x14ac:dyDescent="0.25">
      <c r="B296" s="2" t="s">
        <v>97</v>
      </c>
      <c r="C296" t="s">
        <v>20</v>
      </c>
      <c r="D296" t="s">
        <v>43</v>
      </c>
      <c r="E296" t="s">
        <v>66</v>
      </c>
      <c r="F296" t="s">
        <v>57</v>
      </c>
      <c r="G296">
        <v>4.5</v>
      </c>
      <c r="H296" t="s">
        <v>58</v>
      </c>
      <c r="I296">
        <v>4500</v>
      </c>
      <c r="J296" t="s">
        <v>62</v>
      </c>
      <c r="L296">
        <f t="shared" si="6"/>
        <v>4.5</v>
      </c>
    </row>
    <row r="297" spans="2:12" x14ac:dyDescent="0.25">
      <c r="B297" s="2" t="s">
        <v>97</v>
      </c>
      <c r="C297" t="s">
        <v>21</v>
      </c>
      <c r="D297" t="s">
        <v>44</v>
      </c>
      <c r="E297" t="s">
        <v>68</v>
      </c>
      <c r="F297" t="s">
        <v>57</v>
      </c>
      <c r="G297">
        <v>2.0249999999999999</v>
      </c>
      <c r="H297" t="s">
        <v>58</v>
      </c>
      <c r="I297">
        <v>202.5</v>
      </c>
      <c r="J297" t="s">
        <v>65</v>
      </c>
      <c r="L297">
        <f t="shared" si="6"/>
        <v>2.0249999999999999</v>
      </c>
    </row>
    <row r="298" spans="2:12" x14ac:dyDescent="0.25">
      <c r="B298" s="2" t="s">
        <v>98</v>
      </c>
      <c r="C298" t="s">
        <v>6</v>
      </c>
      <c r="D298" t="s">
        <v>29</v>
      </c>
      <c r="E298" t="s">
        <v>56</v>
      </c>
      <c r="F298">
        <v>225</v>
      </c>
      <c r="G298" t="s">
        <v>57</v>
      </c>
      <c r="H298" t="s">
        <v>58</v>
      </c>
      <c r="I298">
        <v>6750</v>
      </c>
      <c r="J298" t="s">
        <v>59</v>
      </c>
      <c r="L298">
        <f t="shared" si="6"/>
        <v>225</v>
      </c>
    </row>
    <row r="299" spans="2:12" x14ac:dyDescent="0.25">
      <c r="B299" s="2" t="s">
        <v>98</v>
      </c>
      <c r="C299" t="s">
        <v>7</v>
      </c>
      <c r="D299" t="s">
        <v>30</v>
      </c>
      <c r="E299" t="s">
        <v>60</v>
      </c>
      <c r="F299" t="s">
        <v>57</v>
      </c>
      <c r="G299">
        <v>60.75</v>
      </c>
      <c r="H299" t="s">
        <v>58</v>
      </c>
      <c r="I299">
        <v>6075</v>
      </c>
      <c r="J299" t="s">
        <v>59</v>
      </c>
      <c r="L299">
        <f t="shared" si="6"/>
        <v>60.75</v>
      </c>
    </row>
    <row r="300" spans="2:12" x14ac:dyDescent="0.25">
      <c r="B300" s="2" t="s">
        <v>98</v>
      </c>
      <c r="C300" t="s">
        <v>8</v>
      </c>
      <c r="D300" t="s">
        <v>31</v>
      </c>
      <c r="E300" t="s">
        <v>61</v>
      </c>
      <c r="F300">
        <v>22.5</v>
      </c>
      <c r="G300" t="s">
        <v>57</v>
      </c>
      <c r="H300" t="s">
        <v>58</v>
      </c>
      <c r="I300">
        <v>2250</v>
      </c>
      <c r="J300" t="s">
        <v>62</v>
      </c>
      <c r="L300">
        <f t="shared" si="6"/>
        <v>22.5</v>
      </c>
    </row>
    <row r="301" spans="2:12" x14ac:dyDescent="0.25">
      <c r="B301" s="2" t="s">
        <v>98</v>
      </c>
      <c r="C301" t="s">
        <v>9</v>
      </c>
      <c r="D301" t="s">
        <v>32</v>
      </c>
      <c r="E301" t="s">
        <v>61</v>
      </c>
      <c r="F301">
        <v>1.7010000000000003</v>
      </c>
      <c r="G301" t="s">
        <v>57</v>
      </c>
      <c r="H301" t="s">
        <v>58</v>
      </c>
      <c r="I301">
        <v>170.10000000000002</v>
      </c>
      <c r="J301" t="s">
        <v>62</v>
      </c>
      <c r="L301">
        <f t="shared" si="6"/>
        <v>1.7010000000000003</v>
      </c>
    </row>
    <row r="302" spans="2:12" x14ac:dyDescent="0.25">
      <c r="B302" s="2" t="s">
        <v>98</v>
      </c>
      <c r="C302" t="s">
        <v>10</v>
      </c>
      <c r="D302" t="s">
        <v>33</v>
      </c>
      <c r="E302" t="s">
        <v>60</v>
      </c>
      <c r="F302" t="s">
        <v>57</v>
      </c>
      <c r="G302">
        <v>168.75</v>
      </c>
      <c r="H302" t="s">
        <v>58</v>
      </c>
      <c r="I302">
        <v>16875</v>
      </c>
      <c r="J302" t="s">
        <v>59</v>
      </c>
      <c r="L302">
        <f t="shared" si="6"/>
        <v>168.75</v>
      </c>
    </row>
    <row r="303" spans="2:12" x14ac:dyDescent="0.25">
      <c r="B303" s="2" t="s">
        <v>98</v>
      </c>
      <c r="C303" t="s">
        <v>11</v>
      </c>
      <c r="D303" t="s">
        <v>34</v>
      </c>
      <c r="E303" t="s">
        <v>63</v>
      </c>
      <c r="F303" t="s">
        <v>57</v>
      </c>
      <c r="G303">
        <v>81</v>
      </c>
      <c r="H303" t="s">
        <v>58</v>
      </c>
      <c r="I303">
        <v>20250</v>
      </c>
      <c r="J303" t="s">
        <v>59</v>
      </c>
      <c r="L303">
        <f t="shared" si="6"/>
        <v>81</v>
      </c>
    </row>
    <row r="304" spans="2:12" x14ac:dyDescent="0.25">
      <c r="B304" s="2" t="s">
        <v>98</v>
      </c>
      <c r="C304" t="s">
        <v>11</v>
      </c>
      <c r="D304" t="s">
        <v>34</v>
      </c>
      <c r="E304" t="s">
        <v>63</v>
      </c>
      <c r="F304" t="s">
        <v>57</v>
      </c>
      <c r="G304">
        <v>4.5</v>
      </c>
      <c r="H304" t="s">
        <v>58</v>
      </c>
      <c r="I304">
        <v>1125</v>
      </c>
      <c r="J304" t="s">
        <v>59</v>
      </c>
      <c r="L304">
        <f t="shared" si="6"/>
        <v>4.5</v>
      </c>
    </row>
    <row r="305" spans="2:12" x14ac:dyDescent="0.25">
      <c r="B305" s="2" t="s">
        <v>98</v>
      </c>
      <c r="C305" t="s">
        <v>11</v>
      </c>
      <c r="D305" t="s">
        <v>34</v>
      </c>
      <c r="E305" t="s">
        <v>63</v>
      </c>
      <c r="F305" t="s">
        <v>57</v>
      </c>
      <c r="G305">
        <v>2.7</v>
      </c>
      <c r="H305" t="s">
        <v>58</v>
      </c>
      <c r="I305">
        <v>675</v>
      </c>
      <c r="J305" t="s">
        <v>59</v>
      </c>
      <c r="L305">
        <f t="shared" si="6"/>
        <v>2.7</v>
      </c>
    </row>
    <row r="306" spans="2:12" x14ac:dyDescent="0.25">
      <c r="B306" s="2" t="s">
        <v>98</v>
      </c>
      <c r="C306" t="s">
        <v>11</v>
      </c>
      <c r="D306" t="s">
        <v>34</v>
      </c>
      <c r="E306" t="s">
        <v>63</v>
      </c>
      <c r="F306" t="s">
        <v>57</v>
      </c>
      <c r="G306">
        <v>1.7999999999999916</v>
      </c>
      <c r="H306" t="s">
        <v>58</v>
      </c>
      <c r="I306">
        <v>449.9999999999979</v>
      </c>
      <c r="J306" t="s">
        <v>59</v>
      </c>
      <c r="L306">
        <f t="shared" si="6"/>
        <v>1.7999999999999916</v>
      </c>
    </row>
    <row r="307" spans="2:12" x14ac:dyDescent="0.25">
      <c r="B307" s="2" t="s">
        <v>98</v>
      </c>
      <c r="C307" t="s">
        <v>12</v>
      </c>
      <c r="D307" t="s">
        <v>35</v>
      </c>
      <c r="E307" t="s">
        <v>64</v>
      </c>
      <c r="F307" t="s">
        <v>57</v>
      </c>
      <c r="G307">
        <v>18</v>
      </c>
      <c r="H307" t="s">
        <v>58</v>
      </c>
      <c r="I307">
        <v>18</v>
      </c>
      <c r="J307" t="s">
        <v>65</v>
      </c>
      <c r="L307">
        <f t="shared" si="6"/>
        <v>18</v>
      </c>
    </row>
    <row r="308" spans="2:12" x14ac:dyDescent="0.25">
      <c r="B308" s="2" t="s">
        <v>98</v>
      </c>
      <c r="C308" t="s">
        <v>13</v>
      </c>
      <c r="D308" t="s">
        <v>36</v>
      </c>
      <c r="E308" t="s">
        <v>64</v>
      </c>
      <c r="F308" t="s">
        <v>57</v>
      </c>
      <c r="G308">
        <v>45</v>
      </c>
      <c r="H308" t="s">
        <v>58</v>
      </c>
      <c r="I308">
        <v>45</v>
      </c>
      <c r="J308" t="s">
        <v>65</v>
      </c>
      <c r="L308">
        <f t="shared" si="6"/>
        <v>45</v>
      </c>
    </row>
    <row r="309" spans="2:12" x14ac:dyDescent="0.25">
      <c r="B309" s="2" t="s">
        <v>98</v>
      </c>
      <c r="C309" t="s">
        <v>14</v>
      </c>
      <c r="D309" t="s">
        <v>37</v>
      </c>
      <c r="E309" t="s">
        <v>66</v>
      </c>
      <c r="F309" t="s">
        <v>57</v>
      </c>
      <c r="G309">
        <v>0.94499999999999995</v>
      </c>
      <c r="H309" t="s">
        <v>58</v>
      </c>
      <c r="I309">
        <v>945</v>
      </c>
      <c r="J309" t="s">
        <v>62</v>
      </c>
      <c r="L309">
        <f t="shared" si="6"/>
        <v>0.94499999999999995</v>
      </c>
    </row>
    <row r="310" spans="2:12" x14ac:dyDescent="0.25">
      <c r="B310" s="2" t="s">
        <v>98</v>
      </c>
      <c r="C310" t="s">
        <v>15</v>
      </c>
      <c r="D310" t="s">
        <v>38</v>
      </c>
      <c r="E310" t="s">
        <v>66</v>
      </c>
      <c r="F310" t="s">
        <v>57</v>
      </c>
      <c r="G310">
        <v>0.45</v>
      </c>
      <c r="H310" t="s">
        <v>58</v>
      </c>
      <c r="I310">
        <v>450</v>
      </c>
      <c r="J310" t="s">
        <v>62</v>
      </c>
      <c r="L310">
        <f t="shared" si="6"/>
        <v>0.45</v>
      </c>
    </row>
    <row r="311" spans="2:12" x14ac:dyDescent="0.25">
      <c r="B311" s="2" t="s">
        <v>98</v>
      </c>
      <c r="C311" t="s">
        <v>16</v>
      </c>
      <c r="D311" t="s">
        <v>39</v>
      </c>
      <c r="E311" t="s">
        <v>66</v>
      </c>
      <c r="F311" t="s">
        <v>57</v>
      </c>
      <c r="G311">
        <v>1.6874999999999998</v>
      </c>
      <c r="H311" t="s">
        <v>58</v>
      </c>
      <c r="I311">
        <v>1687.4999999999998</v>
      </c>
      <c r="J311" t="s">
        <v>62</v>
      </c>
      <c r="L311">
        <f t="shared" si="6"/>
        <v>1.6874999999999998</v>
      </c>
    </row>
    <row r="312" spans="2:12" x14ac:dyDescent="0.25">
      <c r="B312" s="2" t="s">
        <v>98</v>
      </c>
      <c r="C312" t="s">
        <v>17</v>
      </c>
      <c r="D312" t="s">
        <v>40</v>
      </c>
      <c r="E312" t="s">
        <v>67</v>
      </c>
      <c r="F312" t="s">
        <v>57</v>
      </c>
      <c r="G312">
        <v>20.249999999999996</v>
      </c>
      <c r="H312" t="s">
        <v>58</v>
      </c>
      <c r="I312">
        <v>202.49999999999997</v>
      </c>
      <c r="J312" t="s">
        <v>65</v>
      </c>
      <c r="L312">
        <f t="shared" si="6"/>
        <v>20.249999999999996</v>
      </c>
    </row>
    <row r="313" spans="2:12" x14ac:dyDescent="0.25">
      <c r="B313" s="2" t="s">
        <v>98</v>
      </c>
      <c r="C313" t="s">
        <v>18</v>
      </c>
      <c r="D313" t="s">
        <v>41</v>
      </c>
      <c r="E313" t="s">
        <v>67</v>
      </c>
      <c r="F313" t="s">
        <v>57</v>
      </c>
      <c r="G313">
        <v>11.25</v>
      </c>
      <c r="H313" t="s">
        <v>58</v>
      </c>
      <c r="I313">
        <v>112.5</v>
      </c>
      <c r="J313" t="s">
        <v>65</v>
      </c>
      <c r="L313">
        <f t="shared" si="6"/>
        <v>11.25</v>
      </c>
    </row>
    <row r="314" spans="2:12" x14ac:dyDescent="0.25">
      <c r="B314" s="2" t="s">
        <v>98</v>
      </c>
      <c r="C314" t="s">
        <v>18</v>
      </c>
      <c r="D314" t="s">
        <v>41</v>
      </c>
      <c r="E314" t="s">
        <v>67</v>
      </c>
      <c r="F314" t="s">
        <v>57</v>
      </c>
      <c r="G314">
        <v>4.5</v>
      </c>
      <c r="H314" t="s">
        <v>58</v>
      </c>
      <c r="I314">
        <v>45</v>
      </c>
      <c r="J314" t="s">
        <v>65</v>
      </c>
      <c r="L314">
        <f t="shared" si="6"/>
        <v>4.5</v>
      </c>
    </row>
    <row r="315" spans="2:12" x14ac:dyDescent="0.25">
      <c r="B315" s="2" t="s">
        <v>98</v>
      </c>
      <c r="C315" t="s">
        <v>19</v>
      </c>
      <c r="D315" t="s">
        <v>42</v>
      </c>
      <c r="E315" t="s">
        <v>64</v>
      </c>
      <c r="F315" t="s">
        <v>57</v>
      </c>
      <c r="G315">
        <v>337.5</v>
      </c>
      <c r="H315" t="s">
        <v>58</v>
      </c>
      <c r="I315">
        <v>337.5</v>
      </c>
      <c r="J315" t="s">
        <v>65</v>
      </c>
      <c r="L315">
        <f t="shared" si="6"/>
        <v>337.5</v>
      </c>
    </row>
    <row r="316" spans="2:12" x14ac:dyDescent="0.25">
      <c r="B316" s="2" t="s">
        <v>98</v>
      </c>
      <c r="C316" t="s">
        <v>19</v>
      </c>
      <c r="D316" t="s">
        <v>42</v>
      </c>
      <c r="E316" t="s">
        <v>64</v>
      </c>
      <c r="F316" t="s">
        <v>57</v>
      </c>
      <c r="G316">
        <v>337.5</v>
      </c>
      <c r="H316" t="s">
        <v>58</v>
      </c>
      <c r="I316">
        <v>337.5</v>
      </c>
      <c r="J316" t="s">
        <v>65</v>
      </c>
      <c r="L316">
        <f t="shared" si="6"/>
        <v>337.5</v>
      </c>
    </row>
    <row r="317" spans="2:12" x14ac:dyDescent="0.25">
      <c r="B317" s="2" t="s">
        <v>98</v>
      </c>
      <c r="C317" t="s">
        <v>20</v>
      </c>
      <c r="D317" t="s">
        <v>43</v>
      </c>
      <c r="E317" t="s">
        <v>66</v>
      </c>
      <c r="F317" t="s">
        <v>57</v>
      </c>
      <c r="G317">
        <v>4.5</v>
      </c>
      <c r="H317" t="s">
        <v>58</v>
      </c>
      <c r="I317">
        <v>4500</v>
      </c>
      <c r="J317" t="s">
        <v>62</v>
      </c>
      <c r="L317">
        <f t="shared" si="6"/>
        <v>4.5</v>
      </c>
    </row>
    <row r="318" spans="2:12" x14ac:dyDescent="0.25">
      <c r="B318" s="2" t="s">
        <v>98</v>
      </c>
      <c r="C318" t="s">
        <v>21</v>
      </c>
      <c r="D318" t="s">
        <v>44</v>
      </c>
      <c r="E318" t="s">
        <v>68</v>
      </c>
      <c r="F318" t="s">
        <v>57</v>
      </c>
      <c r="G318">
        <v>2.0249999999999999</v>
      </c>
      <c r="H318" t="s">
        <v>58</v>
      </c>
      <c r="I318">
        <v>202.5</v>
      </c>
      <c r="J318" t="s">
        <v>65</v>
      </c>
      <c r="L318">
        <f t="shared" si="6"/>
        <v>2.0249999999999999</v>
      </c>
    </row>
    <row r="319" spans="2:12" x14ac:dyDescent="0.25">
      <c r="B319" s="2" t="s">
        <v>99</v>
      </c>
      <c r="C319" t="s">
        <v>6</v>
      </c>
      <c r="D319" t="s">
        <v>29</v>
      </c>
      <c r="E319" t="s">
        <v>56</v>
      </c>
      <c r="F319">
        <v>225</v>
      </c>
      <c r="G319" t="s">
        <v>57</v>
      </c>
      <c r="H319" t="s">
        <v>58</v>
      </c>
      <c r="I319">
        <v>6750</v>
      </c>
      <c r="J319" t="s">
        <v>59</v>
      </c>
      <c r="L319">
        <f t="shared" si="6"/>
        <v>225</v>
      </c>
    </row>
    <row r="320" spans="2:12" x14ac:dyDescent="0.25">
      <c r="B320" s="2" t="s">
        <v>99</v>
      </c>
      <c r="C320" t="s">
        <v>7</v>
      </c>
      <c r="D320" t="s">
        <v>30</v>
      </c>
      <c r="E320" t="s">
        <v>60</v>
      </c>
      <c r="F320" t="s">
        <v>57</v>
      </c>
      <c r="G320">
        <v>60.75</v>
      </c>
      <c r="H320" t="s">
        <v>58</v>
      </c>
      <c r="I320">
        <v>6075</v>
      </c>
      <c r="J320" t="s">
        <v>59</v>
      </c>
      <c r="L320">
        <f t="shared" si="6"/>
        <v>60.75</v>
      </c>
    </row>
    <row r="321" spans="2:12" x14ac:dyDescent="0.25">
      <c r="B321" s="2" t="s">
        <v>99</v>
      </c>
      <c r="C321" t="s">
        <v>8</v>
      </c>
      <c r="D321" t="s">
        <v>31</v>
      </c>
      <c r="E321" t="s">
        <v>61</v>
      </c>
      <c r="F321">
        <v>22.5</v>
      </c>
      <c r="G321" t="s">
        <v>57</v>
      </c>
      <c r="H321" t="s">
        <v>58</v>
      </c>
      <c r="I321">
        <v>2250</v>
      </c>
      <c r="J321" t="s">
        <v>62</v>
      </c>
      <c r="L321">
        <f t="shared" si="6"/>
        <v>22.5</v>
      </c>
    </row>
    <row r="322" spans="2:12" x14ac:dyDescent="0.25">
      <c r="B322" s="2" t="s">
        <v>99</v>
      </c>
      <c r="C322" t="s">
        <v>9</v>
      </c>
      <c r="D322" t="s">
        <v>32</v>
      </c>
      <c r="E322" t="s">
        <v>61</v>
      </c>
      <c r="F322">
        <v>1.7010000000000003</v>
      </c>
      <c r="G322" t="s">
        <v>57</v>
      </c>
      <c r="H322" t="s">
        <v>58</v>
      </c>
      <c r="I322">
        <v>170.10000000000002</v>
      </c>
      <c r="J322" t="s">
        <v>62</v>
      </c>
      <c r="L322">
        <f t="shared" si="6"/>
        <v>1.7010000000000003</v>
      </c>
    </row>
    <row r="323" spans="2:12" x14ac:dyDescent="0.25">
      <c r="B323" s="2" t="s">
        <v>99</v>
      </c>
      <c r="C323" t="s">
        <v>10</v>
      </c>
      <c r="D323" t="s">
        <v>33</v>
      </c>
      <c r="E323" t="s">
        <v>60</v>
      </c>
      <c r="F323" t="s">
        <v>57</v>
      </c>
      <c r="G323">
        <v>168.75</v>
      </c>
      <c r="H323" t="s">
        <v>58</v>
      </c>
      <c r="I323">
        <v>16875</v>
      </c>
      <c r="J323" t="s">
        <v>59</v>
      </c>
      <c r="L323">
        <f t="shared" si="6"/>
        <v>168.75</v>
      </c>
    </row>
    <row r="324" spans="2:12" x14ac:dyDescent="0.25">
      <c r="B324" s="2" t="s">
        <v>99</v>
      </c>
      <c r="C324" t="s">
        <v>11</v>
      </c>
      <c r="D324" t="s">
        <v>34</v>
      </c>
      <c r="E324" t="s">
        <v>63</v>
      </c>
      <c r="F324" t="s">
        <v>57</v>
      </c>
      <c r="G324">
        <v>81</v>
      </c>
      <c r="H324" t="s">
        <v>58</v>
      </c>
      <c r="I324">
        <v>20250</v>
      </c>
      <c r="J324" t="s">
        <v>59</v>
      </c>
      <c r="L324">
        <f t="shared" si="6"/>
        <v>81</v>
      </c>
    </row>
    <row r="325" spans="2:12" x14ac:dyDescent="0.25">
      <c r="B325" s="2" t="s">
        <v>99</v>
      </c>
      <c r="C325" t="s">
        <v>11</v>
      </c>
      <c r="D325" t="s">
        <v>34</v>
      </c>
      <c r="E325" t="s">
        <v>63</v>
      </c>
      <c r="F325" t="s">
        <v>57</v>
      </c>
      <c r="G325">
        <v>4.5</v>
      </c>
      <c r="H325" t="s">
        <v>58</v>
      </c>
      <c r="I325">
        <v>1125</v>
      </c>
      <c r="J325" t="s">
        <v>59</v>
      </c>
      <c r="L325">
        <f t="shared" ref="L325:L388" si="7">MAX(F325:G325)</f>
        <v>4.5</v>
      </c>
    </row>
    <row r="326" spans="2:12" x14ac:dyDescent="0.25">
      <c r="B326" s="2" t="s">
        <v>99</v>
      </c>
      <c r="C326" t="s">
        <v>11</v>
      </c>
      <c r="D326" t="s">
        <v>34</v>
      </c>
      <c r="E326" t="s">
        <v>63</v>
      </c>
      <c r="F326" t="s">
        <v>57</v>
      </c>
      <c r="G326">
        <v>2.7</v>
      </c>
      <c r="H326" t="s">
        <v>58</v>
      </c>
      <c r="I326">
        <v>675</v>
      </c>
      <c r="J326" t="s">
        <v>59</v>
      </c>
      <c r="L326">
        <f t="shared" si="7"/>
        <v>2.7</v>
      </c>
    </row>
    <row r="327" spans="2:12" x14ac:dyDescent="0.25">
      <c r="B327" s="2" t="s">
        <v>99</v>
      </c>
      <c r="C327" t="s">
        <v>11</v>
      </c>
      <c r="D327" t="s">
        <v>34</v>
      </c>
      <c r="E327" t="s">
        <v>63</v>
      </c>
      <c r="F327" t="s">
        <v>57</v>
      </c>
      <c r="G327">
        <v>1.7999999999999916</v>
      </c>
      <c r="H327" t="s">
        <v>58</v>
      </c>
      <c r="I327">
        <v>449.9999999999979</v>
      </c>
      <c r="J327" t="s">
        <v>59</v>
      </c>
      <c r="L327">
        <f t="shared" si="7"/>
        <v>1.7999999999999916</v>
      </c>
    </row>
    <row r="328" spans="2:12" x14ac:dyDescent="0.25">
      <c r="B328" s="2" t="s">
        <v>99</v>
      </c>
      <c r="C328" t="s">
        <v>12</v>
      </c>
      <c r="D328" t="s">
        <v>35</v>
      </c>
      <c r="E328" t="s">
        <v>64</v>
      </c>
      <c r="F328" t="s">
        <v>57</v>
      </c>
      <c r="G328">
        <v>18</v>
      </c>
      <c r="H328" t="s">
        <v>58</v>
      </c>
      <c r="I328">
        <v>18</v>
      </c>
      <c r="J328" t="s">
        <v>65</v>
      </c>
      <c r="L328">
        <f t="shared" si="7"/>
        <v>18</v>
      </c>
    </row>
    <row r="329" spans="2:12" x14ac:dyDescent="0.25">
      <c r="B329" s="2" t="s">
        <v>99</v>
      </c>
      <c r="C329" t="s">
        <v>13</v>
      </c>
      <c r="D329" t="s">
        <v>36</v>
      </c>
      <c r="E329" t="s">
        <v>64</v>
      </c>
      <c r="F329" t="s">
        <v>57</v>
      </c>
      <c r="G329">
        <v>45</v>
      </c>
      <c r="H329" t="s">
        <v>58</v>
      </c>
      <c r="I329">
        <v>45</v>
      </c>
      <c r="J329" t="s">
        <v>65</v>
      </c>
      <c r="L329">
        <f t="shared" si="7"/>
        <v>45</v>
      </c>
    </row>
    <row r="330" spans="2:12" x14ac:dyDescent="0.25">
      <c r="B330" s="2" t="s">
        <v>99</v>
      </c>
      <c r="C330" t="s">
        <v>14</v>
      </c>
      <c r="D330" t="s">
        <v>37</v>
      </c>
      <c r="E330" t="s">
        <v>66</v>
      </c>
      <c r="F330" t="s">
        <v>57</v>
      </c>
      <c r="G330">
        <v>0.94499999999999995</v>
      </c>
      <c r="H330" t="s">
        <v>58</v>
      </c>
      <c r="I330">
        <v>945</v>
      </c>
      <c r="J330" t="s">
        <v>62</v>
      </c>
      <c r="L330">
        <f t="shared" si="7"/>
        <v>0.94499999999999995</v>
      </c>
    </row>
    <row r="331" spans="2:12" x14ac:dyDescent="0.25">
      <c r="B331" s="2" t="s">
        <v>99</v>
      </c>
      <c r="C331" t="s">
        <v>15</v>
      </c>
      <c r="D331" t="s">
        <v>38</v>
      </c>
      <c r="E331" t="s">
        <v>66</v>
      </c>
      <c r="F331" t="s">
        <v>57</v>
      </c>
      <c r="G331">
        <v>0.45</v>
      </c>
      <c r="H331" t="s">
        <v>58</v>
      </c>
      <c r="I331">
        <v>450</v>
      </c>
      <c r="J331" t="s">
        <v>62</v>
      </c>
      <c r="L331">
        <f t="shared" si="7"/>
        <v>0.45</v>
      </c>
    </row>
    <row r="332" spans="2:12" x14ac:dyDescent="0.25">
      <c r="B332" s="2" t="s">
        <v>99</v>
      </c>
      <c r="C332" t="s">
        <v>16</v>
      </c>
      <c r="D332" t="s">
        <v>39</v>
      </c>
      <c r="E332" t="s">
        <v>66</v>
      </c>
      <c r="F332" t="s">
        <v>57</v>
      </c>
      <c r="G332">
        <v>1.6874999999999998</v>
      </c>
      <c r="H332" t="s">
        <v>58</v>
      </c>
      <c r="I332">
        <v>1687.4999999999998</v>
      </c>
      <c r="J332" t="s">
        <v>62</v>
      </c>
      <c r="L332">
        <f t="shared" si="7"/>
        <v>1.6874999999999998</v>
      </c>
    </row>
    <row r="333" spans="2:12" x14ac:dyDescent="0.25">
      <c r="B333" s="2" t="s">
        <v>99</v>
      </c>
      <c r="C333" t="s">
        <v>17</v>
      </c>
      <c r="D333" t="s">
        <v>40</v>
      </c>
      <c r="E333" t="s">
        <v>67</v>
      </c>
      <c r="F333" t="s">
        <v>57</v>
      </c>
      <c r="G333">
        <v>20.249999999999996</v>
      </c>
      <c r="H333" t="s">
        <v>58</v>
      </c>
      <c r="I333">
        <v>202.49999999999997</v>
      </c>
      <c r="J333" t="s">
        <v>65</v>
      </c>
      <c r="L333">
        <f t="shared" si="7"/>
        <v>20.249999999999996</v>
      </c>
    </row>
    <row r="334" spans="2:12" x14ac:dyDescent="0.25">
      <c r="B334" s="2" t="s">
        <v>99</v>
      </c>
      <c r="C334" t="s">
        <v>18</v>
      </c>
      <c r="D334" t="s">
        <v>41</v>
      </c>
      <c r="E334" t="s">
        <v>67</v>
      </c>
      <c r="F334" t="s">
        <v>57</v>
      </c>
      <c r="G334">
        <v>11.25</v>
      </c>
      <c r="H334" t="s">
        <v>58</v>
      </c>
      <c r="I334">
        <v>112.5</v>
      </c>
      <c r="J334" t="s">
        <v>65</v>
      </c>
      <c r="L334">
        <f t="shared" si="7"/>
        <v>11.25</v>
      </c>
    </row>
    <row r="335" spans="2:12" x14ac:dyDescent="0.25">
      <c r="B335" s="2" t="s">
        <v>99</v>
      </c>
      <c r="C335" t="s">
        <v>18</v>
      </c>
      <c r="D335" t="s">
        <v>41</v>
      </c>
      <c r="E335" t="s">
        <v>67</v>
      </c>
      <c r="F335" t="s">
        <v>57</v>
      </c>
      <c r="G335">
        <v>4.5</v>
      </c>
      <c r="H335" t="s">
        <v>58</v>
      </c>
      <c r="I335">
        <v>45</v>
      </c>
      <c r="J335" t="s">
        <v>65</v>
      </c>
      <c r="L335">
        <f t="shared" si="7"/>
        <v>4.5</v>
      </c>
    </row>
    <row r="336" spans="2:12" x14ac:dyDescent="0.25">
      <c r="B336" s="2" t="s">
        <v>99</v>
      </c>
      <c r="C336" t="s">
        <v>19</v>
      </c>
      <c r="D336" t="s">
        <v>42</v>
      </c>
      <c r="E336" t="s">
        <v>64</v>
      </c>
      <c r="F336" t="s">
        <v>57</v>
      </c>
      <c r="G336">
        <v>337.5</v>
      </c>
      <c r="H336" t="s">
        <v>58</v>
      </c>
      <c r="I336">
        <v>337.5</v>
      </c>
      <c r="J336" t="s">
        <v>65</v>
      </c>
      <c r="L336">
        <f t="shared" si="7"/>
        <v>337.5</v>
      </c>
    </row>
    <row r="337" spans="2:12" x14ac:dyDescent="0.25">
      <c r="B337" s="2" t="s">
        <v>99</v>
      </c>
      <c r="C337" t="s">
        <v>19</v>
      </c>
      <c r="D337" t="s">
        <v>42</v>
      </c>
      <c r="E337" t="s">
        <v>64</v>
      </c>
      <c r="F337" t="s">
        <v>57</v>
      </c>
      <c r="G337">
        <v>337.5</v>
      </c>
      <c r="H337" t="s">
        <v>58</v>
      </c>
      <c r="I337">
        <v>337.5</v>
      </c>
      <c r="J337" t="s">
        <v>65</v>
      </c>
      <c r="L337">
        <f t="shared" si="7"/>
        <v>337.5</v>
      </c>
    </row>
    <row r="338" spans="2:12" x14ac:dyDescent="0.25">
      <c r="B338" s="2" t="s">
        <v>99</v>
      </c>
      <c r="C338" t="s">
        <v>20</v>
      </c>
      <c r="D338" t="s">
        <v>43</v>
      </c>
      <c r="E338" t="s">
        <v>66</v>
      </c>
      <c r="F338" t="s">
        <v>57</v>
      </c>
      <c r="G338">
        <v>4.5</v>
      </c>
      <c r="H338" t="s">
        <v>58</v>
      </c>
      <c r="I338">
        <v>4500</v>
      </c>
      <c r="J338" t="s">
        <v>62</v>
      </c>
      <c r="L338">
        <f t="shared" si="7"/>
        <v>4.5</v>
      </c>
    </row>
    <row r="339" spans="2:12" x14ac:dyDescent="0.25">
      <c r="B339" s="2" t="s">
        <v>99</v>
      </c>
      <c r="C339" t="s">
        <v>21</v>
      </c>
      <c r="D339" t="s">
        <v>44</v>
      </c>
      <c r="E339" t="s">
        <v>68</v>
      </c>
      <c r="F339" t="s">
        <v>57</v>
      </c>
      <c r="G339">
        <v>2.0249999999999999</v>
      </c>
      <c r="H339" t="s">
        <v>58</v>
      </c>
      <c r="I339">
        <v>202.5</v>
      </c>
      <c r="J339" t="s">
        <v>65</v>
      </c>
      <c r="L339">
        <f t="shared" si="7"/>
        <v>2.0249999999999999</v>
      </c>
    </row>
    <row r="340" spans="2:12" x14ac:dyDescent="0.25">
      <c r="B340" s="2" t="s">
        <v>100</v>
      </c>
      <c r="C340" t="s">
        <v>6</v>
      </c>
      <c r="D340" t="s">
        <v>29</v>
      </c>
      <c r="E340" t="s">
        <v>56</v>
      </c>
      <c r="F340">
        <v>225</v>
      </c>
      <c r="G340" t="s">
        <v>57</v>
      </c>
      <c r="H340" t="s">
        <v>58</v>
      </c>
      <c r="I340">
        <v>6750</v>
      </c>
      <c r="J340" t="s">
        <v>59</v>
      </c>
      <c r="L340">
        <f t="shared" si="7"/>
        <v>225</v>
      </c>
    </row>
    <row r="341" spans="2:12" x14ac:dyDescent="0.25">
      <c r="B341" s="2" t="s">
        <v>100</v>
      </c>
      <c r="C341" t="s">
        <v>7</v>
      </c>
      <c r="D341" t="s">
        <v>30</v>
      </c>
      <c r="E341" t="s">
        <v>60</v>
      </c>
      <c r="F341" t="s">
        <v>57</v>
      </c>
      <c r="G341">
        <v>60.75</v>
      </c>
      <c r="H341" t="s">
        <v>58</v>
      </c>
      <c r="I341">
        <v>6075</v>
      </c>
      <c r="J341" t="s">
        <v>59</v>
      </c>
      <c r="L341">
        <f t="shared" si="7"/>
        <v>60.75</v>
      </c>
    </row>
    <row r="342" spans="2:12" x14ac:dyDescent="0.25">
      <c r="B342" s="2" t="s">
        <v>100</v>
      </c>
      <c r="C342" t="s">
        <v>8</v>
      </c>
      <c r="D342" t="s">
        <v>31</v>
      </c>
      <c r="E342" t="s">
        <v>61</v>
      </c>
      <c r="F342">
        <v>22.5</v>
      </c>
      <c r="G342" t="s">
        <v>57</v>
      </c>
      <c r="H342" t="s">
        <v>58</v>
      </c>
      <c r="I342">
        <v>2250</v>
      </c>
      <c r="J342" t="s">
        <v>62</v>
      </c>
      <c r="L342">
        <f t="shared" si="7"/>
        <v>22.5</v>
      </c>
    </row>
    <row r="343" spans="2:12" x14ac:dyDescent="0.25">
      <c r="B343" s="2" t="s">
        <v>100</v>
      </c>
      <c r="C343" t="s">
        <v>9</v>
      </c>
      <c r="D343" t="s">
        <v>32</v>
      </c>
      <c r="E343" t="s">
        <v>61</v>
      </c>
      <c r="F343">
        <v>1.7010000000000003</v>
      </c>
      <c r="G343" t="s">
        <v>57</v>
      </c>
      <c r="H343" t="s">
        <v>58</v>
      </c>
      <c r="I343">
        <v>170.10000000000002</v>
      </c>
      <c r="J343" t="s">
        <v>62</v>
      </c>
      <c r="L343">
        <f t="shared" si="7"/>
        <v>1.7010000000000003</v>
      </c>
    </row>
    <row r="344" spans="2:12" x14ac:dyDescent="0.25">
      <c r="B344" s="2" t="s">
        <v>100</v>
      </c>
      <c r="C344" t="s">
        <v>10</v>
      </c>
      <c r="D344" t="s">
        <v>33</v>
      </c>
      <c r="E344" t="s">
        <v>60</v>
      </c>
      <c r="F344" t="s">
        <v>57</v>
      </c>
      <c r="G344">
        <v>168.75</v>
      </c>
      <c r="H344" t="s">
        <v>58</v>
      </c>
      <c r="I344">
        <v>16875</v>
      </c>
      <c r="J344" t="s">
        <v>59</v>
      </c>
      <c r="L344">
        <f t="shared" si="7"/>
        <v>168.75</v>
      </c>
    </row>
    <row r="345" spans="2:12" x14ac:dyDescent="0.25">
      <c r="B345" s="2" t="s">
        <v>100</v>
      </c>
      <c r="C345" t="s">
        <v>11</v>
      </c>
      <c r="D345" t="s">
        <v>34</v>
      </c>
      <c r="E345" t="s">
        <v>63</v>
      </c>
      <c r="F345" t="s">
        <v>57</v>
      </c>
      <c r="G345">
        <v>81</v>
      </c>
      <c r="H345" t="s">
        <v>58</v>
      </c>
      <c r="I345">
        <v>20250</v>
      </c>
      <c r="J345" t="s">
        <v>59</v>
      </c>
      <c r="L345">
        <f t="shared" si="7"/>
        <v>81</v>
      </c>
    </row>
    <row r="346" spans="2:12" x14ac:dyDescent="0.25">
      <c r="B346" s="2" t="s">
        <v>100</v>
      </c>
      <c r="C346" t="s">
        <v>11</v>
      </c>
      <c r="D346" t="s">
        <v>34</v>
      </c>
      <c r="E346" t="s">
        <v>63</v>
      </c>
      <c r="F346" t="s">
        <v>57</v>
      </c>
      <c r="G346">
        <v>4.5</v>
      </c>
      <c r="H346" t="s">
        <v>58</v>
      </c>
      <c r="I346">
        <v>1125</v>
      </c>
      <c r="J346" t="s">
        <v>59</v>
      </c>
      <c r="L346">
        <f t="shared" si="7"/>
        <v>4.5</v>
      </c>
    </row>
    <row r="347" spans="2:12" x14ac:dyDescent="0.25">
      <c r="B347" s="2" t="s">
        <v>100</v>
      </c>
      <c r="C347" t="s">
        <v>11</v>
      </c>
      <c r="D347" t="s">
        <v>34</v>
      </c>
      <c r="E347" t="s">
        <v>63</v>
      </c>
      <c r="F347" t="s">
        <v>57</v>
      </c>
      <c r="G347">
        <v>2.7</v>
      </c>
      <c r="H347" t="s">
        <v>58</v>
      </c>
      <c r="I347">
        <v>675</v>
      </c>
      <c r="J347" t="s">
        <v>59</v>
      </c>
      <c r="L347">
        <f t="shared" si="7"/>
        <v>2.7</v>
      </c>
    </row>
    <row r="348" spans="2:12" x14ac:dyDescent="0.25">
      <c r="B348" s="2" t="s">
        <v>100</v>
      </c>
      <c r="C348" t="s">
        <v>11</v>
      </c>
      <c r="D348" t="s">
        <v>34</v>
      </c>
      <c r="E348" t="s">
        <v>63</v>
      </c>
      <c r="F348" t="s">
        <v>57</v>
      </c>
      <c r="G348">
        <v>1.7999999999999916</v>
      </c>
      <c r="H348" t="s">
        <v>58</v>
      </c>
      <c r="I348">
        <v>449.9999999999979</v>
      </c>
      <c r="J348" t="s">
        <v>59</v>
      </c>
      <c r="L348">
        <f t="shared" si="7"/>
        <v>1.7999999999999916</v>
      </c>
    </row>
    <row r="349" spans="2:12" x14ac:dyDescent="0.25">
      <c r="B349" s="2" t="s">
        <v>100</v>
      </c>
      <c r="C349" t="s">
        <v>12</v>
      </c>
      <c r="D349" t="s">
        <v>35</v>
      </c>
      <c r="E349" t="s">
        <v>64</v>
      </c>
      <c r="F349" t="s">
        <v>57</v>
      </c>
      <c r="G349">
        <v>18</v>
      </c>
      <c r="H349" t="s">
        <v>58</v>
      </c>
      <c r="I349">
        <v>18</v>
      </c>
      <c r="J349" t="s">
        <v>65</v>
      </c>
      <c r="L349">
        <f t="shared" si="7"/>
        <v>18</v>
      </c>
    </row>
    <row r="350" spans="2:12" x14ac:dyDescent="0.25">
      <c r="B350" s="2" t="s">
        <v>100</v>
      </c>
      <c r="C350" t="s">
        <v>13</v>
      </c>
      <c r="D350" t="s">
        <v>36</v>
      </c>
      <c r="E350" t="s">
        <v>64</v>
      </c>
      <c r="F350" t="s">
        <v>57</v>
      </c>
      <c r="G350">
        <v>45</v>
      </c>
      <c r="H350" t="s">
        <v>58</v>
      </c>
      <c r="I350">
        <v>45</v>
      </c>
      <c r="J350" t="s">
        <v>65</v>
      </c>
      <c r="L350">
        <f t="shared" si="7"/>
        <v>45</v>
      </c>
    </row>
    <row r="351" spans="2:12" x14ac:dyDescent="0.25">
      <c r="B351" s="2" t="s">
        <v>100</v>
      </c>
      <c r="C351" t="s">
        <v>14</v>
      </c>
      <c r="D351" t="s">
        <v>37</v>
      </c>
      <c r="E351" t="s">
        <v>66</v>
      </c>
      <c r="F351" t="s">
        <v>57</v>
      </c>
      <c r="G351">
        <v>0.94499999999999995</v>
      </c>
      <c r="H351" t="s">
        <v>58</v>
      </c>
      <c r="I351">
        <v>945</v>
      </c>
      <c r="J351" t="s">
        <v>62</v>
      </c>
      <c r="L351">
        <f t="shared" si="7"/>
        <v>0.94499999999999995</v>
      </c>
    </row>
    <row r="352" spans="2:12" x14ac:dyDescent="0.25">
      <c r="B352" s="2" t="s">
        <v>100</v>
      </c>
      <c r="C352" t="s">
        <v>15</v>
      </c>
      <c r="D352" t="s">
        <v>38</v>
      </c>
      <c r="E352" t="s">
        <v>66</v>
      </c>
      <c r="F352" t="s">
        <v>57</v>
      </c>
      <c r="G352">
        <v>0.45</v>
      </c>
      <c r="H352" t="s">
        <v>58</v>
      </c>
      <c r="I352">
        <v>450</v>
      </c>
      <c r="J352" t="s">
        <v>62</v>
      </c>
      <c r="L352">
        <f t="shared" si="7"/>
        <v>0.45</v>
      </c>
    </row>
    <row r="353" spans="2:12" x14ac:dyDescent="0.25">
      <c r="B353" s="2" t="s">
        <v>100</v>
      </c>
      <c r="C353" t="s">
        <v>16</v>
      </c>
      <c r="D353" t="s">
        <v>39</v>
      </c>
      <c r="E353" t="s">
        <v>66</v>
      </c>
      <c r="F353" t="s">
        <v>57</v>
      </c>
      <c r="G353">
        <v>1.6874999999999998</v>
      </c>
      <c r="H353" t="s">
        <v>58</v>
      </c>
      <c r="I353">
        <v>1687.4999999999998</v>
      </c>
      <c r="J353" t="s">
        <v>62</v>
      </c>
      <c r="L353">
        <f t="shared" si="7"/>
        <v>1.6874999999999998</v>
      </c>
    </row>
    <row r="354" spans="2:12" x14ac:dyDescent="0.25">
      <c r="B354" s="2" t="s">
        <v>100</v>
      </c>
      <c r="C354" t="s">
        <v>17</v>
      </c>
      <c r="D354" t="s">
        <v>40</v>
      </c>
      <c r="E354" t="s">
        <v>67</v>
      </c>
      <c r="F354" t="s">
        <v>57</v>
      </c>
      <c r="G354">
        <v>20.249999999999996</v>
      </c>
      <c r="H354" t="s">
        <v>58</v>
      </c>
      <c r="I354">
        <v>202.49999999999997</v>
      </c>
      <c r="J354" t="s">
        <v>65</v>
      </c>
      <c r="L354">
        <f t="shared" si="7"/>
        <v>20.249999999999996</v>
      </c>
    </row>
    <row r="355" spans="2:12" x14ac:dyDescent="0.25">
      <c r="B355" s="2" t="s">
        <v>100</v>
      </c>
      <c r="C355" t="s">
        <v>18</v>
      </c>
      <c r="D355" t="s">
        <v>41</v>
      </c>
      <c r="E355" t="s">
        <v>67</v>
      </c>
      <c r="F355" t="s">
        <v>57</v>
      </c>
      <c r="G355">
        <v>11.25</v>
      </c>
      <c r="H355" t="s">
        <v>58</v>
      </c>
      <c r="I355">
        <v>112.5</v>
      </c>
      <c r="J355" t="s">
        <v>65</v>
      </c>
      <c r="L355">
        <f t="shared" si="7"/>
        <v>11.25</v>
      </c>
    </row>
    <row r="356" spans="2:12" x14ac:dyDescent="0.25">
      <c r="B356" s="2" t="s">
        <v>100</v>
      </c>
      <c r="C356" t="s">
        <v>18</v>
      </c>
      <c r="D356" t="s">
        <v>41</v>
      </c>
      <c r="E356" t="s">
        <v>67</v>
      </c>
      <c r="F356" t="s">
        <v>57</v>
      </c>
      <c r="G356">
        <v>4.5</v>
      </c>
      <c r="H356" t="s">
        <v>58</v>
      </c>
      <c r="I356">
        <v>45</v>
      </c>
      <c r="J356" t="s">
        <v>65</v>
      </c>
      <c r="L356">
        <f t="shared" si="7"/>
        <v>4.5</v>
      </c>
    </row>
    <row r="357" spans="2:12" x14ac:dyDescent="0.25">
      <c r="B357" s="2" t="s">
        <v>100</v>
      </c>
      <c r="C357" t="s">
        <v>19</v>
      </c>
      <c r="D357" t="s">
        <v>42</v>
      </c>
      <c r="E357" t="s">
        <v>64</v>
      </c>
      <c r="F357" t="s">
        <v>57</v>
      </c>
      <c r="G357">
        <v>337.5</v>
      </c>
      <c r="H357" t="s">
        <v>58</v>
      </c>
      <c r="I357">
        <v>337.5</v>
      </c>
      <c r="J357" t="s">
        <v>65</v>
      </c>
      <c r="L357">
        <f t="shared" si="7"/>
        <v>337.5</v>
      </c>
    </row>
    <row r="358" spans="2:12" x14ac:dyDescent="0.25">
      <c r="B358" s="2" t="s">
        <v>100</v>
      </c>
      <c r="C358" t="s">
        <v>19</v>
      </c>
      <c r="D358" t="s">
        <v>42</v>
      </c>
      <c r="E358" t="s">
        <v>64</v>
      </c>
      <c r="F358" t="s">
        <v>57</v>
      </c>
      <c r="G358">
        <v>337.5</v>
      </c>
      <c r="H358" t="s">
        <v>58</v>
      </c>
      <c r="I358">
        <v>337.5</v>
      </c>
      <c r="J358" t="s">
        <v>65</v>
      </c>
      <c r="L358">
        <f t="shared" si="7"/>
        <v>337.5</v>
      </c>
    </row>
    <row r="359" spans="2:12" x14ac:dyDescent="0.25">
      <c r="B359" s="2" t="s">
        <v>100</v>
      </c>
      <c r="C359" t="s">
        <v>20</v>
      </c>
      <c r="D359" t="s">
        <v>43</v>
      </c>
      <c r="E359" t="s">
        <v>66</v>
      </c>
      <c r="F359" t="s">
        <v>57</v>
      </c>
      <c r="G359">
        <v>4.5</v>
      </c>
      <c r="H359" t="s">
        <v>58</v>
      </c>
      <c r="I359">
        <v>4500</v>
      </c>
      <c r="J359" t="s">
        <v>62</v>
      </c>
      <c r="L359">
        <f t="shared" si="7"/>
        <v>4.5</v>
      </c>
    </row>
    <row r="360" spans="2:12" x14ac:dyDescent="0.25">
      <c r="B360" s="2" t="s">
        <v>100</v>
      </c>
      <c r="C360" t="s">
        <v>21</v>
      </c>
      <c r="D360" t="s">
        <v>44</v>
      </c>
      <c r="E360" t="s">
        <v>68</v>
      </c>
      <c r="F360" t="s">
        <v>57</v>
      </c>
      <c r="G360">
        <v>2.0249999999999999</v>
      </c>
      <c r="H360" t="s">
        <v>58</v>
      </c>
      <c r="I360">
        <v>202.5</v>
      </c>
      <c r="J360" t="s">
        <v>65</v>
      </c>
      <c r="L360">
        <f t="shared" si="7"/>
        <v>2.0249999999999999</v>
      </c>
    </row>
    <row r="361" spans="2:12" x14ac:dyDescent="0.25">
      <c r="B361" s="2" t="s">
        <v>101</v>
      </c>
      <c r="C361" t="s">
        <v>6</v>
      </c>
      <c r="D361" t="s">
        <v>29</v>
      </c>
      <c r="E361" t="s">
        <v>56</v>
      </c>
      <c r="F361">
        <v>225</v>
      </c>
      <c r="G361" t="s">
        <v>57</v>
      </c>
      <c r="H361" t="s">
        <v>58</v>
      </c>
      <c r="I361">
        <v>6750</v>
      </c>
      <c r="J361" t="s">
        <v>59</v>
      </c>
      <c r="L361">
        <f t="shared" si="7"/>
        <v>225</v>
      </c>
    </row>
    <row r="362" spans="2:12" x14ac:dyDescent="0.25">
      <c r="B362" s="2" t="s">
        <v>101</v>
      </c>
      <c r="C362" t="s">
        <v>7</v>
      </c>
      <c r="D362" t="s">
        <v>30</v>
      </c>
      <c r="E362" t="s">
        <v>60</v>
      </c>
      <c r="F362" t="s">
        <v>57</v>
      </c>
      <c r="G362">
        <v>60.75</v>
      </c>
      <c r="H362" t="s">
        <v>58</v>
      </c>
      <c r="I362">
        <v>6075</v>
      </c>
      <c r="J362" t="s">
        <v>59</v>
      </c>
      <c r="L362">
        <f t="shared" si="7"/>
        <v>60.75</v>
      </c>
    </row>
    <row r="363" spans="2:12" x14ac:dyDescent="0.25">
      <c r="B363" s="2" t="s">
        <v>101</v>
      </c>
      <c r="C363" t="s">
        <v>8</v>
      </c>
      <c r="D363" t="s">
        <v>31</v>
      </c>
      <c r="E363" t="s">
        <v>61</v>
      </c>
      <c r="F363">
        <v>22.5</v>
      </c>
      <c r="G363" t="s">
        <v>57</v>
      </c>
      <c r="H363" t="s">
        <v>58</v>
      </c>
      <c r="I363">
        <v>2250</v>
      </c>
      <c r="J363" t="s">
        <v>62</v>
      </c>
      <c r="L363">
        <f t="shared" si="7"/>
        <v>22.5</v>
      </c>
    </row>
    <row r="364" spans="2:12" x14ac:dyDescent="0.25">
      <c r="B364" s="2" t="s">
        <v>101</v>
      </c>
      <c r="C364" t="s">
        <v>9</v>
      </c>
      <c r="D364" t="s">
        <v>32</v>
      </c>
      <c r="E364" t="s">
        <v>61</v>
      </c>
      <c r="F364">
        <v>1.7010000000000003</v>
      </c>
      <c r="G364" t="s">
        <v>57</v>
      </c>
      <c r="H364" t="s">
        <v>58</v>
      </c>
      <c r="I364">
        <v>170.10000000000002</v>
      </c>
      <c r="J364" t="s">
        <v>62</v>
      </c>
      <c r="L364">
        <f t="shared" si="7"/>
        <v>1.7010000000000003</v>
      </c>
    </row>
    <row r="365" spans="2:12" x14ac:dyDescent="0.25">
      <c r="B365" s="2" t="s">
        <v>101</v>
      </c>
      <c r="C365" t="s">
        <v>10</v>
      </c>
      <c r="D365" t="s">
        <v>33</v>
      </c>
      <c r="E365" t="s">
        <v>60</v>
      </c>
      <c r="F365" t="s">
        <v>57</v>
      </c>
      <c r="G365">
        <v>168.75</v>
      </c>
      <c r="H365" t="s">
        <v>58</v>
      </c>
      <c r="I365">
        <v>16875</v>
      </c>
      <c r="J365" t="s">
        <v>59</v>
      </c>
      <c r="L365">
        <f t="shared" si="7"/>
        <v>168.75</v>
      </c>
    </row>
    <row r="366" spans="2:12" x14ac:dyDescent="0.25">
      <c r="B366" s="2" t="s">
        <v>101</v>
      </c>
      <c r="C366" t="s">
        <v>11</v>
      </c>
      <c r="D366" t="s">
        <v>34</v>
      </c>
      <c r="E366" t="s">
        <v>63</v>
      </c>
      <c r="F366" t="s">
        <v>57</v>
      </c>
      <c r="G366">
        <v>81</v>
      </c>
      <c r="H366" t="s">
        <v>58</v>
      </c>
      <c r="I366">
        <v>20250</v>
      </c>
      <c r="J366" t="s">
        <v>59</v>
      </c>
      <c r="L366">
        <f t="shared" si="7"/>
        <v>81</v>
      </c>
    </row>
    <row r="367" spans="2:12" x14ac:dyDescent="0.25">
      <c r="B367" s="2" t="s">
        <v>101</v>
      </c>
      <c r="C367" t="s">
        <v>11</v>
      </c>
      <c r="D367" t="s">
        <v>34</v>
      </c>
      <c r="E367" t="s">
        <v>63</v>
      </c>
      <c r="F367" t="s">
        <v>57</v>
      </c>
      <c r="G367">
        <v>4.5</v>
      </c>
      <c r="H367" t="s">
        <v>58</v>
      </c>
      <c r="I367">
        <v>1125</v>
      </c>
      <c r="J367" t="s">
        <v>59</v>
      </c>
      <c r="L367">
        <f t="shared" si="7"/>
        <v>4.5</v>
      </c>
    </row>
    <row r="368" spans="2:12" x14ac:dyDescent="0.25">
      <c r="B368" s="2" t="s">
        <v>101</v>
      </c>
      <c r="C368" t="s">
        <v>11</v>
      </c>
      <c r="D368" t="s">
        <v>34</v>
      </c>
      <c r="E368" t="s">
        <v>63</v>
      </c>
      <c r="F368" t="s">
        <v>57</v>
      </c>
      <c r="G368">
        <v>2.7</v>
      </c>
      <c r="H368" t="s">
        <v>58</v>
      </c>
      <c r="I368">
        <v>675</v>
      </c>
      <c r="J368" t="s">
        <v>59</v>
      </c>
      <c r="L368">
        <f t="shared" si="7"/>
        <v>2.7</v>
      </c>
    </row>
    <row r="369" spans="2:12" x14ac:dyDescent="0.25">
      <c r="B369" s="2" t="s">
        <v>101</v>
      </c>
      <c r="C369" t="s">
        <v>11</v>
      </c>
      <c r="D369" t="s">
        <v>34</v>
      </c>
      <c r="E369" t="s">
        <v>63</v>
      </c>
      <c r="F369" t="s">
        <v>57</v>
      </c>
      <c r="G369">
        <v>1.7999999999999916</v>
      </c>
      <c r="H369" t="s">
        <v>58</v>
      </c>
      <c r="I369">
        <v>449.9999999999979</v>
      </c>
      <c r="J369" t="s">
        <v>59</v>
      </c>
      <c r="L369">
        <f t="shared" si="7"/>
        <v>1.7999999999999916</v>
      </c>
    </row>
    <row r="370" spans="2:12" x14ac:dyDescent="0.25">
      <c r="B370" s="2" t="s">
        <v>101</v>
      </c>
      <c r="C370" t="s">
        <v>12</v>
      </c>
      <c r="D370" t="s">
        <v>35</v>
      </c>
      <c r="E370" t="s">
        <v>64</v>
      </c>
      <c r="F370" t="s">
        <v>57</v>
      </c>
      <c r="G370">
        <v>18</v>
      </c>
      <c r="H370" t="s">
        <v>58</v>
      </c>
      <c r="I370">
        <v>18</v>
      </c>
      <c r="J370" t="s">
        <v>65</v>
      </c>
      <c r="L370">
        <f t="shared" si="7"/>
        <v>18</v>
      </c>
    </row>
    <row r="371" spans="2:12" x14ac:dyDescent="0.25">
      <c r="B371" s="2" t="s">
        <v>101</v>
      </c>
      <c r="C371" t="s">
        <v>13</v>
      </c>
      <c r="D371" t="s">
        <v>36</v>
      </c>
      <c r="E371" t="s">
        <v>64</v>
      </c>
      <c r="F371" t="s">
        <v>57</v>
      </c>
      <c r="G371">
        <v>45</v>
      </c>
      <c r="H371" t="s">
        <v>58</v>
      </c>
      <c r="I371">
        <v>45</v>
      </c>
      <c r="J371" t="s">
        <v>65</v>
      </c>
      <c r="L371">
        <f t="shared" si="7"/>
        <v>45</v>
      </c>
    </row>
    <row r="372" spans="2:12" x14ac:dyDescent="0.25">
      <c r="B372" s="2" t="s">
        <v>101</v>
      </c>
      <c r="C372" t="s">
        <v>14</v>
      </c>
      <c r="D372" t="s">
        <v>37</v>
      </c>
      <c r="E372" t="s">
        <v>66</v>
      </c>
      <c r="F372" t="s">
        <v>57</v>
      </c>
      <c r="G372">
        <v>0.94499999999999995</v>
      </c>
      <c r="H372" t="s">
        <v>58</v>
      </c>
      <c r="I372">
        <v>945</v>
      </c>
      <c r="J372" t="s">
        <v>62</v>
      </c>
      <c r="L372">
        <f t="shared" si="7"/>
        <v>0.94499999999999995</v>
      </c>
    </row>
    <row r="373" spans="2:12" x14ac:dyDescent="0.25">
      <c r="B373" s="2" t="s">
        <v>101</v>
      </c>
      <c r="C373" t="s">
        <v>15</v>
      </c>
      <c r="D373" t="s">
        <v>38</v>
      </c>
      <c r="E373" t="s">
        <v>66</v>
      </c>
      <c r="F373" t="s">
        <v>57</v>
      </c>
      <c r="G373">
        <v>0.45</v>
      </c>
      <c r="H373" t="s">
        <v>58</v>
      </c>
      <c r="I373">
        <v>450</v>
      </c>
      <c r="J373" t="s">
        <v>62</v>
      </c>
      <c r="L373">
        <f t="shared" si="7"/>
        <v>0.45</v>
      </c>
    </row>
    <row r="374" spans="2:12" x14ac:dyDescent="0.25">
      <c r="B374" s="2" t="s">
        <v>101</v>
      </c>
      <c r="C374" t="s">
        <v>16</v>
      </c>
      <c r="D374" t="s">
        <v>39</v>
      </c>
      <c r="E374" t="s">
        <v>66</v>
      </c>
      <c r="F374" t="s">
        <v>57</v>
      </c>
      <c r="G374">
        <v>1.6874999999999998</v>
      </c>
      <c r="H374" t="s">
        <v>58</v>
      </c>
      <c r="I374">
        <v>1687.4999999999998</v>
      </c>
      <c r="J374" t="s">
        <v>62</v>
      </c>
      <c r="L374">
        <f t="shared" si="7"/>
        <v>1.6874999999999998</v>
      </c>
    </row>
    <row r="375" spans="2:12" x14ac:dyDescent="0.25">
      <c r="B375" s="2" t="s">
        <v>101</v>
      </c>
      <c r="C375" t="s">
        <v>17</v>
      </c>
      <c r="D375" t="s">
        <v>40</v>
      </c>
      <c r="E375" t="s">
        <v>67</v>
      </c>
      <c r="F375" t="s">
        <v>57</v>
      </c>
      <c r="G375">
        <v>20.249999999999996</v>
      </c>
      <c r="H375" t="s">
        <v>58</v>
      </c>
      <c r="I375">
        <v>202.49999999999997</v>
      </c>
      <c r="J375" t="s">
        <v>65</v>
      </c>
      <c r="L375">
        <f t="shared" si="7"/>
        <v>20.249999999999996</v>
      </c>
    </row>
    <row r="376" spans="2:12" x14ac:dyDescent="0.25">
      <c r="B376" s="2" t="s">
        <v>101</v>
      </c>
      <c r="C376" t="s">
        <v>18</v>
      </c>
      <c r="D376" t="s">
        <v>41</v>
      </c>
      <c r="E376" t="s">
        <v>67</v>
      </c>
      <c r="F376" t="s">
        <v>57</v>
      </c>
      <c r="G376">
        <v>11.25</v>
      </c>
      <c r="H376" t="s">
        <v>58</v>
      </c>
      <c r="I376">
        <v>112.5</v>
      </c>
      <c r="J376" t="s">
        <v>65</v>
      </c>
      <c r="L376">
        <f t="shared" si="7"/>
        <v>11.25</v>
      </c>
    </row>
    <row r="377" spans="2:12" x14ac:dyDescent="0.25">
      <c r="B377" s="2" t="s">
        <v>101</v>
      </c>
      <c r="C377" t="s">
        <v>18</v>
      </c>
      <c r="D377" t="s">
        <v>41</v>
      </c>
      <c r="E377" t="s">
        <v>67</v>
      </c>
      <c r="F377" t="s">
        <v>57</v>
      </c>
      <c r="G377">
        <v>4.5</v>
      </c>
      <c r="H377" t="s">
        <v>58</v>
      </c>
      <c r="I377">
        <v>45</v>
      </c>
      <c r="J377" t="s">
        <v>65</v>
      </c>
      <c r="L377">
        <f t="shared" si="7"/>
        <v>4.5</v>
      </c>
    </row>
    <row r="378" spans="2:12" x14ac:dyDescent="0.25">
      <c r="B378" s="2" t="s">
        <v>101</v>
      </c>
      <c r="C378" t="s">
        <v>19</v>
      </c>
      <c r="D378" t="s">
        <v>42</v>
      </c>
      <c r="E378" t="s">
        <v>64</v>
      </c>
      <c r="F378" t="s">
        <v>57</v>
      </c>
      <c r="G378">
        <v>337.5</v>
      </c>
      <c r="H378" t="s">
        <v>58</v>
      </c>
      <c r="I378">
        <v>337.5</v>
      </c>
      <c r="J378" t="s">
        <v>65</v>
      </c>
      <c r="L378">
        <f t="shared" si="7"/>
        <v>337.5</v>
      </c>
    </row>
    <row r="379" spans="2:12" x14ac:dyDescent="0.25">
      <c r="B379" s="2" t="s">
        <v>101</v>
      </c>
      <c r="C379" t="s">
        <v>19</v>
      </c>
      <c r="D379" t="s">
        <v>42</v>
      </c>
      <c r="E379" t="s">
        <v>64</v>
      </c>
      <c r="F379" t="s">
        <v>57</v>
      </c>
      <c r="G379">
        <v>337.5</v>
      </c>
      <c r="H379" t="s">
        <v>58</v>
      </c>
      <c r="I379">
        <v>337.5</v>
      </c>
      <c r="J379" t="s">
        <v>65</v>
      </c>
      <c r="L379">
        <f t="shared" si="7"/>
        <v>337.5</v>
      </c>
    </row>
    <row r="380" spans="2:12" x14ac:dyDescent="0.25">
      <c r="B380" s="2" t="s">
        <v>101</v>
      </c>
      <c r="C380" t="s">
        <v>20</v>
      </c>
      <c r="D380" t="s">
        <v>43</v>
      </c>
      <c r="E380" t="s">
        <v>66</v>
      </c>
      <c r="F380" t="s">
        <v>57</v>
      </c>
      <c r="G380">
        <v>4.5</v>
      </c>
      <c r="H380" t="s">
        <v>58</v>
      </c>
      <c r="I380">
        <v>4500</v>
      </c>
      <c r="J380" t="s">
        <v>62</v>
      </c>
      <c r="L380">
        <f t="shared" si="7"/>
        <v>4.5</v>
      </c>
    </row>
    <row r="381" spans="2:12" x14ac:dyDescent="0.25">
      <c r="B381" s="2" t="s">
        <v>101</v>
      </c>
      <c r="C381" t="s">
        <v>21</v>
      </c>
      <c r="D381" t="s">
        <v>44</v>
      </c>
      <c r="E381" t="s">
        <v>68</v>
      </c>
      <c r="F381" t="s">
        <v>57</v>
      </c>
      <c r="G381">
        <v>2.0249999999999999</v>
      </c>
      <c r="H381" t="s">
        <v>58</v>
      </c>
      <c r="I381">
        <v>202.5</v>
      </c>
      <c r="J381" t="s">
        <v>65</v>
      </c>
      <c r="L381">
        <f t="shared" si="7"/>
        <v>2.0249999999999999</v>
      </c>
    </row>
    <row r="382" spans="2:12" x14ac:dyDescent="0.25">
      <c r="B382" s="2" t="s">
        <v>102</v>
      </c>
      <c r="C382" t="s">
        <v>6</v>
      </c>
      <c r="D382" t="s">
        <v>29</v>
      </c>
      <c r="E382" t="s">
        <v>56</v>
      </c>
      <c r="F382">
        <v>44.999999999999993</v>
      </c>
      <c r="G382" t="s">
        <v>57</v>
      </c>
      <c r="H382" t="s">
        <v>58</v>
      </c>
      <c r="I382">
        <v>1349.9999999999998</v>
      </c>
      <c r="J382" t="s">
        <v>59</v>
      </c>
      <c r="L382">
        <f t="shared" si="7"/>
        <v>44.999999999999993</v>
      </c>
    </row>
    <row r="383" spans="2:12" x14ac:dyDescent="0.25">
      <c r="B383" s="2" t="s">
        <v>102</v>
      </c>
      <c r="C383" t="s">
        <v>7</v>
      </c>
      <c r="D383" t="s">
        <v>30</v>
      </c>
      <c r="E383" t="s">
        <v>60</v>
      </c>
      <c r="F383" t="s">
        <v>57</v>
      </c>
      <c r="G383">
        <v>112.5</v>
      </c>
      <c r="H383" t="s">
        <v>58</v>
      </c>
      <c r="I383">
        <v>11250</v>
      </c>
      <c r="J383" t="s">
        <v>59</v>
      </c>
      <c r="L383">
        <f t="shared" si="7"/>
        <v>112.5</v>
      </c>
    </row>
    <row r="384" spans="2:12" x14ac:dyDescent="0.25">
      <c r="B384" s="2" t="s">
        <v>102</v>
      </c>
      <c r="C384" t="s">
        <v>8</v>
      </c>
      <c r="D384" t="s">
        <v>31</v>
      </c>
      <c r="E384" t="s">
        <v>61</v>
      </c>
      <c r="F384">
        <v>2.25</v>
      </c>
      <c r="G384" t="s">
        <v>57</v>
      </c>
      <c r="H384" t="s">
        <v>58</v>
      </c>
      <c r="I384">
        <v>225</v>
      </c>
      <c r="J384" t="s">
        <v>62</v>
      </c>
      <c r="L384">
        <f t="shared" si="7"/>
        <v>2.25</v>
      </c>
    </row>
    <row r="385" spans="2:12" x14ac:dyDescent="0.25">
      <c r="B385" s="2" t="s">
        <v>102</v>
      </c>
      <c r="C385" t="s">
        <v>9</v>
      </c>
      <c r="D385" t="s">
        <v>32</v>
      </c>
      <c r="E385" t="s">
        <v>61</v>
      </c>
      <c r="F385">
        <v>2.4299999999999997</v>
      </c>
      <c r="G385" t="s">
        <v>57</v>
      </c>
      <c r="H385" t="s">
        <v>58</v>
      </c>
      <c r="I385">
        <v>242.99999999999997</v>
      </c>
      <c r="J385" t="s">
        <v>62</v>
      </c>
      <c r="L385">
        <f t="shared" si="7"/>
        <v>2.4299999999999997</v>
      </c>
    </row>
    <row r="386" spans="2:12" x14ac:dyDescent="0.25">
      <c r="B386" s="2" t="s">
        <v>102</v>
      </c>
      <c r="C386" t="s">
        <v>11</v>
      </c>
      <c r="D386" t="s">
        <v>34</v>
      </c>
      <c r="E386" t="s">
        <v>63</v>
      </c>
      <c r="F386" t="s">
        <v>57</v>
      </c>
      <c r="G386">
        <v>81</v>
      </c>
      <c r="H386" t="s">
        <v>58</v>
      </c>
      <c r="I386">
        <v>20250</v>
      </c>
      <c r="J386" t="s">
        <v>59</v>
      </c>
      <c r="L386">
        <f t="shared" si="7"/>
        <v>81</v>
      </c>
    </row>
    <row r="387" spans="2:12" x14ac:dyDescent="0.25">
      <c r="B387" s="2" t="s">
        <v>102</v>
      </c>
      <c r="C387" t="s">
        <v>11</v>
      </c>
      <c r="D387" t="s">
        <v>34</v>
      </c>
      <c r="E387" t="s">
        <v>63</v>
      </c>
      <c r="F387" t="s">
        <v>57</v>
      </c>
      <c r="G387">
        <v>2.7</v>
      </c>
      <c r="H387" t="s">
        <v>58</v>
      </c>
      <c r="I387">
        <v>675</v>
      </c>
      <c r="J387" t="s">
        <v>59</v>
      </c>
      <c r="L387">
        <f t="shared" si="7"/>
        <v>2.7</v>
      </c>
    </row>
    <row r="388" spans="2:12" x14ac:dyDescent="0.25">
      <c r="B388" s="2" t="s">
        <v>102</v>
      </c>
      <c r="C388" t="s">
        <v>11</v>
      </c>
      <c r="D388" t="s">
        <v>34</v>
      </c>
      <c r="E388" t="s">
        <v>63</v>
      </c>
      <c r="F388" t="s">
        <v>57</v>
      </c>
      <c r="G388">
        <v>1.8</v>
      </c>
      <c r="H388" t="s">
        <v>58</v>
      </c>
      <c r="I388">
        <v>450</v>
      </c>
      <c r="J388" t="s">
        <v>59</v>
      </c>
      <c r="L388">
        <f t="shared" si="7"/>
        <v>1.8</v>
      </c>
    </row>
    <row r="389" spans="2:12" x14ac:dyDescent="0.25">
      <c r="B389" s="2" t="s">
        <v>102</v>
      </c>
      <c r="C389" t="s">
        <v>11</v>
      </c>
      <c r="D389" t="s">
        <v>34</v>
      </c>
      <c r="E389" t="s">
        <v>63</v>
      </c>
      <c r="F389" t="s">
        <v>57</v>
      </c>
      <c r="G389">
        <v>4.5</v>
      </c>
      <c r="H389" t="s">
        <v>58</v>
      </c>
      <c r="I389">
        <v>1125</v>
      </c>
      <c r="J389" t="s">
        <v>59</v>
      </c>
      <c r="L389">
        <f t="shared" ref="L389:L444" si="8">MAX(F389:G389)</f>
        <v>4.5</v>
      </c>
    </row>
    <row r="390" spans="2:12" x14ac:dyDescent="0.25">
      <c r="B390" s="2" t="s">
        <v>102</v>
      </c>
      <c r="C390" t="s">
        <v>14</v>
      </c>
      <c r="D390" t="s">
        <v>37</v>
      </c>
      <c r="E390" t="s">
        <v>66</v>
      </c>
      <c r="F390" t="s">
        <v>57</v>
      </c>
      <c r="G390">
        <v>0.67500000000000004</v>
      </c>
      <c r="H390" t="s">
        <v>58</v>
      </c>
      <c r="I390">
        <v>675</v>
      </c>
      <c r="J390" t="s">
        <v>62</v>
      </c>
      <c r="L390">
        <f t="shared" si="8"/>
        <v>0.67500000000000004</v>
      </c>
    </row>
    <row r="391" spans="2:12" x14ac:dyDescent="0.25">
      <c r="B391" s="2" t="s">
        <v>102</v>
      </c>
      <c r="C391" t="s">
        <v>15</v>
      </c>
      <c r="D391" t="s">
        <v>38</v>
      </c>
      <c r="E391" t="s">
        <v>66</v>
      </c>
      <c r="F391" t="s">
        <v>57</v>
      </c>
      <c r="G391">
        <v>1.125</v>
      </c>
      <c r="H391" t="s">
        <v>58</v>
      </c>
      <c r="I391">
        <v>1125</v>
      </c>
      <c r="J391" t="s">
        <v>62</v>
      </c>
      <c r="L391">
        <f t="shared" si="8"/>
        <v>1.125</v>
      </c>
    </row>
    <row r="392" spans="2:12" x14ac:dyDescent="0.25">
      <c r="B392" s="2" t="s">
        <v>102</v>
      </c>
      <c r="C392" t="s">
        <v>16</v>
      </c>
      <c r="D392" t="s">
        <v>39</v>
      </c>
      <c r="E392" t="s">
        <v>66</v>
      </c>
      <c r="F392" t="s">
        <v>57</v>
      </c>
      <c r="G392">
        <v>0.1125</v>
      </c>
      <c r="H392" t="s">
        <v>58</v>
      </c>
      <c r="I392">
        <v>112.5</v>
      </c>
      <c r="J392" t="s">
        <v>62</v>
      </c>
      <c r="L392">
        <f t="shared" si="8"/>
        <v>0.1125</v>
      </c>
    </row>
    <row r="393" spans="2:12" x14ac:dyDescent="0.25">
      <c r="B393" s="2" t="s">
        <v>102</v>
      </c>
      <c r="C393" t="s">
        <v>18</v>
      </c>
      <c r="D393" t="s">
        <v>41</v>
      </c>
      <c r="E393" t="s">
        <v>67</v>
      </c>
      <c r="F393" t="s">
        <v>57</v>
      </c>
      <c r="G393">
        <v>9</v>
      </c>
      <c r="H393" t="s">
        <v>58</v>
      </c>
      <c r="I393">
        <v>90</v>
      </c>
      <c r="J393" t="s">
        <v>65</v>
      </c>
      <c r="L393">
        <f t="shared" si="8"/>
        <v>9</v>
      </c>
    </row>
    <row r="394" spans="2:12" x14ac:dyDescent="0.25">
      <c r="B394" s="2" t="s">
        <v>102</v>
      </c>
      <c r="C394" t="s">
        <v>19</v>
      </c>
      <c r="D394" t="s">
        <v>42</v>
      </c>
      <c r="E394" t="s">
        <v>64</v>
      </c>
      <c r="F394" t="s">
        <v>57</v>
      </c>
      <c r="G394">
        <v>337.5</v>
      </c>
      <c r="H394" t="s">
        <v>58</v>
      </c>
      <c r="I394">
        <v>337.5</v>
      </c>
      <c r="J394" t="s">
        <v>65</v>
      </c>
      <c r="L394">
        <f t="shared" si="8"/>
        <v>337.5</v>
      </c>
    </row>
    <row r="395" spans="2:12" x14ac:dyDescent="0.25">
      <c r="B395" s="2" t="s">
        <v>102</v>
      </c>
      <c r="C395" t="s">
        <v>19</v>
      </c>
      <c r="D395" t="s">
        <v>42</v>
      </c>
      <c r="E395" t="s">
        <v>64</v>
      </c>
      <c r="F395" t="s">
        <v>57</v>
      </c>
      <c r="G395">
        <v>337.5</v>
      </c>
      <c r="H395" t="s">
        <v>58</v>
      </c>
      <c r="I395">
        <v>337.5</v>
      </c>
      <c r="J395" t="s">
        <v>65</v>
      </c>
      <c r="L395">
        <f t="shared" si="8"/>
        <v>337.5</v>
      </c>
    </row>
    <row r="396" spans="2:12" x14ac:dyDescent="0.25">
      <c r="B396" s="2" t="s">
        <v>102</v>
      </c>
      <c r="C396" t="s">
        <v>20</v>
      </c>
      <c r="D396" t="s">
        <v>43</v>
      </c>
      <c r="E396" t="s">
        <v>66</v>
      </c>
      <c r="F396" t="s">
        <v>57</v>
      </c>
      <c r="G396">
        <v>4.05</v>
      </c>
      <c r="H396" t="s">
        <v>58</v>
      </c>
      <c r="I396">
        <v>4050</v>
      </c>
      <c r="J396" t="s">
        <v>62</v>
      </c>
      <c r="L396">
        <f t="shared" si="8"/>
        <v>4.05</v>
      </c>
    </row>
    <row r="397" spans="2:12" x14ac:dyDescent="0.25">
      <c r="B397" s="2" t="s">
        <v>102</v>
      </c>
      <c r="C397" t="s">
        <v>21</v>
      </c>
      <c r="D397" t="s">
        <v>44</v>
      </c>
      <c r="E397" t="s">
        <v>68</v>
      </c>
      <c r="F397" t="s">
        <v>57</v>
      </c>
      <c r="G397">
        <v>1.8</v>
      </c>
      <c r="H397" t="s">
        <v>58</v>
      </c>
      <c r="I397">
        <v>180</v>
      </c>
      <c r="J397" t="s">
        <v>65</v>
      </c>
      <c r="L397">
        <f t="shared" si="8"/>
        <v>1.8</v>
      </c>
    </row>
    <row r="398" spans="2:12" x14ac:dyDescent="0.25">
      <c r="B398" s="2"/>
    </row>
    <row r="399" spans="2:12" x14ac:dyDescent="0.25">
      <c r="B399" s="2"/>
    </row>
    <row r="400" spans="2:12" x14ac:dyDescent="0.25">
      <c r="B400" s="2" t="s">
        <v>84</v>
      </c>
      <c r="C400" t="s">
        <v>22</v>
      </c>
      <c r="D400" t="s">
        <v>45</v>
      </c>
      <c r="E400" t="s">
        <v>64</v>
      </c>
      <c r="F400">
        <v>2.25</v>
      </c>
      <c r="G400" t="s">
        <v>57</v>
      </c>
      <c r="H400" t="s">
        <v>58</v>
      </c>
      <c r="I400">
        <v>4.5</v>
      </c>
      <c r="J400" t="s">
        <v>65</v>
      </c>
      <c r="L400">
        <f t="shared" si="8"/>
        <v>2.25</v>
      </c>
    </row>
    <row r="401" spans="2:12" x14ac:dyDescent="0.25">
      <c r="B401" s="2" t="s">
        <v>84</v>
      </c>
      <c r="C401" t="s">
        <v>23</v>
      </c>
      <c r="D401" t="s">
        <v>46</v>
      </c>
      <c r="E401" t="s">
        <v>69</v>
      </c>
      <c r="F401" t="s">
        <v>57</v>
      </c>
      <c r="G401">
        <v>2.9999999999999995E-2</v>
      </c>
      <c r="H401" t="s">
        <v>58</v>
      </c>
      <c r="I401">
        <v>13.499999999999998</v>
      </c>
      <c r="J401" t="s">
        <v>70</v>
      </c>
      <c r="L401">
        <f t="shared" si="8"/>
        <v>2.9999999999999995E-2</v>
      </c>
    </row>
    <row r="402" spans="2:12" x14ac:dyDescent="0.25">
      <c r="B402" s="2" t="s">
        <v>85</v>
      </c>
      <c r="C402" t="s">
        <v>22</v>
      </c>
      <c r="D402" t="s">
        <v>45</v>
      </c>
      <c r="E402" t="s">
        <v>64</v>
      </c>
      <c r="F402">
        <v>2.25</v>
      </c>
      <c r="G402" t="s">
        <v>57</v>
      </c>
      <c r="H402" t="s">
        <v>58</v>
      </c>
      <c r="I402">
        <v>4.5</v>
      </c>
      <c r="J402" t="s">
        <v>65</v>
      </c>
      <c r="L402">
        <f t="shared" si="8"/>
        <v>2.25</v>
      </c>
    </row>
    <row r="403" spans="2:12" x14ac:dyDescent="0.25">
      <c r="B403" s="2" t="s">
        <v>85</v>
      </c>
      <c r="C403" t="s">
        <v>23</v>
      </c>
      <c r="D403" t="s">
        <v>46</v>
      </c>
      <c r="E403" t="s">
        <v>69</v>
      </c>
      <c r="F403" t="s">
        <v>57</v>
      </c>
      <c r="G403">
        <v>2.9999999999999995E-2</v>
      </c>
      <c r="H403" t="s">
        <v>58</v>
      </c>
      <c r="I403">
        <v>13.499999999999998</v>
      </c>
      <c r="J403" t="s">
        <v>70</v>
      </c>
      <c r="L403">
        <f t="shared" si="8"/>
        <v>2.9999999999999995E-2</v>
      </c>
    </row>
    <row r="404" spans="2:12" x14ac:dyDescent="0.25">
      <c r="B404" s="2" t="s">
        <v>86</v>
      </c>
      <c r="C404" t="s">
        <v>22</v>
      </c>
      <c r="D404" t="s">
        <v>45</v>
      </c>
      <c r="E404" t="s">
        <v>64</v>
      </c>
      <c r="F404">
        <v>2.25</v>
      </c>
      <c r="G404" t="s">
        <v>57</v>
      </c>
      <c r="H404" t="s">
        <v>58</v>
      </c>
      <c r="I404">
        <v>4.5</v>
      </c>
      <c r="J404" t="s">
        <v>65</v>
      </c>
      <c r="L404">
        <f t="shared" si="8"/>
        <v>2.25</v>
      </c>
    </row>
    <row r="405" spans="2:12" x14ac:dyDescent="0.25">
      <c r="B405" s="2" t="s">
        <v>86</v>
      </c>
      <c r="C405" t="s">
        <v>23</v>
      </c>
      <c r="D405" t="s">
        <v>46</v>
      </c>
      <c r="E405" t="s">
        <v>69</v>
      </c>
      <c r="F405" t="s">
        <v>57</v>
      </c>
      <c r="G405">
        <v>2.9999999999999995E-2</v>
      </c>
      <c r="H405" t="s">
        <v>58</v>
      </c>
      <c r="I405">
        <v>13.499999999999998</v>
      </c>
      <c r="J405" t="s">
        <v>70</v>
      </c>
      <c r="L405">
        <f t="shared" si="8"/>
        <v>2.9999999999999995E-2</v>
      </c>
    </row>
    <row r="406" spans="2:12" x14ac:dyDescent="0.25">
      <c r="B406" s="2" t="s">
        <v>87</v>
      </c>
      <c r="C406" t="s">
        <v>22</v>
      </c>
      <c r="D406" t="s">
        <v>45</v>
      </c>
      <c r="E406" t="s">
        <v>64</v>
      </c>
      <c r="F406">
        <v>2.25</v>
      </c>
      <c r="G406" t="s">
        <v>57</v>
      </c>
      <c r="H406" t="s">
        <v>58</v>
      </c>
      <c r="I406">
        <v>4.5</v>
      </c>
      <c r="J406" t="s">
        <v>65</v>
      </c>
      <c r="L406">
        <f t="shared" si="8"/>
        <v>2.25</v>
      </c>
    </row>
    <row r="407" spans="2:12" x14ac:dyDescent="0.25">
      <c r="B407" s="2" t="s">
        <v>87</v>
      </c>
      <c r="C407" t="s">
        <v>23</v>
      </c>
      <c r="D407" t="s">
        <v>46</v>
      </c>
      <c r="E407" t="s">
        <v>69</v>
      </c>
      <c r="F407" t="s">
        <v>57</v>
      </c>
      <c r="G407">
        <v>2.9999999999999995E-2</v>
      </c>
      <c r="H407" t="s">
        <v>58</v>
      </c>
      <c r="I407">
        <v>13.499999999999998</v>
      </c>
      <c r="J407" t="s">
        <v>70</v>
      </c>
      <c r="L407">
        <f t="shared" si="8"/>
        <v>2.9999999999999995E-2</v>
      </c>
    </row>
    <row r="408" spans="2:12" x14ac:dyDescent="0.25">
      <c r="B408" s="2" t="s">
        <v>88</v>
      </c>
      <c r="C408" t="s">
        <v>22</v>
      </c>
      <c r="D408" t="s">
        <v>45</v>
      </c>
      <c r="E408" t="s">
        <v>64</v>
      </c>
      <c r="F408">
        <v>2.25</v>
      </c>
      <c r="G408" t="s">
        <v>57</v>
      </c>
      <c r="H408" t="s">
        <v>58</v>
      </c>
      <c r="I408">
        <v>4.5</v>
      </c>
      <c r="J408" t="s">
        <v>65</v>
      </c>
      <c r="L408">
        <f t="shared" si="8"/>
        <v>2.25</v>
      </c>
    </row>
    <row r="409" spans="2:12" x14ac:dyDescent="0.25">
      <c r="B409" s="2" t="s">
        <v>88</v>
      </c>
      <c r="C409" t="s">
        <v>23</v>
      </c>
      <c r="D409" t="s">
        <v>46</v>
      </c>
      <c r="E409" t="s">
        <v>69</v>
      </c>
      <c r="F409" t="s">
        <v>57</v>
      </c>
      <c r="G409">
        <v>2.9999999999999995E-2</v>
      </c>
      <c r="H409" t="s">
        <v>58</v>
      </c>
      <c r="I409">
        <v>13.499999999999998</v>
      </c>
      <c r="J409" t="s">
        <v>70</v>
      </c>
      <c r="L409">
        <f t="shared" si="8"/>
        <v>2.9999999999999995E-2</v>
      </c>
    </row>
    <row r="410" spans="2:12" x14ac:dyDescent="0.25">
      <c r="B410" s="2" t="s">
        <v>89</v>
      </c>
      <c r="C410" t="s">
        <v>22</v>
      </c>
      <c r="D410" t="s">
        <v>45</v>
      </c>
      <c r="E410" t="s">
        <v>64</v>
      </c>
      <c r="F410">
        <v>2.25</v>
      </c>
      <c r="G410" t="s">
        <v>57</v>
      </c>
      <c r="H410" t="s">
        <v>58</v>
      </c>
      <c r="I410">
        <v>4.5</v>
      </c>
      <c r="J410" t="s">
        <v>65</v>
      </c>
      <c r="L410">
        <f t="shared" si="8"/>
        <v>2.25</v>
      </c>
    </row>
    <row r="411" spans="2:12" x14ac:dyDescent="0.25">
      <c r="B411" s="2" t="s">
        <v>89</v>
      </c>
      <c r="C411" t="s">
        <v>23</v>
      </c>
      <c r="D411" t="s">
        <v>46</v>
      </c>
      <c r="E411" t="s">
        <v>69</v>
      </c>
      <c r="F411" t="s">
        <v>57</v>
      </c>
      <c r="G411">
        <v>2.9999999999999995E-2</v>
      </c>
      <c r="H411" t="s">
        <v>58</v>
      </c>
      <c r="I411">
        <v>13.499999999999998</v>
      </c>
      <c r="J411" t="s">
        <v>70</v>
      </c>
      <c r="L411">
        <f t="shared" si="8"/>
        <v>2.9999999999999995E-2</v>
      </c>
    </row>
    <row r="412" spans="2:12" x14ac:dyDescent="0.25">
      <c r="B412" s="2" t="s">
        <v>90</v>
      </c>
      <c r="C412" t="s">
        <v>22</v>
      </c>
      <c r="D412" t="s">
        <v>45</v>
      </c>
      <c r="E412" t="s">
        <v>64</v>
      </c>
      <c r="F412">
        <v>2.25</v>
      </c>
      <c r="G412" t="s">
        <v>57</v>
      </c>
      <c r="H412" t="s">
        <v>58</v>
      </c>
      <c r="I412">
        <v>4.5</v>
      </c>
      <c r="J412" t="s">
        <v>65</v>
      </c>
      <c r="L412">
        <f t="shared" si="8"/>
        <v>2.25</v>
      </c>
    </row>
    <row r="413" spans="2:12" x14ac:dyDescent="0.25">
      <c r="B413" s="2" t="s">
        <v>90</v>
      </c>
      <c r="C413" t="s">
        <v>23</v>
      </c>
      <c r="D413" t="s">
        <v>46</v>
      </c>
      <c r="E413" t="s">
        <v>69</v>
      </c>
      <c r="F413" t="s">
        <v>57</v>
      </c>
      <c r="G413">
        <v>2.9999999999999995E-2</v>
      </c>
      <c r="H413" t="s">
        <v>58</v>
      </c>
      <c r="I413">
        <v>13.499999999999998</v>
      </c>
      <c r="J413" t="s">
        <v>70</v>
      </c>
      <c r="L413">
        <f t="shared" si="8"/>
        <v>2.9999999999999995E-2</v>
      </c>
    </row>
    <row r="414" spans="2:12" x14ac:dyDescent="0.25">
      <c r="B414" s="2" t="s">
        <v>91</v>
      </c>
      <c r="C414" t="s">
        <v>22</v>
      </c>
      <c r="D414" t="s">
        <v>45</v>
      </c>
      <c r="E414" t="s">
        <v>64</v>
      </c>
      <c r="F414">
        <v>2.25</v>
      </c>
      <c r="G414" t="s">
        <v>57</v>
      </c>
      <c r="H414" t="s">
        <v>58</v>
      </c>
      <c r="I414">
        <v>4.5</v>
      </c>
      <c r="J414" t="s">
        <v>65</v>
      </c>
      <c r="L414">
        <f t="shared" si="8"/>
        <v>2.25</v>
      </c>
    </row>
    <row r="415" spans="2:12" x14ac:dyDescent="0.25">
      <c r="B415" s="2" t="s">
        <v>91</v>
      </c>
      <c r="C415" t="s">
        <v>23</v>
      </c>
      <c r="D415" t="s">
        <v>46</v>
      </c>
      <c r="E415" t="s">
        <v>69</v>
      </c>
      <c r="F415" t="s">
        <v>57</v>
      </c>
      <c r="G415">
        <v>2.9999999999999995E-2</v>
      </c>
      <c r="H415" t="s">
        <v>58</v>
      </c>
      <c r="I415">
        <v>13.499999999999998</v>
      </c>
      <c r="J415" t="s">
        <v>70</v>
      </c>
      <c r="L415">
        <f t="shared" si="8"/>
        <v>2.9999999999999995E-2</v>
      </c>
    </row>
    <row r="416" spans="2:12" x14ac:dyDescent="0.25">
      <c r="B416" s="2" t="s">
        <v>92</v>
      </c>
      <c r="C416" t="s">
        <v>22</v>
      </c>
      <c r="D416" t="s">
        <v>45</v>
      </c>
      <c r="E416" t="s">
        <v>64</v>
      </c>
      <c r="F416">
        <v>2.25</v>
      </c>
      <c r="G416" t="s">
        <v>57</v>
      </c>
      <c r="H416" t="s">
        <v>58</v>
      </c>
      <c r="I416">
        <v>4.5</v>
      </c>
      <c r="J416" t="s">
        <v>65</v>
      </c>
      <c r="L416">
        <f t="shared" si="8"/>
        <v>2.25</v>
      </c>
    </row>
    <row r="417" spans="2:12" x14ac:dyDescent="0.25">
      <c r="B417" s="2" t="s">
        <v>92</v>
      </c>
      <c r="C417" t="s">
        <v>23</v>
      </c>
      <c r="D417" t="s">
        <v>46</v>
      </c>
      <c r="E417" t="s">
        <v>69</v>
      </c>
      <c r="F417" t="s">
        <v>57</v>
      </c>
      <c r="G417">
        <v>2.9999999999999995E-2</v>
      </c>
      <c r="H417" t="s">
        <v>58</v>
      </c>
      <c r="I417">
        <v>13.499999999999998</v>
      </c>
      <c r="J417" t="s">
        <v>70</v>
      </c>
      <c r="L417">
        <f t="shared" si="8"/>
        <v>2.9999999999999995E-2</v>
      </c>
    </row>
    <row r="418" spans="2:12" x14ac:dyDescent="0.25">
      <c r="B418" s="2" t="s">
        <v>93</v>
      </c>
      <c r="C418" t="s">
        <v>22</v>
      </c>
      <c r="D418" t="s">
        <v>45</v>
      </c>
      <c r="E418" t="s">
        <v>64</v>
      </c>
      <c r="F418">
        <v>2.25</v>
      </c>
      <c r="G418" t="s">
        <v>57</v>
      </c>
      <c r="H418" t="s">
        <v>58</v>
      </c>
      <c r="I418">
        <v>4.5</v>
      </c>
      <c r="J418" t="s">
        <v>65</v>
      </c>
      <c r="L418">
        <f t="shared" si="8"/>
        <v>2.25</v>
      </c>
    </row>
    <row r="419" spans="2:12" x14ac:dyDescent="0.25">
      <c r="B419" s="2" t="s">
        <v>93</v>
      </c>
      <c r="C419" t="s">
        <v>23</v>
      </c>
      <c r="D419" t="s">
        <v>46</v>
      </c>
      <c r="E419" t="s">
        <v>69</v>
      </c>
      <c r="F419" t="s">
        <v>57</v>
      </c>
      <c r="G419">
        <v>2.9999999999999995E-2</v>
      </c>
      <c r="H419" t="s">
        <v>58</v>
      </c>
      <c r="I419">
        <v>13.499999999999998</v>
      </c>
      <c r="J419" t="s">
        <v>70</v>
      </c>
      <c r="L419">
        <f t="shared" si="8"/>
        <v>2.9999999999999995E-2</v>
      </c>
    </row>
    <row r="420" spans="2:12" x14ac:dyDescent="0.25">
      <c r="B420" s="2" t="s">
        <v>94</v>
      </c>
      <c r="C420" t="s">
        <v>22</v>
      </c>
      <c r="D420" t="s">
        <v>45</v>
      </c>
      <c r="E420" t="s">
        <v>64</v>
      </c>
      <c r="F420">
        <v>2.25</v>
      </c>
      <c r="G420" t="s">
        <v>57</v>
      </c>
      <c r="H420" t="s">
        <v>58</v>
      </c>
      <c r="I420">
        <v>4.5</v>
      </c>
      <c r="J420" t="s">
        <v>65</v>
      </c>
      <c r="L420">
        <f t="shared" si="8"/>
        <v>2.25</v>
      </c>
    </row>
    <row r="421" spans="2:12" x14ac:dyDescent="0.25">
      <c r="B421" s="2" t="s">
        <v>94</v>
      </c>
      <c r="C421" t="s">
        <v>23</v>
      </c>
      <c r="D421" t="s">
        <v>46</v>
      </c>
      <c r="E421" t="s">
        <v>69</v>
      </c>
      <c r="F421" t="s">
        <v>57</v>
      </c>
      <c r="G421">
        <v>2.9999999999999995E-2</v>
      </c>
      <c r="H421" t="s">
        <v>58</v>
      </c>
      <c r="I421">
        <v>13.499999999999998</v>
      </c>
      <c r="J421" t="s">
        <v>70</v>
      </c>
      <c r="L421">
        <f t="shared" si="8"/>
        <v>2.9999999999999995E-2</v>
      </c>
    </row>
    <row r="422" spans="2:12" x14ac:dyDescent="0.25">
      <c r="B422" s="2" t="s">
        <v>95</v>
      </c>
      <c r="C422" t="s">
        <v>22</v>
      </c>
      <c r="D422" t="s">
        <v>45</v>
      </c>
      <c r="E422" t="s">
        <v>64</v>
      </c>
      <c r="F422">
        <v>2.25</v>
      </c>
      <c r="G422" t="s">
        <v>57</v>
      </c>
      <c r="H422" t="s">
        <v>58</v>
      </c>
      <c r="I422">
        <v>4.5</v>
      </c>
      <c r="J422" t="s">
        <v>65</v>
      </c>
      <c r="L422">
        <f t="shared" si="8"/>
        <v>2.25</v>
      </c>
    </row>
    <row r="423" spans="2:12" x14ac:dyDescent="0.25">
      <c r="B423" s="2" t="s">
        <v>95</v>
      </c>
      <c r="C423" t="s">
        <v>23</v>
      </c>
      <c r="D423" t="s">
        <v>46</v>
      </c>
      <c r="E423" t="s">
        <v>69</v>
      </c>
      <c r="F423" t="s">
        <v>57</v>
      </c>
      <c r="G423">
        <v>2.9999999999999995E-2</v>
      </c>
      <c r="H423" t="s">
        <v>58</v>
      </c>
      <c r="I423">
        <v>13.499999999999998</v>
      </c>
      <c r="J423" t="s">
        <v>70</v>
      </c>
      <c r="L423">
        <f t="shared" si="8"/>
        <v>2.9999999999999995E-2</v>
      </c>
    </row>
    <row r="424" spans="2:12" x14ac:dyDescent="0.25">
      <c r="B424" s="2" t="s">
        <v>96</v>
      </c>
      <c r="C424" t="s">
        <v>22</v>
      </c>
      <c r="D424" t="s">
        <v>45</v>
      </c>
      <c r="E424" t="s">
        <v>64</v>
      </c>
      <c r="F424">
        <v>2.25</v>
      </c>
      <c r="G424" t="s">
        <v>57</v>
      </c>
      <c r="H424" t="s">
        <v>58</v>
      </c>
      <c r="I424">
        <v>4.5</v>
      </c>
      <c r="J424" t="s">
        <v>65</v>
      </c>
      <c r="L424">
        <f t="shared" si="8"/>
        <v>2.25</v>
      </c>
    </row>
    <row r="425" spans="2:12" x14ac:dyDescent="0.25">
      <c r="B425" s="2" t="s">
        <v>96</v>
      </c>
      <c r="C425" t="s">
        <v>23</v>
      </c>
      <c r="D425" t="s">
        <v>46</v>
      </c>
      <c r="E425" t="s">
        <v>69</v>
      </c>
      <c r="F425" t="s">
        <v>57</v>
      </c>
      <c r="G425">
        <v>2.9999999999999995E-2</v>
      </c>
      <c r="H425" t="s">
        <v>58</v>
      </c>
      <c r="I425">
        <v>13.499999999999998</v>
      </c>
      <c r="J425" t="s">
        <v>70</v>
      </c>
      <c r="L425">
        <f t="shared" si="8"/>
        <v>2.9999999999999995E-2</v>
      </c>
    </row>
    <row r="426" spans="2:12" x14ac:dyDescent="0.25">
      <c r="B426" s="2" t="s">
        <v>97</v>
      </c>
      <c r="C426" t="s">
        <v>22</v>
      </c>
      <c r="D426" t="s">
        <v>45</v>
      </c>
      <c r="E426" t="s">
        <v>64</v>
      </c>
      <c r="F426">
        <v>2.25</v>
      </c>
      <c r="G426" t="s">
        <v>57</v>
      </c>
      <c r="H426" t="s">
        <v>58</v>
      </c>
      <c r="I426">
        <v>4.5</v>
      </c>
      <c r="J426" t="s">
        <v>65</v>
      </c>
      <c r="L426">
        <f t="shared" si="8"/>
        <v>2.25</v>
      </c>
    </row>
    <row r="427" spans="2:12" x14ac:dyDescent="0.25">
      <c r="B427" s="2" t="s">
        <v>97</v>
      </c>
      <c r="C427" t="s">
        <v>23</v>
      </c>
      <c r="D427" t="s">
        <v>46</v>
      </c>
      <c r="E427" t="s">
        <v>69</v>
      </c>
      <c r="F427" t="s">
        <v>57</v>
      </c>
      <c r="G427">
        <v>2.9999999999999995E-2</v>
      </c>
      <c r="H427" t="s">
        <v>58</v>
      </c>
      <c r="I427">
        <v>13.499999999999998</v>
      </c>
      <c r="J427" t="s">
        <v>70</v>
      </c>
      <c r="L427">
        <f t="shared" si="8"/>
        <v>2.9999999999999995E-2</v>
      </c>
    </row>
    <row r="428" spans="2:12" x14ac:dyDescent="0.25">
      <c r="B428" s="2" t="s">
        <v>98</v>
      </c>
      <c r="C428" t="s">
        <v>22</v>
      </c>
      <c r="D428" t="s">
        <v>45</v>
      </c>
      <c r="E428" t="s">
        <v>64</v>
      </c>
      <c r="F428">
        <v>2.25</v>
      </c>
      <c r="G428" t="s">
        <v>57</v>
      </c>
      <c r="H428" t="s">
        <v>58</v>
      </c>
      <c r="I428">
        <v>4.5</v>
      </c>
      <c r="J428" t="s">
        <v>65</v>
      </c>
      <c r="L428">
        <f t="shared" si="8"/>
        <v>2.25</v>
      </c>
    </row>
    <row r="429" spans="2:12" x14ac:dyDescent="0.25">
      <c r="B429" s="2" t="s">
        <v>98</v>
      </c>
      <c r="C429" t="s">
        <v>23</v>
      </c>
      <c r="D429" t="s">
        <v>46</v>
      </c>
      <c r="E429" t="s">
        <v>69</v>
      </c>
      <c r="F429" t="s">
        <v>57</v>
      </c>
      <c r="G429">
        <v>2.9999999999999995E-2</v>
      </c>
      <c r="H429" t="s">
        <v>58</v>
      </c>
      <c r="I429">
        <v>13.499999999999998</v>
      </c>
      <c r="J429" t="s">
        <v>70</v>
      </c>
      <c r="L429">
        <f t="shared" si="8"/>
        <v>2.9999999999999995E-2</v>
      </c>
    </row>
    <row r="430" spans="2:12" x14ac:dyDescent="0.25">
      <c r="B430" s="2" t="s">
        <v>99</v>
      </c>
      <c r="C430" t="s">
        <v>22</v>
      </c>
      <c r="D430" t="s">
        <v>45</v>
      </c>
      <c r="E430" t="s">
        <v>64</v>
      </c>
      <c r="F430">
        <v>2.25</v>
      </c>
      <c r="G430" t="s">
        <v>57</v>
      </c>
      <c r="H430" t="s">
        <v>58</v>
      </c>
      <c r="I430">
        <v>4.5</v>
      </c>
      <c r="J430" t="s">
        <v>65</v>
      </c>
      <c r="L430">
        <f t="shared" si="8"/>
        <v>2.25</v>
      </c>
    </row>
    <row r="431" spans="2:12" x14ac:dyDescent="0.25">
      <c r="B431" s="2" t="s">
        <v>99</v>
      </c>
      <c r="C431" t="s">
        <v>23</v>
      </c>
      <c r="D431" t="s">
        <v>46</v>
      </c>
      <c r="E431" t="s">
        <v>69</v>
      </c>
      <c r="F431" t="s">
        <v>57</v>
      </c>
      <c r="G431">
        <v>2.9999999999999995E-2</v>
      </c>
      <c r="H431" t="s">
        <v>58</v>
      </c>
      <c r="I431">
        <v>13.499999999999998</v>
      </c>
      <c r="J431" t="s">
        <v>70</v>
      </c>
      <c r="L431">
        <f t="shared" si="8"/>
        <v>2.9999999999999995E-2</v>
      </c>
    </row>
    <row r="432" spans="2:12" x14ac:dyDescent="0.25">
      <c r="B432" s="2" t="s">
        <v>100</v>
      </c>
      <c r="C432" t="s">
        <v>22</v>
      </c>
      <c r="D432" t="s">
        <v>45</v>
      </c>
      <c r="E432" t="s">
        <v>64</v>
      </c>
      <c r="F432">
        <v>2.25</v>
      </c>
      <c r="G432" t="s">
        <v>57</v>
      </c>
      <c r="H432" t="s">
        <v>58</v>
      </c>
      <c r="I432">
        <v>4.5</v>
      </c>
      <c r="J432" t="s">
        <v>65</v>
      </c>
      <c r="L432">
        <f t="shared" si="8"/>
        <v>2.25</v>
      </c>
    </row>
    <row r="433" spans="2:12" x14ac:dyDescent="0.25">
      <c r="B433" s="2" t="s">
        <v>100</v>
      </c>
      <c r="C433" t="s">
        <v>23</v>
      </c>
      <c r="D433" t="s">
        <v>46</v>
      </c>
      <c r="E433" t="s">
        <v>69</v>
      </c>
      <c r="F433" t="s">
        <v>57</v>
      </c>
      <c r="G433">
        <v>2.9999999999999995E-2</v>
      </c>
      <c r="H433" t="s">
        <v>58</v>
      </c>
      <c r="I433">
        <v>13.499999999999998</v>
      </c>
      <c r="J433" t="s">
        <v>70</v>
      </c>
      <c r="L433">
        <f t="shared" si="8"/>
        <v>2.9999999999999995E-2</v>
      </c>
    </row>
    <row r="434" spans="2:12" x14ac:dyDescent="0.25">
      <c r="B434" s="2" t="s">
        <v>101</v>
      </c>
      <c r="C434" t="s">
        <v>22</v>
      </c>
      <c r="D434" t="s">
        <v>45</v>
      </c>
      <c r="E434" t="s">
        <v>64</v>
      </c>
      <c r="F434">
        <v>2.25</v>
      </c>
      <c r="G434" t="s">
        <v>57</v>
      </c>
      <c r="H434" t="s">
        <v>58</v>
      </c>
      <c r="I434">
        <v>4.5</v>
      </c>
      <c r="J434" t="s">
        <v>65</v>
      </c>
      <c r="L434">
        <f t="shared" si="8"/>
        <v>2.25</v>
      </c>
    </row>
    <row r="435" spans="2:12" x14ac:dyDescent="0.25">
      <c r="B435" s="2" t="s">
        <v>101</v>
      </c>
      <c r="C435" t="s">
        <v>23</v>
      </c>
      <c r="D435" t="s">
        <v>46</v>
      </c>
      <c r="E435" t="s">
        <v>69</v>
      </c>
      <c r="F435" t="s">
        <v>57</v>
      </c>
      <c r="G435">
        <v>2.9999999999999995E-2</v>
      </c>
      <c r="H435" t="s">
        <v>58</v>
      </c>
      <c r="I435">
        <v>13.499999999999998</v>
      </c>
      <c r="J435" t="s">
        <v>70</v>
      </c>
      <c r="L435">
        <f t="shared" si="8"/>
        <v>2.9999999999999995E-2</v>
      </c>
    </row>
    <row r="436" spans="2:12" x14ac:dyDescent="0.25">
      <c r="B436" s="2" t="s">
        <v>102</v>
      </c>
      <c r="C436" t="s">
        <v>22</v>
      </c>
      <c r="D436" t="s">
        <v>45</v>
      </c>
      <c r="E436" t="s">
        <v>64</v>
      </c>
      <c r="F436">
        <v>2.25</v>
      </c>
      <c r="G436" t="s">
        <v>57</v>
      </c>
      <c r="H436" t="s">
        <v>58</v>
      </c>
      <c r="I436">
        <v>4.5</v>
      </c>
      <c r="J436" t="s">
        <v>65</v>
      </c>
      <c r="L436">
        <f t="shared" si="8"/>
        <v>2.25</v>
      </c>
    </row>
    <row r="437" spans="2:12" x14ac:dyDescent="0.25">
      <c r="B437" s="2" t="s">
        <v>102</v>
      </c>
      <c r="C437" t="s">
        <v>23</v>
      </c>
      <c r="D437" t="s">
        <v>46</v>
      </c>
      <c r="E437" t="s">
        <v>69</v>
      </c>
      <c r="F437" t="s">
        <v>57</v>
      </c>
      <c r="G437">
        <v>2.9999999999999995E-2</v>
      </c>
      <c r="H437" t="s">
        <v>58</v>
      </c>
      <c r="I437">
        <v>13.499999999999998</v>
      </c>
      <c r="J437" t="s">
        <v>70</v>
      </c>
      <c r="L437">
        <f t="shared" si="8"/>
        <v>2.9999999999999995E-2</v>
      </c>
    </row>
    <row r="438" spans="2:12" x14ac:dyDescent="0.25">
      <c r="B438" s="2"/>
    </row>
    <row r="439" spans="2:12" x14ac:dyDescent="0.25">
      <c r="B439" s="2"/>
    </row>
    <row r="440" spans="2:12" x14ac:dyDescent="0.25">
      <c r="B440" s="2" t="s">
        <v>103</v>
      </c>
      <c r="C440" t="s">
        <v>24</v>
      </c>
      <c r="D440" t="s">
        <v>47</v>
      </c>
      <c r="E440" t="s">
        <v>64</v>
      </c>
      <c r="F440" t="s">
        <v>57</v>
      </c>
      <c r="G440">
        <v>13.590000000000003</v>
      </c>
      <c r="H440" t="s">
        <v>58</v>
      </c>
      <c r="I440">
        <v>13.590000000000003</v>
      </c>
      <c r="J440" t="s">
        <v>65</v>
      </c>
      <c r="L440">
        <f t="shared" si="8"/>
        <v>13.590000000000003</v>
      </c>
    </row>
    <row r="441" spans="2:12" x14ac:dyDescent="0.25">
      <c r="B441" s="2" t="s">
        <v>103</v>
      </c>
      <c r="C441" t="s">
        <v>25</v>
      </c>
      <c r="D441" t="s">
        <v>48</v>
      </c>
      <c r="E441" t="s">
        <v>71</v>
      </c>
      <c r="F441" t="s">
        <v>57</v>
      </c>
      <c r="G441">
        <v>15.390000000000006</v>
      </c>
      <c r="H441" t="s">
        <v>58</v>
      </c>
      <c r="I441">
        <v>1154.25</v>
      </c>
      <c r="J441" t="s">
        <v>72</v>
      </c>
      <c r="L441">
        <f t="shared" si="8"/>
        <v>15.390000000000006</v>
      </c>
    </row>
    <row r="442" spans="2:12" x14ac:dyDescent="0.25">
      <c r="B442" s="2" t="s">
        <v>103</v>
      </c>
      <c r="C442" t="s">
        <v>26</v>
      </c>
      <c r="D442" t="s">
        <v>49</v>
      </c>
      <c r="E442" t="s">
        <v>71</v>
      </c>
      <c r="F442" t="s">
        <v>57</v>
      </c>
      <c r="G442">
        <v>15.390000000000006</v>
      </c>
      <c r="H442" t="s">
        <v>58</v>
      </c>
      <c r="I442">
        <v>1154.25</v>
      </c>
      <c r="J442" t="s">
        <v>72</v>
      </c>
      <c r="L442">
        <f t="shared" si="8"/>
        <v>15.390000000000006</v>
      </c>
    </row>
    <row r="443" spans="2:12" x14ac:dyDescent="0.25">
      <c r="B443" s="2" t="s">
        <v>103</v>
      </c>
      <c r="C443" t="s">
        <v>27</v>
      </c>
      <c r="D443" t="s">
        <v>50</v>
      </c>
      <c r="E443" t="s">
        <v>73</v>
      </c>
      <c r="F443" t="s">
        <v>57</v>
      </c>
      <c r="G443">
        <v>70.874999999999986</v>
      </c>
      <c r="H443" t="s">
        <v>58</v>
      </c>
      <c r="I443">
        <v>283499.99999999994</v>
      </c>
      <c r="J443" t="s">
        <v>74</v>
      </c>
      <c r="L443">
        <f t="shared" si="8"/>
        <v>70.874999999999986</v>
      </c>
    </row>
    <row r="444" spans="2:12" x14ac:dyDescent="0.25">
      <c r="B444" s="2" t="s">
        <v>103</v>
      </c>
      <c r="C444" t="s">
        <v>28</v>
      </c>
      <c r="D444" t="s">
        <v>51</v>
      </c>
      <c r="E444" t="s">
        <v>64</v>
      </c>
      <c r="F444" t="s">
        <v>57</v>
      </c>
      <c r="G444">
        <v>16.200000000000003</v>
      </c>
      <c r="H444" t="s">
        <v>58</v>
      </c>
      <c r="I444">
        <v>16.200000000000003</v>
      </c>
      <c r="J444" t="s">
        <v>65</v>
      </c>
      <c r="L444">
        <f t="shared" si="8"/>
        <v>16.200000000000003</v>
      </c>
    </row>
  </sheetData>
  <mergeCells count="5">
    <mergeCell ref="Q2:U2"/>
    <mergeCell ref="C2:J2"/>
    <mergeCell ref="V2:AO2"/>
    <mergeCell ref="Q32:U32"/>
    <mergeCell ref="V32:AO32"/>
  </mergeCells>
  <conditionalFormatting sqref="V35:AM35">
    <cfRule type="cellIs" dxfId="36" priority="19" operator="equal">
      <formula>$V$35</formula>
    </cfRule>
  </conditionalFormatting>
  <conditionalFormatting sqref="V36:AM36">
    <cfRule type="cellIs" dxfId="35" priority="18" operator="equal">
      <formula>$V$36</formula>
    </cfRule>
  </conditionalFormatting>
  <conditionalFormatting sqref="V37:AM37">
    <cfRule type="cellIs" dxfId="34" priority="17" operator="equal">
      <formula>$V$37</formula>
    </cfRule>
  </conditionalFormatting>
  <conditionalFormatting sqref="V38:AM38">
    <cfRule type="cellIs" dxfId="33" priority="16" operator="equal">
      <formula>$V$38</formula>
    </cfRule>
  </conditionalFormatting>
  <conditionalFormatting sqref="V40:AM40">
    <cfRule type="cellIs" dxfId="32" priority="14" operator="equal">
      <formula>$V$40</formula>
    </cfRule>
  </conditionalFormatting>
  <conditionalFormatting sqref="V41:AM41">
    <cfRule type="cellIs" dxfId="31" priority="13" operator="equal">
      <formula>$V$41</formula>
    </cfRule>
  </conditionalFormatting>
  <conditionalFormatting sqref="V45:AM45">
    <cfRule type="cellIs" dxfId="30" priority="9" operator="equal">
      <formula>$V$45</formula>
    </cfRule>
  </conditionalFormatting>
  <conditionalFormatting sqref="V4:AN4">
    <cfRule type="cellIs" dxfId="29" priority="46" operator="equal">
      <formula>$V$4</formula>
    </cfRule>
  </conditionalFormatting>
  <conditionalFormatting sqref="V5:AN5">
    <cfRule type="cellIs" dxfId="28" priority="45" operator="equal">
      <formula>$V$5</formula>
    </cfRule>
  </conditionalFormatting>
  <conditionalFormatting sqref="V6:AN6">
    <cfRule type="cellIs" dxfId="27" priority="44" operator="equal">
      <formula>$V$6</formula>
    </cfRule>
  </conditionalFormatting>
  <conditionalFormatting sqref="V7:AN7">
    <cfRule type="cellIs" dxfId="26" priority="41" operator="equal">
      <formula>$V$7</formula>
    </cfRule>
  </conditionalFormatting>
  <conditionalFormatting sqref="V8:AN8">
    <cfRule type="cellIs" dxfId="25" priority="40" operator="equal">
      <formula>$V$8</formula>
    </cfRule>
  </conditionalFormatting>
  <conditionalFormatting sqref="V9:AN9">
    <cfRule type="cellIs" dxfId="24" priority="39" operator="equal">
      <formula>$V$9</formula>
    </cfRule>
  </conditionalFormatting>
  <conditionalFormatting sqref="V10:AN10">
    <cfRule type="cellIs" dxfId="23" priority="38" operator="equal">
      <formula>$V$10</formula>
    </cfRule>
  </conditionalFormatting>
  <conditionalFormatting sqref="V11:AN11">
    <cfRule type="cellIs" dxfId="22" priority="37" operator="equal">
      <formula>$V$11</formula>
    </cfRule>
  </conditionalFormatting>
  <conditionalFormatting sqref="V12:AN12">
    <cfRule type="cellIs" dxfId="21" priority="36" operator="equal">
      <formula>$V$12</formula>
    </cfRule>
  </conditionalFormatting>
  <conditionalFormatting sqref="V13:AN13">
    <cfRule type="cellIs" dxfId="20" priority="35" operator="equal">
      <formula>$V$13</formula>
    </cfRule>
  </conditionalFormatting>
  <conditionalFormatting sqref="V14:AN14">
    <cfRule type="cellIs" dxfId="19" priority="30" operator="equal">
      <formula>$V$14</formula>
    </cfRule>
  </conditionalFormatting>
  <conditionalFormatting sqref="V15:AN15">
    <cfRule type="cellIs" dxfId="18" priority="29" operator="equal">
      <formula>$V$15</formula>
    </cfRule>
  </conditionalFormatting>
  <conditionalFormatting sqref="V16:AN16">
    <cfRule type="cellIs" dxfId="17" priority="28" operator="equal">
      <formula>$V$16</formula>
    </cfRule>
  </conditionalFormatting>
  <conditionalFormatting sqref="V17:AN17">
    <cfRule type="cellIs" dxfId="16" priority="27" operator="equal">
      <formula>$V$17</formula>
    </cfRule>
  </conditionalFormatting>
  <conditionalFormatting sqref="V18:AN18">
    <cfRule type="cellIs" dxfId="15" priority="26" operator="equal">
      <formula>$V$18</formula>
    </cfRule>
  </conditionalFormatting>
  <conditionalFormatting sqref="V19:AN19">
    <cfRule type="cellIs" dxfId="14" priority="24" operator="equal">
      <formula>$V$19</formula>
    </cfRule>
  </conditionalFormatting>
  <conditionalFormatting sqref="V21:AN21">
    <cfRule type="cellIs" dxfId="13" priority="23" operator="equal">
      <formula>$V$21</formula>
    </cfRule>
  </conditionalFormatting>
  <conditionalFormatting sqref="V22:AN22">
    <cfRule type="cellIs" dxfId="12" priority="22" operator="equal">
      <formula>$V$22</formula>
    </cfRule>
  </conditionalFormatting>
  <conditionalFormatting sqref="V34:AN34">
    <cfRule type="cellIs" dxfId="11" priority="20" operator="equal">
      <formula>$V$34</formula>
    </cfRule>
  </conditionalFormatting>
  <conditionalFormatting sqref="V39:AN39">
    <cfRule type="cellIs" dxfId="10" priority="15" operator="equal">
      <formula>$V$39</formula>
    </cfRule>
  </conditionalFormatting>
  <conditionalFormatting sqref="V42:AN42">
    <cfRule type="cellIs" dxfId="9" priority="12" operator="equal">
      <formula>$V$42</formula>
    </cfRule>
  </conditionalFormatting>
  <conditionalFormatting sqref="V43:AN43">
    <cfRule type="cellIs" dxfId="8" priority="11" operator="equal">
      <formula>$V$43</formula>
    </cfRule>
  </conditionalFormatting>
  <conditionalFormatting sqref="V44:AN44">
    <cfRule type="cellIs" dxfId="7" priority="10" operator="equal">
      <formula>$V$44</formula>
    </cfRule>
  </conditionalFormatting>
  <conditionalFormatting sqref="V46:AN46">
    <cfRule type="cellIs" dxfId="6" priority="8" operator="equal">
      <formula>$V$46</formula>
    </cfRule>
  </conditionalFormatting>
  <conditionalFormatting sqref="V47:AN47">
    <cfRule type="cellIs" dxfId="5" priority="6" operator="equal">
      <formula>$V$47</formula>
    </cfRule>
  </conditionalFormatting>
  <conditionalFormatting sqref="V48:AN48">
    <cfRule type="cellIs" dxfId="4" priority="5" operator="equal">
      <formula>$V$48</formula>
    </cfRule>
  </conditionalFormatting>
  <conditionalFormatting sqref="V49:AN49">
    <cfRule type="cellIs" dxfId="3" priority="3" operator="equal">
      <formula>$V$49</formula>
    </cfRule>
  </conditionalFormatting>
  <conditionalFormatting sqref="V51:AN51">
    <cfRule type="cellIs" dxfId="2" priority="2" operator="equal">
      <formula>$V$51</formula>
    </cfRule>
  </conditionalFormatting>
  <conditionalFormatting sqref="V52:AN52">
    <cfRule type="cellIs" dxfId="1" priority="1" operator="equal">
      <formula>$V$52</formula>
    </cfRule>
  </conditionalFormatting>
  <conditionalFormatting sqref="V34:AO46 AO47 V48:AO48 AO49 V50:AO57">
    <cfRule type="cellIs" dxfId="0" priority="21" operator="equal">
      <formula>$V$4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CMP_marginals</vt:lpstr>
      <vt:lpstr>CMP_marginals_original</vt:lpstr>
      <vt:lpstr>Filtered</vt:lpstr>
      <vt:lpstr>Raw quantities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Tanguay</dc:creator>
  <cp:lastModifiedBy>Xavier Tanguay</cp:lastModifiedBy>
  <dcterms:created xsi:type="dcterms:W3CDTF">2025-02-12T14:23:53Z</dcterms:created>
  <dcterms:modified xsi:type="dcterms:W3CDTF">2026-02-19T21:51:26Z</dcterms:modified>
</cp:coreProperties>
</file>