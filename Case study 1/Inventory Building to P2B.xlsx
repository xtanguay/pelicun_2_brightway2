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Doctorat\08 - Brightway2 - OpenSees - Pelicun\Publication\Files\Case study 1\"/>
    </mc:Choice>
  </mc:AlternateContent>
  <xr:revisionPtr revIDLastSave="0" documentId="13_ncr:1_{6F2499B6-747A-43D1-AB38-14812D00C421}" xr6:coauthVersionLast="47" xr6:coauthVersionMax="47" xr10:uidLastSave="{00000000-0000-0000-0000-000000000000}"/>
  <bookViews>
    <workbookView xWindow="-120" yWindow="-120" windowWidth="38640" windowHeight="21120" xr2:uid="{7C12F665-FA4E-4827-B9BC-E7A9096D27A4}"/>
  </bookViews>
  <sheets>
    <sheet name="Foreground" sheetId="2" r:id="rId1"/>
    <sheet name="Modified datasets"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55" i="2" l="1"/>
  <c r="K356" i="2"/>
  <c r="K354" i="2"/>
  <c r="K353" i="2"/>
  <c r="H460" i="2"/>
  <c r="I481" i="2"/>
  <c r="J481" i="2"/>
  <c r="H461" i="2"/>
  <c r="I482" i="2"/>
  <c r="J482" i="2"/>
  <c r="H462" i="2"/>
  <c r="I483" i="2"/>
  <c r="J483" i="2"/>
  <c r="H463" i="2"/>
  <c r="I484" i="2"/>
  <c r="J484" i="2"/>
  <c r="H464" i="2"/>
  <c r="I485" i="2"/>
  <c r="J485" i="2"/>
  <c r="H465" i="2"/>
  <c r="I486" i="2"/>
  <c r="J486" i="2"/>
  <c r="H466" i="2"/>
  <c r="I487" i="2"/>
  <c r="J487" i="2"/>
  <c r="H467" i="2"/>
  <c r="I488" i="2"/>
  <c r="J488" i="2"/>
  <c r="H468" i="2"/>
  <c r="I489" i="2"/>
  <c r="J489" i="2"/>
  <c r="H469" i="2"/>
  <c r="I490" i="2"/>
  <c r="J490" i="2"/>
  <c r="H470" i="2"/>
  <c r="I491" i="2"/>
  <c r="J491" i="2"/>
  <c r="H471" i="2"/>
  <c r="I492" i="2"/>
  <c r="J492" i="2"/>
  <c r="H472" i="2"/>
  <c r="I493" i="2"/>
  <c r="J493" i="2"/>
  <c r="H473" i="2"/>
  <c r="I494" i="2"/>
  <c r="J494" i="2"/>
  <c r="H474" i="2"/>
  <c r="I495" i="2"/>
  <c r="J495" i="2"/>
  <c r="H475" i="2"/>
  <c r="I496" i="2"/>
  <c r="J496" i="2"/>
  <c r="H476" i="2"/>
  <c r="I497" i="2"/>
  <c r="J497" i="2"/>
  <c r="H477" i="2"/>
  <c r="I498" i="2"/>
  <c r="J498" i="2"/>
  <c r="H478" i="2"/>
  <c r="I499" i="2"/>
  <c r="J499" i="2"/>
  <c r="L481" i="2"/>
  <c r="M481" i="2"/>
  <c r="N481" i="2"/>
  <c r="L482" i="2"/>
  <c r="M482" i="2"/>
  <c r="N482" i="2"/>
  <c r="L483" i="2"/>
  <c r="M483" i="2"/>
  <c r="N483" i="2"/>
  <c r="L484" i="2"/>
  <c r="M484" i="2"/>
  <c r="N484" i="2"/>
  <c r="L485" i="2"/>
  <c r="M485" i="2"/>
  <c r="N485" i="2"/>
  <c r="L486" i="2"/>
  <c r="M486" i="2"/>
  <c r="N486" i="2"/>
  <c r="L487" i="2"/>
  <c r="M487" i="2"/>
  <c r="N487" i="2"/>
  <c r="L488" i="2"/>
  <c r="M488" i="2"/>
  <c r="N488" i="2"/>
  <c r="L489" i="2"/>
  <c r="M489" i="2"/>
  <c r="N489" i="2"/>
  <c r="L490" i="2"/>
  <c r="M490" i="2"/>
  <c r="N490" i="2"/>
  <c r="L491" i="2"/>
  <c r="M491" i="2"/>
  <c r="N491" i="2"/>
  <c r="L492" i="2"/>
  <c r="M492" i="2"/>
  <c r="N492" i="2"/>
  <c r="L493" i="2"/>
  <c r="M493" i="2"/>
  <c r="N493" i="2"/>
  <c r="L494" i="2"/>
  <c r="M494" i="2"/>
  <c r="N494" i="2"/>
  <c r="L495" i="2"/>
  <c r="M495" i="2"/>
  <c r="N495" i="2"/>
  <c r="L496" i="2"/>
  <c r="M496" i="2"/>
  <c r="N496" i="2"/>
  <c r="L497" i="2"/>
  <c r="M497" i="2"/>
  <c r="N497" i="2"/>
  <c r="L498" i="2"/>
  <c r="M498" i="2"/>
  <c r="N498" i="2"/>
  <c r="L499" i="2"/>
  <c r="M499" i="2"/>
  <c r="N499" i="2"/>
  <c r="T481" i="2"/>
  <c r="K374" i="2"/>
  <c r="I516" i="2"/>
  <c r="J516" i="2"/>
  <c r="I517" i="2"/>
  <c r="J517" i="2"/>
  <c r="Q391" i="2"/>
  <c r="S391" i="2"/>
  <c r="W391" i="2"/>
  <c r="AE391" i="2"/>
  <c r="AH391" i="2"/>
  <c r="AA391" i="2"/>
  <c r="K391" i="2"/>
  <c r="I507" i="2"/>
  <c r="J507" i="2"/>
  <c r="I508" i="2"/>
  <c r="J508" i="2"/>
  <c r="Q385" i="2"/>
  <c r="K385" i="2"/>
  <c r="J456" i="2"/>
  <c r="J457" i="2"/>
  <c r="Q481" i="2"/>
  <c r="Q482" i="2"/>
  <c r="Q483" i="2"/>
  <c r="Q484" i="2"/>
  <c r="Q485" i="2"/>
  <c r="Q486" i="2"/>
  <c r="Q487" i="2"/>
  <c r="Q488" i="2"/>
  <c r="Q489" i="2"/>
  <c r="Q490" i="2"/>
  <c r="Q491" i="2"/>
  <c r="Q492" i="2"/>
  <c r="Q493" i="2"/>
  <c r="Q494" i="2"/>
  <c r="Q495" i="2"/>
  <c r="Q496" i="2"/>
  <c r="Q497" i="2"/>
  <c r="Q498" i="2"/>
  <c r="Q499" i="2"/>
  <c r="T485" i="2"/>
  <c r="K381" i="2"/>
  <c r="Q404" i="2"/>
  <c r="T404" i="2"/>
  <c r="W404" i="2"/>
  <c r="K404" i="2"/>
  <c r="I511" i="2"/>
  <c r="J511" i="2"/>
  <c r="I512" i="2"/>
  <c r="J512" i="2"/>
  <c r="I513" i="2"/>
  <c r="J513" i="2"/>
  <c r="I514" i="2"/>
  <c r="J514" i="2"/>
  <c r="Q382" i="2"/>
  <c r="S382" i="2"/>
  <c r="AJ382" i="2"/>
  <c r="V382" i="2"/>
  <c r="AK382" i="2"/>
  <c r="AA382" i="2"/>
  <c r="AL382" i="2"/>
  <c r="K382" i="2"/>
  <c r="I509" i="2"/>
  <c r="J509" i="2"/>
  <c r="I510" i="2"/>
  <c r="J510" i="2"/>
  <c r="Q384" i="2"/>
  <c r="AJ384" i="2"/>
  <c r="AK384" i="2"/>
  <c r="AL384" i="2"/>
  <c r="K384" i="2"/>
  <c r="I515" i="2"/>
  <c r="J515" i="2"/>
  <c r="Q386" i="2"/>
  <c r="S386" i="2"/>
  <c r="K386" i="2"/>
  <c r="Q387" i="2"/>
  <c r="K387" i="2"/>
  <c r="I525" i="2"/>
  <c r="J525" i="2"/>
  <c r="Q390" i="2"/>
  <c r="K390" i="2"/>
  <c r="Q392" i="2"/>
  <c r="K392" i="2"/>
  <c r="I518" i="2"/>
  <c r="J518" i="2"/>
  <c r="I519" i="2"/>
  <c r="J519" i="2"/>
  <c r="I520" i="2"/>
  <c r="J520" i="2"/>
  <c r="I521" i="2"/>
  <c r="J521" i="2"/>
  <c r="Q393" i="2"/>
  <c r="S393" i="2"/>
  <c r="W393" i="2"/>
  <c r="AE393" i="2"/>
  <c r="AA393" i="2"/>
  <c r="K393" i="2"/>
  <c r="I522" i="2"/>
  <c r="J522" i="2"/>
  <c r="K394" i="2"/>
  <c r="I523" i="2"/>
  <c r="J523" i="2"/>
  <c r="I524" i="2"/>
  <c r="J524" i="2"/>
  <c r="K395" i="2"/>
  <c r="I533" i="2"/>
  <c r="J533" i="2"/>
  <c r="K396" i="2"/>
  <c r="R352" i="2"/>
  <c r="Q397" i="2"/>
  <c r="K397" i="2"/>
  <c r="R364" i="2"/>
  <c r="Q398" i="2"/>
  <c r="I535" i="2"/>
  <c r="J535" i="2"/>
  <c r="K398" i="2"/>
  <c r="S399" i="2"/>
  <c r="Q399" i="2"/>
  <c r="K399" i="2"/>
  <c r="I531" i="2"/>
  <c r="J531" i="2"/>
  <c r="K401" i="2"/>
  <c r="I536" i="2"/>
  <c r="J536" i="2"/>
  <c r="K402" i="2"/>
  <c r="Q403" i="2"/>
  <c r="S403" i="2"/>
  <c r="K403" i="2"/>
  <c r="K407" i="2"/>
  <c r="K375" i="2"/>
  <c r="Z376" i="2"/>
  <c r="Q376" i="2"/>
  <c r="I537" i="2"/>
  <c r="J537" i="2"/>
  <c r="K376" i="2"/>
  <c r="Q377" i="2"/>
  <c r="I538" i="2"/>
  <c r="J538" i="2"/>
  <c r="K377" i="2"/>
  <c r="O481" i="2"/>
  <c r="O482" i="2"/>
  <c r="O483" i="2"/>
  <c r="O484" i="2"/>
  <c r="O485" i="2"/>
  <c r="O486" i="2"/>
  <c r="O487" i="2"/>
  <c r="O488" i="2"/>
  <c r="O489" i="2"/>
  <c r="O490" i="2"/>
  <c r="O491" i="2"/>
  <c r="O492" i="2"/>
  <c r="O493" i="2"/>
  <c r="O494" i="2"/>
  <c r="O495" i="2"/>
  <c r="O496" i="2"/>
  <c r="O497" i="2"/>
  <c r="O498" i="2"/>
  <c r="O499" i="2"/>
  <c r="T483" i="2"/>
  <c r="K378" i="2"/>
  <c r="Q383" i="2"/>
  <c r="T383" i="2"/>
  <c r="Y383" i="2"/>
  <c r="AA383" i="2"/>
  <c r="AE383" i="2"/>
  <c r="K383" i="2"/>
  <c r="Q400" i="2"/>
  <c r="I530" i="2"/>
  <c r="J530" i="2"/>
  <c r="K400" i="2"/>
  <c r="K481" i="2"/>
  <c r="K482" i="2"/>
  <c r="K483" i="2"/>
  <c r="K484" i="2"/>
  <c r="K485" i="2"/>
  <c r="K486" i="2"/>
  <c r="K487" i="2"/>
  <c r="K488" i="2"/>
  <c r="K489" i="2"/>
  <c r="K490" i="2"/>
  <c r="K491" i="2"/>
  <c r="K492" i="2"/>
  <c r="K493" i="2"/>
  <c r="K494" i="2"/>
  <c r="K495" i="2"/>
  <c r="K496" i="2"/>
  <c r="K497" i="2"/>
  <c r="K498" i="2"/>
  <c r="K499" i="2"/>
  <c r="T482" i="2"/>
  <c r="K379" i="2"/>
  <c r="P481" i="2"/>
  <c r="P482" i="2"/>
  <c r="P483" i="2"/>
  <c r="P484" i="2"/>
  <c r="P485" i="2"/>
  <c r="P486" i="2"/>
  <c r="P487" i="2"/>
  <c r="P488" i="2"/>
  <c r="P489" i="2"/>
  <c r="P490" i="2"/>
  <c r="P491" i="2"/>
  <c r="P492" i="2"/>
  <c r="P493" i="2"/>
  <c r="P494" i="2"/>
  <c r="P495" i="2"/>
  <c r="P496" i="2"/>
  <c r="P497" i="2"/>
  <c r="P498" i="2"/>
  <c r="P499" i="2"/>
  <c r="T484" i="2"/>
  <c r="K380" i="2"/>
  <c r="I526" i="2"/>
  <c r="J526" i="2"/>
  <c r="I527" i="2"/>
  <c r="J527" i="2"/>
  <c r="Q388" i="2"/>
  <c r="AL388" i="2"/>
  <c r="AE388" i="2"/>
  <c r="AH388" i="2"/>
  <c r="AA388" i="2"/>
  <c r="W388" i="2"/>
  <c r="AM388" i="2"/>
  <c r="K388" i="2"/>
  <c r="I528" i="2"/>
  <c r="J528" i="2"/>
  <c r="I529" i="2"/>
  <c r="J529" i="2"/>
  <c r="Q389" i="2"/>
  <c r="K389" i="2"/>
  <c r="K408" i="2"/>
  <c r="V395" i="2"/>
  <c r="AC394" i="2"/>
  <c r="U394" i="2"/>
  <c r="AF394" i="2"/>
  <c r="P379" i="2"/>
  <c r="P378" i="2"/>
  <c r="P377" i="2"/>
  <c r="P376" i="2"/>
  <c r="K369" i="2"/>
  <c r="K372" i="2"/>
  <c r="K340" i="2"/>
  <c r="U321" i="2"/>
  <c r="U317" i="2"/>
  <c r="K316" i="2"/>
  <c r="R278" i="2"/>
  <c r="R272" i="2"/>
  <c r="R267" i="2"/>
  <c r="K237" i="2"/>
  <c r="K209" i="2"/>
  <c r="K145" i="2"/>
  <c r="K141" i="2"/>
  <c r="K415" i="2"/>
  <c r="V450" i="2"/>
  <c r="Q450" i="2"/>
  <c r="K450" i="2"/>
  <c r="Q444" i="2"/>
  <c r="W444" i="2"/>
  <c r="S443" i="2"/>
  <c r="Q440" i="2"/>
  <c r="S439" i="2"/>
  <c r="Y434" i="2"/>
  <c r="U434" i="2"/>
  <c r="AE433" i="2"/>
  <c r="AA433" i="2"/>
  <c r="S433" i="2"/>
  <c r="AH431" i="2"/>
  <c r="AE431" i="2"/>
  <c r="S431" i="2"/>
  <c r="AH428" i="2"/>
  <c r="AE428" i="2"/>
  <c r="Q427" i="2"/>
  <c r="K427" i="2"/>
  <c r="S426" i="2"/>
  <c r="AA423" i="2"/>
  <c r="AA422" i="2"/>
  <c r="V422" i="2"/>
  <c r="S422" i="2"/>
  <c r="Q417" i="2"/>
  <c r="Z416" i="2"/>
  <c r="Q416" i="2"/>
  <c r="V410" i="2"/>
  <c r="V412" i="2"/>
  <c r="Q412" i="2"/>
  <c r="Y394" i="2"/>
  <c r="AA428" i="2"/>
  <c r="Z434" i="2"/>
  <c r="AA431" i="2"/>
  <c r="Q451" i="2"/>
  <c r="V452" i="2"/>
  <c r="Q452" i="2"/>
  <c r="T444" i="2"/>
  <c r="Z394" i="2"/>
  <c r="Q410" i="2"/>
  <c r="K410" i="2"/>
  <c r="Q411" i="2"/>
  <c r="K444" i="2"/>
  <c r="Q424" i="2"/>
  <c r="Q426" i="2"/>
  <c r="K434" i="2"/>
  <c r="Q430" i="2"/>
  <c r="K430" i="2"/>
  <c r="Q429" i="2"/>
  <c r="K429" i="2"/>
  <c r="K440" i="2"/>
  <c r="K441" i="2"/>
  <c r="I532" i="2"/>
  <c r="J532" i="2"/>
  <c r="K436" i="2"/>
  <c r="I534" i="2"/>
  <c r="J534" i="2"/>
  <c r="Q431" i="2"/>
  <c r="K435" i="2"/>
  <c r="Q432" i="2"/>
  <c r="K432" i="2"/>
  <c r="Q422" i="2"/>
  <c r="Q433" i="2"/>
  <c r="Q428" i="2"/>
  <c r="W431" i="2"/>
  <c r="K431" i="2"/>
  <c r="AL431" i="2"/>
  <c r="AJ424" i="2"/>
  <c r="AK424" i="2"/>
  <c r="Q443" i="2"/>
  <c r="K443" i="2"/>
  <c r="AL424" i="2"/>
  <c r="Q425" i="2"/>
  <c r="K425" i="2"/>
  <c r="AJ426" i="2"/>
  <c r="K426" i="2"/>
  <c r="Q439" i="2"/>
  <c r="K439" i="2"/>
  <c r="K442" i="2"/>
  <c r="K416" i="2"/>
  <c r="K417" i="2"/>
  <c r="I539" i="2"/>
  <c r="J539" i="2"/>
  <c r="I540" i="2"/>
  <c r="J540" i="2"/>
  <c r="I541" i="2"/>
  <c r="J541" i="2"/>
  <c r="I542" i="2"/>
  <c r="J542" i="2"/>
  <c r="J545" i="2"/>
  <c r="J544" i="2"/>
  <c r="J543" i="2"/>
  <c r="K424" i="2"/>
  <c r="AM431" i="2"/>
  <c r="AN431" i="2"/>
  <c r="AL428" i="2"/>
  <c r="W428" i="2"/>
  <c r="AM428" i="2"/>
  <c r="W433" i="2"/>
  <c r="AN433" i="2"/>
  <c r="AL433" i="2"/>
  <c r="Q423" i="2"/>
  <c r="AJ422" i="2"/>
  <c r="AL422" i="2"/>
  <c r="AK422" i="2"/>
  <c r="AJ386" i="2"/>
  <c r="AL391" i="2"/>
  <c r="AM391" i="2"/>
  <c r="AL393" i="2"/>
  <c r="U120" i="2"/>
  <c r="Q120" i="2"/>
  <c r="U98" i="2"/>
  <c r="Q98" i="2"/>
  <c r="U76" i="2"/>
  <c r="Q76" i="2"/>
  <c r="U54" i="2"/>
  <c r="Q54" i="2"/>
  <c r="K433" i="2"/>
  <c r="K422" i="2"/>
  <c r="K428" i="2"/>
  <c r="Y423" i="2"/>
  <c r="AE423" i="2"/>
  <c r="T423" i="2"/>
  <c r="K419" i="2"/>
  <c r="K120" i="2"/>
  <c r="K54" i="2"/>
  <c r="K76" i="2"/>
  <c r="K98" i="2"/>
  <c r="Q106" i="2"/>
  <c r="AG106" i="2"/>
  <c r="Q114" i="2"/>
  <c r="AG114" i="2"/>
  <c r="Q128" i="2"/>
  <c r="AG128" i="2"/>
  <c r="Q136" i="2"/>
  <c r="AG136" i="2"/>
  <c r="Q62" i="2"/>
  <c r="AG62" i="2"/>
  <c r="Q69" i="2"/>
  <c r="AG69" i="2"/>
  <c r="Q84" i="2"/>
  <c r="AG84" i="2"/>
  <c r="Q91" i="2"/>
  <c r="AG91" i="2"/>
  <c r="X133" i="2"/>
  <c r="U133" i="2"/>
  <c r="Q133" i="2"/>
  <c r="X125" i="2"/>
  <c r="U125" i="2"/>
  <c r="Q125" i="2"/>
  <c r="X89" i="2"/>
  <c r="U89" i="2"/>
  <c r="Q89" i="2"/>
  <c r="X81" i="2"/>
  <c r="U81" i="2"/>
  <c r="Q81" i="2"/>
  <c r="X111" i="2"/>
  <c r="U111" i="2"/>
  <c r="Q111" i="2"/>
  <c r="X103" i="2"/>
  <c r="U103" i="2"/>
  <c r="Q103" i="2"/>
  <c r="X67" i="2"/>
  <c r="U67" i="2"/>
  <c r="Q67" i="2"/>
  <c r="Q59" i="2"/>
  <c r="X59" i="2"/>
  <c r="Q206" i="2"/>
  <c r="K206" i="2"/>
  <c r="P206" i="2"/>
  <c r="U59" i="2"/>
  <c r="X132" i="2"/>
  <c r="AA132" i="2"/>
  <c r="Q132" i="2"/>
  <c r="X124" i="2"/>
  <c r="AA124" i="2"/>
  <c r="Q124" i="2"/>
  <c r="X119" i="2"/>
  <c r="AA119" i="2"/>
  <c r="Q119" i="2"/>
  <c r="X88" i="2"/>
  <c r="AA88" i="2"/>
  <c r="Q88" i="2"/>
  <c r="X80" i="2"/>
  <c r="AA80" i="2"/>
  <c r="Q80" i="2"/>
  <c r="X75" i="2"/>
  <c r="AA75" i="2"/>
  <c r="Q75" i="2"/>
  <c r="X110" i="2"/>
  <c r="AA110" i="2"/>
  <c r="U110" i="2"/>
  <c r="Q110" i="2"/>
  <c r="X102" i="2"/>
  <c r="AA102" i="2"/>
  <c r="U102" i="2"/>
  <c r="Q102" i="2"/>
  <c r="X97" i="2"/>
  <c r="AA97" i="2"/>
  <c r="U97" i="2"/>
  <c r="Q97" i="2"/>
  <c r="X66" i="2"/>
  <c r="AA66" i="2"/>
  <c r="U66" i="2"/>
  <c r="Q66" i="2"/>
  <c r="X58" i="2"/>
  <c r="AA58" i="2"/>
  <c r="U58" i="2"/>
  <c r="Q58" i="2"/>
  <c r="U53" i="2"/>
  <c r="X53" i="2"/>
  <c r="AA53" i="2"/>
  <c r="Q53" i="2"/>
  <c r="K41" i="2"/>
  <c r="P41" i="2"/>
  <c r="K47" i="2"/>
  <c r="P47" i="2"/>
  <c r="X46" i="2"/>
  <c r="U46" i="2"/>
  <c r="X40" i="2"/>
  <c r="U40" i="2"/>
  <c r="X35" i="2"/>
  <c r="U35" i="2"/>
  <c r="P48" i="2"/>
  <c r="X45" i="2"/>
  <c r="AA45" i="2"/>
  <c r="Q45" i="2"/>
  <c r="X39" i="2"/>
  <c r="AA39" i="2"/>
  <c r="Q39" i="2"/>
  <c r="X34" i="2"/>
  <c r="AA34" i="2"/>
  <c r="Q34" i="2"/>
  <c r="X30" i="2"/>
  <c r="AA30" i="2"/>
  <c r="Q30" i="2"/>
  <c r="Z24" i="2"/>
  <c r="K24" i="2"/>
  <c r="P24" i="2"/>
  <c r="W25" i="2"/>
  <c r="Q25" i="2"/>
  <c r="W19" i="2"/>
  <c r="Q19" i="2"/>
  <c r="W14" i="2"/>
  <c r="Q14" i="2"/>
  <c r="X23" i="2"/>
  <c r="AA23" i="2"/>
  <c r="Q23" i="2"/>
  <c r="X18" i="2"/>
  <c r="AA18" i="2"/>
  <c r="Q18" i="2"/>
  <c r="X13" i="2"/>
  <c r="AA13" i="2"/>
  <c r="Q13" i="2"/>
  <c r="X9" i="2"/>
  <c r="AA9" i="2"/>
  <c r="Q9" i="2"/>
  <c r="K423" i="2"/>
  <c r="K414" i="2"/>
  <c r="K124" i="2"/>
  <c r="P124" i="2"/>
  <c r="K25" i="2"/>
  <c r="K46" i="2"/>
  <c r="P46" i="2"/>
  <c r="K80" i="2"/>
  <c r="P80" i="2"/>
  <c r="K132" i="2"/>
  <c r="K18" i="2"/>
  <c r="K22" i="2"/>
  <c r="K13" i="2"/>
  <c r="K17" i="2"/>
  <c r="K66" i="2"/>
  <c r="P66" i="2"/>
  <c r="K110" i="2"/>
  <c r="P110" i="2"/>
  <c r="K111" i="2"/>
  <c r="K35" i="2"/>
  <c r="P35" i="2"/>
  <c r="K59" i="2"/>
  <c r="K133" i="2"/>
  <c r="K19" i="2"/>
  <c r="K97" i="2"/>
  <c r="P97" i="2"/>
  <c r="T136" i="2"/>
  <c r="AB136" i="2"/>
  <c r="K39" i="2"/>
  <c r="K102" i="2"/>
  <c r="P102" i="2"/>
  <c r="K67" i="2"/>
  <c r="K45" i="2"/>
  <c r="K208" i="2"/>
  <c r="K207" i="2"/>
  <c r="K103" i="2"/>
  <c r="T69" i="2"/>
  <c r="T91" i="2"/>
  <c r="K125" i="2"/>
  <c r="V91" i="2"/>
  <c r="K91" i="2"/>
  <c r="K89" i="2"/>
  <c r="K58" i="2"/>
  <c r="K88" i="2"/>
  <c r="AB91" i="2"/>
  <c r="K40" i="2"/>
  <c r="P40" i="2"/>
  <c r="K30" i="2"/>
  <c r="K33" i="2"/>
  <c r="T114" i="2"/>
  <c r="T106" i="2"/>
  <c r="V106" i="2"/>
  <c r="K106" i="2"/>
  <c r="AB106" i="2"/>
  <c r="V114" i="2"/>
  <c r="K114" i="2"/>
  <c r="AB114" i="2"/>
  <c r="T128" i="2"/>
  <c r="V128" i="2"/>
  <c r="K128" i="2"/>
  <c r="AB128" i="2"/>
  <c r="V136" i="2"/>
  <c r="K136" i="2"/>
  <c r="T62" i="2"/>
  <c r="V62" i="2"/>
  <c r="K62" i="2"/>
  <c r="AB62" i="2"/>
  <c r="V69" i="2"/>
  <c r="K69" i="2"/>
  <c r="AB69" i="2"/>
  <c r="T84" i="2"/>
  <c r="V84" i="2"/>
  <c r="K84" i="2"/>
  <c r="AB84" i="2"/>
  <c r="K81" i="2"/>
  <c r="K119" i="2"/>
  <c r="K34" i="2"/>
  <c r="K14" i="2"/>
  <c r="P14" i="2"/>
  <c r="K75" i="2"/>
  <c r="K53" i="2"/>
  <c r="K55" i="2"/>
  <c r="K9" i="2"/>
  <c r="K11" i="2"/>
  <c r="K23" i="2"/>
  <c r="P88" i="2"/>
  <c r="K95" i="2"/>
  <c r="P132" i="2"/>
  <c r="K138" i="2"/>
  <c r="K137" i="2"/>
  <c r="K139" i="2"/>
  <c r="K85" i="2"/>
  <c r="K44" i="2"/>
  <c r="K129" i="2"/>
  <c r="K51" i="2"/>
  <c r="K21" i="2"/>
  <c r="P13" i="2"/>
  <c r="P18" i="2"/>
  <c r="K20" i="2"/>
  <c r="K115" i="2"/>
  <c r="K93" i="2"/>
  <c r="K86" i="2"/>
  <c r="K71" i="2"/>
  <c r="K116" i="2"/>
  <c r="K87" i="2"/>
  <c r="K117" i="2"/>
  <c r="K130" i="2"/>
  <c r="K72" i="2"/>
  <c r="K131" i="2"/>
  <c r="K49" i="2"/>
  <c r="K107" i="2"/>
  <c r="K108" i="2"/>
  <c r="K73" i="2"/>
  <c r="K65" i="2"/>
  <c r="K101" i="2"/>
  <c r="K99" i="2"/>
  <c r="K64" i="2"/>
  <c r="K43" i="2"/>
  <c r="K100" i="2"/>
  <c r="K50" i="2"/>
  <c r="P58" i="2"/>
  <c r="K109" i="2"/>
  <c r="K42" i="2"/>
  <c r="K94" i="2"/>
  <c r="K63" i="2"/>
  <c r="K15" i="2"/>
  <c r="K31" i="2"/>
  <c r="K32" i="2"/>
  <c r="P23" i="2"/>
  <c r="K28" i="2"/>
  <c r="K27" i="2"/>
  <c r="K26" i="2"/>
  <c r="K10" i="2"/>
  <c r="K12" i="2"/>
  <c r="P75" i="2"/>
  <c r="K78" i="2"/>
  <c r="K79" i="2"/>
  <c r="K77" i="2"/>
  <c r="K57" i="2"/>
  <c r="K56" i="2"/>
  <c r="P119" i="2"/>
  <c r="K123" i="2"/>
  <c r="K122" i="2"/>
  <c r="K121" i="2"/>
  <c r="K16" i="2"/>
  <c r="K36" i="2"/>
  <c r="K38" i="2"/>
  <c r="K37" i="2"/>
  <c r="P279" i="2"/>
  <c r="K279" i="2"/>
  <c r="K277" i="2"/>
  <c r="K278" i="2"/>
  <c r="K282" i="2"/>
  <c r="P53" i="2"/>
  <c r="P45" i="2"/>
  <c r="P39" i="2"/>
  <c r="P34" i="2"/>
  <c r="P30" i="2"/>
  <c r="P9" i="2"/>
  <c r="P139" i="2"/>
  <c r="P131" i="2"/>
  <c r="P123" i="2"/>
  <c r="P117" i="2"/>
  <c r="P109" i="2"/>
  <c r="P101" i="2"/>
  <c r="P95" i="2"/>
  <c r="P87" i="2"/>
  <c r="P79" i="2"/>
  <c r="P73" i="2"/>
  <c r="P65" i="2"/>
  <c r="P57" i="2"/>
  <c r="P44" i="2"/>
  <c r="P38" i="2"/>
  <c r="P28" i="2"/>
  <c r="P51" i="2"/>
  <c r="P22" i="2"/>
  <c r="P17" i="2"/>
  <c r="P12" i="2"/>
  <c r="K267" i="2"/>
  <c r="K272" i="2"/>
  <c r="P278" i="2"/>
  <c r="T278" i="2"/>
  <c r="P272" i="2"/>
  <c r="T272" i="2"/>
  <c r="K275" i="2"/>
  <c r="P267" i="2"/>
  <c r="T267" i="2"/>
  <c r="K268" i="2"/>
  <c r="K270" i="2"/>
  <c r="P270" i="2"/>
  <c r="K269" i="2"/>
  <c r="K276" i="2"/>
  <c r="K271" i="2"/>
  <c r="P271" i="2"/>
  <c r="K281" i="2"/>
  <c r="K280" i="2"/>
  <c r="K284" i="2"/>
  <c r="K285" i="2"/>
  <c r="K367" i="2"/>
  <c r="P367" i="2"/>
  <c r="Q438" i="2"/>
  <c r="K438" i="2"/>
  <c r="K361" i="2"/>
  <c r="R358" i="2"/>
  <c r="K349" i="2"/>
  <c r="P349" i="2"/>
  <c r="Q346" i="2"/>
  <c r="K346" i="2"/>
  <c r="K344" i="2"/>
  <c r="P344" i="2"/>
  <c r="Q341" i="2"/>
  <c r="K341" i="2"/>
  <c r="K342" i="2"/>
  <c r="Q337" i="2"/>
  <c r="K337" i="2"/>
  <c r="P340" i="2"/>
  <c r="K336" i="2"/>
  <c r="P336" i="2"/>
  <c r="Q333" i="2"/>
  <c r="K333" i="2"/>
  <c r="K329" i="2"/>
  <c r="K332" i="2"/>
  <c r="P332" i="2"/>
  <c r="K325" i="2"/>
  <c r="K328" i="2"/>
  <c r="P328" i="2"/>
  <c r="Q321" i="2"/>
  <c r="K321" i="2"/>
  <c r="K324" i="2"/>
  <c r="Q317" i="2"/>
  <c r="K317" i="2"/>
  <c r="U313" i="2"/>
  <c r="Q313" i="2"/>
  <c r="K312" i="2"/>
  <c r="P312" i="2"/>
  <c r="K309" i="2"/>
  <c r="K311" i="2"/>
  <c r="K305" i="2"/>
  <c r="K308" i="2"/>
  <c r="P308" i="2"/>
  <c r="R301" i="2"/>
  <c r="K301" i="2"/>
  <c r="K304" i="2"/>
  <c r="R297" i="2"/>
  <c r="K297" i="2"/>
  <c r="R293" i="2"/>
  <c r="K293" i="2"/>
  <c r="R289" i="2"/>
  <c r="K289" i="2"/>
  <c r="K253" i="2"/>
  <c r="K249" i="2"/>
  <c r="K262" i="2"/>
  <c r="K258" i="2"/>
  <c r="P209" i="2"/>
  <c r="K244" i="2"/>
  <c r="K247" i="2"/>
  <c r="P247" i="2"/>
  <c r="K239" i="2"/>
  <c r="K233" i="2"/>
  <c r="P237" i="2"/>
  <c r="Y233" i="2"/>
  <c r="U233" i="2"/>
  <c r="AI228" i="2"/>
  <c r="AA228" i="2"/>
  <c r="Q228" i="2"/>
  <c r="U228" i="2"/>
  <c r="W228" i="2"/>
  <c r="P228" i="2"/>
  <c r="Q227" i="2"/>
  <c r="K227" i="2"/>
  <c r="AA223" i="2"/>
  <c r="Q223" i="2"/>
  <c r="U223" i="2"/>
  <c r="W223" i="2"/>
  <c r="P223" i="2"/>
  <c r="Q222" i="2"/>
  <c r="K222" i="2"/>
  <c r="AI217" i="2"/>
  <c r="AA217" i="2"/>
  <c r="Q217" i="2"/>
  <c r="U217" i="2"/>
  <c r="W217" i="2"/>
  <c r="P217" i="2"/>
  <c r="Q216" i="2"/>
  <c r="K216" i="2"/>
  <c r="AA212" i="2"/>
  <c r="Q212" i="2"/>
  <c r="U212" i="2"/>
  <c r="W212" i="2"/>
  <c r="P212" i="2"/>
  <c r="Q211" i="2"/>
  <c r="K211" i="2"/>
  <c r="K200" i="2"/>
  <c r="K199" i="2"/>
  <c r="P199" i="2"/>
  <c r="Q198" i="2"/>
  <c r="K198" i="2"/>
  <c r="P198" i="2"/>
  <c r="K194" i="2"/>
  <c r="K193" i="2"/>
  <c r="P193" i="2"/>
  <c r="P194" i="2"/>
  <c r="Q192" i="2"/>
  <c r="P192" i="2"/>
  <c r="Q188" i="2"/>
  <c r="P188" i="2"/>
  <c r="K252" i="2"/>
  <c r="P252" i="2"/>
  <c r="K255" i="2"/>
  <c r="K256" i="2"/>
  <c r="K292" i="2"/>
  <c r="P292" i="2"/>
  <c r="K242" i="2"/>
  <c r="P242" i="2"/>
  <c r="K296" i="2"/>
  <c r="P296" i="2"/>
  <c r="K300" i="2"/>
  <c r="P300" i="2"/>
  <c r="K260" i="2"/>
  <c r="K261" i="2"/>
  <c r="K264" i="2"/>
  <c r="K265" i="2"/>
  <c r="K320" i="2"/>
  <c r="P320" i="2"/>
  <c r="K358" i="2"/>
  <c r="K360" i="2"/>
  <c r="Q437" i="2"/>
  <c r="K437" i="2"/>
  <c r="K364" i="2"/>
  <c r="K366" i="2"/>
  <c r="K352" i="2"/>
  <c r="P356" i="2"/>
  <c r="P275" i="2"/>
  <c r="K274" i="2"/>
  <c r="K273" i="2"/>
  <c r="K287" i="2"/>
  <c r="K286" i="2"/>
  <c r="K370" i="2"/>
  <c r="K371" i="2"/>
  <c r="P305" i="2"/>
  <c r="P253" i="2"/>
  <c r="P304" i="2"/>
  <c r="P301" i="2"/>
  <c r="K348" i="2"/>
  <c r="P346" i="2"/>
  <c r="K313" i="2"/>
  <c r="P316" i="2"/>
  <c r="P324" i="2"/>
  <c r="P321" i="2"/>
  <c r="K335" i="2"/>
  <c r="P333" i="2"/>
  <c r="K343" i="2"/>
  <c r="P341" i="2"/>
  <c r="P309" i="2"/>
  <c r="P317" i="2"/>
  <c r="K347" i="2"/>
  <c r="P337" i="2"/>
  <c r="K338" i="2"/>
  <c r="K339" i="2"/>
  <c r="K334" i="2"/>
  <c r="K330" i="2"/>
  <c r="K331" i="2"/>
  <c r="K326" i="2"/>
  <c r="K327" i="2"/>
  <c r="K322" i="2"/>
  <c r="K323" i="2"/>
  <c r="K318" i="2"/>
  <c r="K319" i="2"/>
  <c r="K310" i="2"/>
  <c r="K306" i="2"/>
  <c r="K307" i="2"/>
  <c r="K302" i="2"/>
  <c r="K303" i="2"/>
  <c r="K298" i="2"/>
  <c r="P297" i="2"/>
  <c r="K299" i="2"/>
  <c r="K290" i="2"/>
  <c r="K291" i="2"/>
  <c r="P289" i="2"/>
  <c r="P293" i="2"/>
  <c r="K294" i="2"/>
  <c r="K295" i="2"/>
  <c r="K250" i="2"/>
  <c r="K251" i="2"/>
  <c r="K254" i="2"/>
  <c r="P256" i="2"/>
  <c r="P249" i="2"/>
  <c r="U249" i="2"/>
  <c r="K228" i="2"/>
  <c r="K230" i="2"/>
  <c r="P233" i="2"/>
  <c r="P258" i="2"/>
  <c r="K223" i="2"/>
  <c r="K224" i="2"/>
  <c r="P261" i="2"/>
  <c r="P262" i="2"/>
  <c r="K203" i="2"/>
  <c r="P203" i="2"/>
  <c r="Z233" i="2"/>
  <c r="K217" i="2"/>
  <c r="K219" i="2"/>
  <c r="K212" i="2"/>
  <c r="P265" i="2"/>
  <c r="K263" i="2"/>
  <c r="K259" i="2"/>
  <c r="K245" i="2"/>
  <c r="K246" i="2"/>
  <c r="K240" i="2"/>
  <c r="K241" i="2"/>
  <c r="K235" i="2"/>
  <c r="K236" i="2"/>
  <c r="P227" i="2"/>
  <c r="P222" i="2"/>
  <c r="P216" i="2"/>
  <c r="P211" i="2"/>
  <c r="K201" i="2"/>
  <c r="K202" i="2"/>
  <c r="K188" i="2"/>
  <c r="K191" i="2"/>
  <c r="P191" i="2"/>
  <c r="K192" i="2"/>
  <c r="K197" i="2"/>
  <c r="P197" i="2"/>
  <c r="K359" i="2"/>
  <c r="K220" i="2"/>
  <c r="K365" i="2"/>
  <c r="K231" i="2"/>
  <c r="K215" i="2"/>
  <c r="P215" i="2"/>
  <c r="P364" i="2"/>
  <c r="P352" i="2"/>
  <c r="K315" i="2"/>
  <c r="K190" i="2"/>
  <c r="K189" i="2"/>
  <c r="K229" i="2"/>
  <c r="K314" i="2"/>
  <c r="P313" i="2"/>
  <c r="P231" i="2"/>
  <c r="K225" i="2"/>
  <c r="R249" i="2"/>
  <c r="K226" i="2"/>
  <c r="P226" i="2"/>
  <c r="P220" i="2"/>
  <c r="K218" i="2"/>
  <c r="K214" i="2"/>
  <c r="K196" i="2"/>
  <c r="K213" i="2"/>
  <c r="K195" i="2"/>
  <c r="K183" i="2"/>
  <c r="K185" i="2"/>
  <c r="K178" i="2"/>
  <c r="K173" i="2"/>
  <c r="P173" i="2"/>
  <c r="P172" i="2"/>
  <c r="K172" i="2"/>
  <c r="K171" i="2"/>
  <c r="T170" i="2"/>
  <c r="K170" i="2"/>
  <c r="W173" i="2"/>
  <c r="T166" i="2"/>
  <c r="K166" i="2"/>
  <c r="P166" i="2"/>
  <c r="K165" i="2"/>
  <c r="P165" i="2"/>
  <c r="K163" i="2"/>
  <c r="P164" i="2"/>
  <c r="T164" i="2"/>
  <c r="P158" i="2"/>
  <c r="K158" i="2"/>
  <c r="K157" i="2"/>
  <c r="P157" i="2"/>
  <c r="K159" i="2"/>
  <c r="P159" i="2"/>
  <c r="K152" i="2"/>
  <c r="P152" i="2"/>
  <c r="P163" i="2"/>
  <c r="K181" i="2"/>
  <c r="K180" i="2"/>
  <c r="K179" i="2"/>
  <c r="P171" i="2"/>
  <c r="K176" i="2"/>
  <c r="P176" i="2"/>
  <c r="K186" i="2"/>
  <c r="P186" i="2"/>
  <c r="T172" i="2"/>
  <c r="P170" i="2"/>
  <c r="K175" i="2" a="1"/>
  <c r="K175" i="2"/>
  <c r="K174" i="2"/>
  <c r="T158" i="2"/>
  <c r="K154" i="2"/>
  <c r="K184" i="2"/>
  <c r="K153" i="2"/>
  <c r="K164" i="2"/>
  <c r="K167" i="2"/>
  <c r="K155" i="2"/>
  <c r="P155" i="2"/>
  <c r="K162" i="2"/>
  <c r="P162" i="2"/>
  <c r="K161" i="2"/>
  <c r="K160" i="2"/>
  <c r="K169" i="2"/>
  <c r="K168" i="2" a="1"/>
  <c r="K168" i="2"/>
  <c r="P181" i="2"/>
  <c r="P169" i="2"/>
  <c r="R178" i="2"/>
  <c r="P178" i="2"/>
  <c r="W172" i="2"/>
  <c r="W171" i="2"/>
  <c r="W170" i="2"/>
  <c r="W165" i="2"/>
  <c r="W164" i="2"/>
  <c r="W163" i="2"/>
  <c r="K144" i="2"/>
  <c r="P144" i="2"/>
  <c r="K142" i="2"/>
  <c r="K143" i="2"/>
  <c r="K146" i="2"/>
  <c r="K147" i="2"/>
  <c r="K148" i="2"/>
  <c r="P148" i="2"/>
  <c r="K420" i="2"/>
  <c r="K421" i="2"/>
  <c r="K418" i="2"/>
  <c r="K448" i="2"/>
  <c r="K446" i="2"/>
  <c r="Q421" i="2"/>
  <c r="Q445" i="2"/>
  <c r="K449" i="2"/>
  <c r="K447" i="2"/>
  <c r="Q381" i="2"/>
  <c r="Q405" i="2"/>
  <c r="K409" i="2"/>
  <c r="K40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Xavier Tanguay</author>
    <author>Reviewer</author>
  </authors>
  <commentList>
    <comment ref="B157" authorId="0" shapeId="0" xr:uid="{7A277147-EFFD-4546-A60B-8AF570F06B56}">
      <text>
        <r>
          <rPr>
            <b/>
            <sz val="9"/>
            <color indexed="81"/>
            <rFont val="Tahoma"/>
            <family val="2"/>
          </rPr>
          <t>Both sides of the wall are repaired (for each m2, twice the quantity is accounted for).</t>
        </r>
      </text>
    </comment>
    <comment ref="B289" authorId="0" shapeId="0" xr:uid="{30C7065C-3574-432A-8B45-B2112D9971AD}">
      <text>
        <r>
          <rPr>
            <b/>
            <sz val="9"/>
            <color indexed="81"/>
            <rFont val="Tahoma"/>
            <family val="2"/>
          </rPr>
          <t>The pelicun component enables up to 15 damage states for this specific component. There are 11 additional damage states which are not described in the FEMA P58 documentation. Consequences are therefore assumptions (not based on explicit repair activities or material take offs provided by FEMA P58).</t>
        </r>
      </text>
    </comment>
    <comment ref="F309" authorId="1" shapeId="0" xr:uid="{D93E70B0-B663-485B-BF33-F9613565D3A4}">
      <text>
        <r>
          <rPr>
            <b/>
            <sz val="9"/>
            <color indexed="81"/>
            <rFont val="Tahoma"/>
            <family val="2"/>
          </rPr>
          <t>Assumption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<sst xmlns="http://schemas.openxmlformats.org/spreadsheetml/2006/main" count="4978" uniqueCount="1167">
  <si>
    <t>Unit</t>
  </si>
  <si>
    <t>Brightway2 naming</t>
  </si>
  <si>
    <t>Qty</t>
  </si>
  <si>
    <t>Unit BW2</t>
  </si>
  <si>
    <t>Qty BW2</t>
  </si>
  <si>
    <t>Comments</t>
  </si>
  <si>
    <t>Weight (t)</t>
  </si>
  <si>
    <t>C.10.11.001a</t>
  </si>
  <si>
    <t>Wall Partition, Type: Gypsum with metal studs, Full Height, Fixed Below, Fixed Above</t>
  </si>
  <si>
    <t>ft</t>
  </si>
  <si>
    <t>D.10.14.011</t>
  </si>
  <si>
    <t>Traction Elevator – Applies to most California Installations 1976 or later, most western states installations 1982 or later and most other U.S installations 1998 or later.</t>
  </si>
  <si>
    <t>B.30.11.011</t>
  </si>
  <si>
    <t>Concrete tile roof, tiles secured and compliant with UBC94</t>
  </si>
  <si>
    <t>excessiveRID</t>
  </si>
  <si>
    <t>collapse</t>
  </si>
  <si>
    <t>irreparable</t>
  </si>
  <si>
    <t>Component</t>
  </si>
  <si>
    <t>Damage state</t>
  </si>
  <si>
    <t>Screw pop-out, cracking of wall board, warping or cracking of tape, slight crushing of wall panel at corners.</t>
  </si>
  <si>
    <t>Moderate cracking or crushing of gypsum wall boards (typically in corners).  Moderate corner gap openings, bending of boundary studs.</t>
  </si>
  <si>
    <t>Buckling of studs and tearing of tracks.  Tearing or bending of top track, tearing at corners with transverse walls, large gap openings, walls displaced.</t>
  </si>
  <si>
    <t>Retape joints, paste and repaint.  May require cutting and replacing corner sections of board.  Repair 5% wallboard, 10% retape, 25% repaint.</t>
  </si>
  <si>
    <t>Remove and replace 10% of wall board (both sides), retape and paste 25% of wall, paint 50% of wall.  Replace boundary studs of approximately 5 intersections per 100 ft of wall length.</t>
  </si>
  <si>
    <t>Remove and replace 50% of length of metal stud wall, 50% of both sides of the gypsum, and any embedded utilities.  Retape and paste as required.  Repaint 100%.</t>
  </si>
  <si>
    <t>Glass cracking.</t>
  </si>
  <si>
    <t>Glass falls from frame.</t>
  </si>
  <si>
    <t xml:space="preserve">5 % of ceiling grid and tile damage.  </t>
  </si>
  <si>
    <t>30% of ceiling grid and tile damage.</t>
  </si>
  <si>
    <t>50% of ceiling grid and tile damage.</t>
  </si>
  <si>
    <t>Reinstall, repair, or replace 5% of the ceiling area.</t>
  </si>
  <si>
    <t>Replace 30% of the ceiling area.</t>
  </si>
  <si>
    <t xml:space="preserve">Replace the entire ceiling </t>
  </si>
  <si>
    <t>Spraying &amp; Dripping Leakage at joints -  0.02 leaks per 20 ft section of pipe.</t>
  </si>
  <si>
    <t>Joints Break - Major Leakage - 0.02 breaks  per 20 ft section of pipe.</t>
  </si>
  <si>
    <t xml:space="preserve">Replace leaking joints and minor water cleanup.  </t>
  </si>
  <si>
    <t xml:space="preserve">Replace 20 ft section of pipe, joints and major water cleanup at leaking joints.  </t>
  </si>
  <si>
    <t>Disassembly of rod system at connections with horizontal light fixture, low cycle fatigue failure of the threaded rod, pullout of rods from ceiling assembly.</t>
  </si>
  <si>
    <t>Replace damaged lighting components.</t>
  </si>
  <si>
    <t>Minor leakage at flange connections  -  1 leak per 1000 feet of pipe.</t>
  </si>
  <si>
    <t>Individual supports fail and duct sags - 1 failed support per 1000 feet of ducting.</t>
  </si>
  <si>
    <t>Several adjacent supports fail and sections of ducting fall - 60 feet of ducting fail and fall per 1000 foot of ducting.</t>
  </si>
  <si>
    <t>Replace failed supports and repair ducting in vicinity of failed supports.</t>
  </si>
  <si>
    <t>Replace sections of failed ducting and supports.</t>
  </si>
  <si>
    <t>HVAC drops or diffusers dislodges and falls.</t>
  </si>
  <si>
    <t>Replace diffuser/drop and sections of ceiling and ducting in vicinity to which diffuser/drop is connected.</t>
  </si>
  <si>
    <t>Coil damages connection to plumbing.  Leakage of hot water.</t>
  </si>
  <si>
    <t>Replace coil and cleanup  water damage.</t>
  </si>
  <si>
    <t>Spraying &amp; Dripping Leakage at drop joints -  0.01 leaks per drop.</t>
  </si>
  <si>
    <t>Replace sprinkler drops and minor water cleanup at broken joints.</t>
  </si>
  <si>
    <t>Minor damage; tiles dislodged.</t>
  </si>
  <si>
    <t>Major portion of tile dislodged.</t>
  </si>
  <si>
    <t>Reinstall dislodged tiles.</t>
  </si>
  <si>
    <t xml:space="preserve">Reinstall dislodged tiles. </t>
  </si>
  <si>
    <t>Repair chiller and attached piping.  Chiller removed, repaired offsite, and reinstalled.</t>
  </si>
  <si>
    <t>Repair damaged equipment and attached piping.  Cooling tower removed, repaired offsite, and reinstalled.</t>
  </si>
  <si>
    <t>Whole building collapse</t>
  </si>
  <si>
    <t>Whole building is irreparable</t>
  </si>
  <si>
    <t>Clear rubbles &amp; rebuild</t>
  </si>
  <si>
    <t>Demolish, clear rubbles &amp; rebuild</t>
  </si>
  <si>
    <t>FEMA P58 repairs description</t>
  </si>
  <si>
    <t>FEMA P58 DS description</t>
  </si>
  <si>
    <t>EA</t>
  </si>
  <si>
    <t>m2</t>
  </si>
  <si>
    <t>m</t>
  </si>
  <si>
    <t>C.10.11.001a DS2</t>
  </si>
  <si>
    <t>C.10.11.001a DS1</t>
  </si>
  <si>
    <t>C.10.11.001a DS3</t>
  </si>
  <si>
    <t>D.10.14.011 DS1</t>
  </si>
  <si>
    <t>D.10.14.011 DS2</t>
  </si>
  <si>
    <t>D.10.14.011 DS3</t>
  </si>
  <si>
    <t>D.10.14.011 DS4</t>
  </si>
  <si>
    <t>B.30.11.011 DS1</t>
  </si>
  <si>
    <t>B.30.11.011 DS2</t>
  </si>
  <si>
    <t>BOM for each damageable components in the structure. See the FEMA P58 fragility database (v3.1.2) and the FEMAP-58_ConsequenceEstimationSummary_March2018 spreadsheet for some background information.</t>
  </si>
  <si>
    <t>Specific repairs (FEMA P58 Consequence estimation summary)</t>
  </si>
  <si>
    <t>NOTE 2 : FEMA P58 assumes some of its environmental impacts to increase based on the economic costs derived in the ATC-58 Structural fragilities documentation (Consequence estimation summary file). Due to a lack of further information, the scaling ratio are retained where applicable.</t>
  </si>
  <si>
    <t>Replace 30% of tiles (0.3 m2)</t>
  </si>
  <si>
    <t>Replace 30% of grid (0.3 m2)</t>
  </si>
  <si>
    <t>Replace light fixtures (0.129 unit per m2)</t>
  </si>
  <si>
    <t>N/A</t>
  </si>
  <si>
    <t>Replace anchorage</t>
  </si>
  <si>
    <t>Replace cooling tower</t>
  </si>
  <si>
    <t>D.10.14.011 DS5</t>
  </si>
  <si>
    <t>D.10.14.011 DS6</t>
  </si>
  <si>
    <t>D.10.14.011 DS7</t>
  </si>
  <si>
    <t>D.10.14.011 DS8</t>
  </si>
  <si>
    <t>D.10.14.011 DS9</t>
  </si>
  <si>
    <t>D.10.14.011 DS10</t>
  </si>
  <si>
    <t>D.10.14.011 DS11</t>
  </si>
  <si>
    <t>D.10.14.011 DS12</t>
  </si>
  <si>
    <t>D.10.14.011 DS13</t>
  </si>
  <si>
    <t>D.10.14.011 DS14</t>
  </si>
  <si>
    <t>D.10.14.011 DS15</t>
  </si>
  <si>
    <t>Controller anchorage failed</t>
  </si>
  <si>
    <t>Machine anchorage failed</t>
  </si>
  <si>
    <t>Motor generator anchorage failed</t>
  </si>
  <si>
    <t>Governor anchorage failed</t>
  </si>
  <si>
    <t>Rope guard failures</t>
  </si>
  <si>
    <t>Rail distortion</t>
  </si>
  <si>
    <t>Intermediate bracket seperate and spread</t>
  </si>
  <si>
    <t>Car guide shoes damaged</t>
  </si>
  <si>
    <t>Counterweight guide shoes damaged</t>
  </si>
  <si>
    <t>Counterweight frame distortion</t>
  </si>
  <si>
    <t>Cab stabilizers bent</t>
  </si>
  <si>
    <t>Cab walls damaged</t>
  </si>
  <si>
    <t>Cab doors damaged</t>
  </si>
  <si>
    <t>Justifications</t>
  </si>
  <si>
    <t>Other</t>
  </si>
  <si>
    <t>Process-specific burdens, inert material landfill (proxy - CA-NS)</t>
  </si>
  <si>
    <t>unit</t>
  </si>
  <si>
    <t>Delivery of materials to the building site (assumes 100 km of transport)</t>
  </si>
  <si>
    <t>Waste handling for all repaired material (assumes transports over 30 km)</t>
  </si>
  <si>
    <t>All residues are assumed to be landfilled.</t>
  </si>
  <si>
    <t>See Doka 2009 on demolition (ecoinvent report # 13 - Building material disposal), table 3.20</t>
  </si>
  <si>
    <t>LF paper tape</t>
  </si>
  <si>
    <t>m paper tape</t>
  </si>
  <si>
    <t>https://certainteed.widen.net/content/opoyh8dp5n/pdf/117.2-CertainTeed-Gypsum-EPD-TypeC-OneHalfInch-Gypsum-Board-MontrealQC.pdf?u=nwk4fd</t>
  </si>
  <si>
    <t>Gypsum board</t>
  </si>
  <si>
    <t>Joint tape</t>
  </si>
  <si>
    <t>Paint</t>
  </si>
  <si>
    <t>https://www.usg.com/content/dam/USG_Marketing_Communications/canada/product_promotional_materials/finished_assets/cgc-drywall-joint-tape-data-en-can.pdf</t>
  </si>
  <si>
    <t>https://images.homedepot.ca/pdf/BEHR%20DYNASTY%20INTERIOR%20EGGSHELL%20ENAMEL%20PAINT_TDS_Canada-pdf.pdf</t>
  </si>
  <si>
    <t>kg of gypsum board</t>
  </si>
  <si>
    <t>kg of paint</t>
  </si>
  <si>
    <t>sheet rolling, steel {CA-NS} - proxy ; Steel, low alloyed - misc {CA-NS} proxy ; Zinc coat, pieces {RoW}</t>
  </si>
  <si>
    <t xml:space="preserve">Galvanised steel, cold forming </t>
  </si>
  <si>
    <t>https://www.homedepot.ca/product/bailey-metal-products-platinum-plus-3-5-8-inch-x-10-ft-galvanized-steel-wall-framing-stud/1000497128</t>
  </si>
  <si>
    <t>kg/stud</t>
  </si>
  <si>
    <t>Galvanised steel, cold forming. Deriving a ratio in FEMA P58 prices between DS2 and DS3 for this assembly, yields 13 studs in DS3.</t>
  </si>
  <si>
    <t>kg of mortar per m2 of ceramic (see EPD)</t>
  </si>
  <si>
    <t>kg/m2</t>
  </si>
  <si>
    <t>kg/m2 (tile density, see EPD, thickness between 7 to 12 mm)</t>
  </si>
  <si>
    <t>https://whytile.com/wp-content/uploads/2018/05/Full-Report_2020-EPD-for-Ceramic-Tile-Made-in-North-America.pdf ; https://tcnatile.com/wp-content/uploads/2024/04/TCNA-IW-EPD-Mortar-2022.12.15.pdf ; https://www.belktile.com/grout-coverage-charts/ ; https://cdnmedia.mapei.com/docs/librariesprovider10/products-documents/7_grout-epd_bce523ab91d548dca7749758d8d4cc46.pdf?sfvrsn=7bc6f905_0</t>
  </si>
  <si>
    <t>kg/m2 of grout</t>
  </si>
  <si>
    <t>https://www.usg.com/content/dam/USG_Marketing_Communications/united_states/product_promotional_materials/finished_assets/halcyon-eco-halcyon-eco-healthcare-acoustical-panels-epd-en.pdf ; https://www.armstrongceilings.com/content/dam/armstrongceilings/commercial/north-america/data-sheets/data-sheet-lyra-concealed.pdf</t>
  </si>
  <si>
    <t>Ceiling tile, glass fiber {RNA} proxy ; Most Fiberglass ceiling tile EPDs report the product being made of (nearly) 100% fiberglass, with a coat of paint.</t>
  </si>
  <si>
    <t>https://buildingtransparency.org/ec3/epds/ec3adnuj ; https://images.homedepot.ca/pdf/CGC%20Materials%20Estimator%20-%20Ceilings%20-%20Bilingual-pdf.pdf</t>
  </si>
  <si>
    <t>Galvanised steel, cold forming. Suspended ceiling data suggests quantities are close to 0.9 kg/m2</t>
  </si>
  <si>
    <t>kg/unit</t>
  </si>
  <si>
    <t>https://www.lamp.es/product-files/EPD/EPD-0002-EN.pdf ; https://www.assets.signify.com/is/content/Signify/Assets/philips-lighting/global/20220621-storeset-linear-product-declaration-v4.pdf</t>
  </si>
  <si>
    <t>Light fixture {GLO} - Unspecified light fixture unit, derived from the comparison of several EPD datasheets.</t>
  </si>
  <si>
    <t>Assumption : 95% ductile cast iron, 5 % nitrile rubber ; nitrile rubber is not directly available within ecoinvent. A proxy is taken as ABS plastic (where acrylonitrile and butadiene are two essential constituants to ABS and nitrile rubber).</t>
  </si>
  <si>
    <t>https://assets.victaulic.com/assets/uploads/literature/06.18.pdf ; https://assets.victaulic.com/assets/uploads/literature/05.01.pdf</t>
  </si>
  <si>
    <t>kg cast iron</t>
  </si>
  <si>
    <t>kg nitrile rubber</t>
  </si>
  <si>
    <t>https://novasteel.ca/wp-content/uploads/2022/12/ASTM-A795-Dec-14.pdf ; https://assets.victaulic.com/assets/uploads/literature/06.18.pdf</t>
  </si>
  <si>
    <t>National fire code of Canada requires pipe compliance with ASTM A53 ; Schedule #40 pipe ; 1 inch diameter (2.5 kg/m)</t>
  </si>
  <si>
    <t>kg/m</t>
  </si>
  <si>
    <t>https://www.lamp.es/product-files/EPD/EPD-0002-EN.pdf ; https://www.assets.signify.com/is/content/Signify/Assets/philips-lighting/global/20220621-storeset-linear-product-declaration-v4.pdf ; https://www.epd-norge.no/getfile.php/1359739-1716386872/EPDer/Byggevarer/NEPD-6623-5889_MOTUS-Pendant-250-Track.pdf</t>
  </si>
  <si>
    <t>Light fixture {GLO} dataset is re-used to represent a pendant luminaire. Weight adjusted accordingly.</t>
  </si>
  <si>
    <t>https://www.eaton.com/content/dam/eaton/products/support-systems/pipe-hangers/pipe-straps/pipe-hanger-and-supports-ca310001en.pdf</t>
  </si>
  <si>
    <t>Galvanised steel, cold forming. Following the B3100 pipe hanger (15.9 kg/100 hangers) ; add a 3/8'' rod of 16'' long</t>
  </si>
  <si>
    <t>Hanger (kg)</t>
  </si>
  <si>
    <t>Rod (kg)</t>
  </si>
  <si>
    <t>Rod (kg) -- assumed negligeable</t>
  </si>
  <si>
    <t>circumference</t>
  </si>
  <si>
    <t>duct maximal radius (ft)</t>
  </si>
  <si>
    <t>https://www.lowes.com/pd/ELK-ELK-Aluminum-Foil-Tape-for-Metal-Repair-Air-Ducts-Insulated-Pipes-HVAC-Sealing-Ductwork-Vapor-Exhaust-and-Heat-Resistant-Safe-Professional-Grade-Insulation-Sealer-Silver-1-88-in-x-150-ft/1003237760 ; https://www.homedepot.ca/product/cantech-aluminum-foil-tape-for-ductwork/1001592758</t>
  </si>
  <si>
    <t>kg/10 meters</t>
  </si>
  <si>
    <t>m/repair</t>
  </si>
  <si>
    <t>https://www.smcduct.com/wp-content/uploads/2016/06/Spiral-Pipe-and-Fittings.pdf ; https://www.lowes.com/pd/ELK-ELK-Aluminum-Foil-Tape-for-Metal-Repair-Air-Ducts-Insulated-Pipes-HVAC-Sealing-Ductwork-Vapor-Exhaust-and-Heat-Resistant-Safe-Professional-Grade-Insulation-Sealer-Silver-1-88-in-x-150-ft/1003237760 ; https://www.homedepot.ca/product/cantech-aluminum-foil-tape-for-ductwork/1001592758</t>
  </si>
  <si>
    <t>lb/ft of duct (gauge 20)</t>
  </si>
  <si>
    <t>Assumes 2 seals required, along with a section replacement. Due to a lack of further details, a 6 sq ft section is assumed.</t>
  </si>
  <si>
    <t>https://itsolution.lindab.com/lindabwebproductsdoc/assets/production/NGE0NGE3YjUtZmRjYi00Mzg0LWE0YTYtN2JmZDI2Yzc0NjE5/5249987968817733757/EPD_Lindab_s.r.o._Ceiling_diffusers_Integra__LCC,_LCP_and_LKP_HUB-0671_2023-09-13.pdf ; https://api.environdec.com/api/v1/EPDLibrary/Files/c5aa0702-82b0-4f6d-51fa-08dbd569605a/Data ; https://www.priceindustries.com/content/uploads/assets/literature/catalogs/complete-sections/section%20a/section-c---ceiling-diffusers.pdf</t>
  </si>
  <si>
    <t>kg of steel/m2 (assumed within the powder coating process)</t>
  </si>
  <si>
    <t>kg/diffuser</t>
  </si>
  <si>
    <t>Steel ratio over powder coat + steel</t>
  </si>
  <si>
    <t>Most ceiling diffuser producers can be identified within the Regions of Europe (thus modeled accordingly)</t>
  </si>
  <si>
    <t>Unspecified repair works.</t>
  </si>
  <si>
    <t>market for transport, freight, sea, container ship</t>
  </si>
  <si>
    <t>Delivery of materials (from Europe to Canada, 5900 km)</t>
  </si>
  <si>
    <t>https://www.shareddocs.com/hvac/docs/1005/Public/07/28B-3PD.pdf</t>
  </si>
  <si>
    <t>Due to low amount of data, a proxy from the reference is taken as copper tubes forming the coil, with a weight of 24 kg.</t>
  </si>
  <si>
    <t>https://www.asc-es.com/resource/Ultra%20SprinkFlex%20Flexible%20Hose%20(Short)%20Submittal%20HB1 ; https://www.qrfs.com/fire-sprinklers/sprinkflex-flexible-drop-1-2-in-npt-28-in-length ; https://www.reliablesprinkler.com/files/bulletins/RASCOFLEX-Brochure.pdf?x29600</t>
  </si>
  <si>
    <t>kg/sprinkler drop</t>
  </si>
  <si>
    <t>No significant emissions related to the direct failure or replacement may be traced.</t>
  </si>
  <si>
    <t>https://www.sciencedirect.com/science/article/pii/S0959652614012098 ; https://tileroofscanada.com/eagle-concrete-tile-canada/ ; https://www.igbc.ie/wp-content/uploads/2023/02/EPD-Breedon-Roof-Tiles-8-02-2023-EPDIE-22-108.pdf</t>
  </si>
  <si>
    <t>From Maia de Souza et al 2015, assumes 46.8 kg/m2.</t>
  </si>
  <si>
    <t>concrete roof tile production {GLO}</t>
  </si>
  <si>
    <t>Drawings suggest on average 4 anchor bolts per chiller. Assumes bolts are size 3/4'' (Table 3-2 HBSC 11th edition) - 285 mm2. Assumed length of 4'' per bolt.</t>
  </si>
  <si>
    <t>kg/bolt</t>
  </si>
  <si>
    <t>https://www.lg.com/global/business/download/resources/sac/Catalogue_Absorption%20Chillers_ENG_F.pdf ; Table 3-2 HBSC 11th edition</t>
  </si>
  <si>
    <t>ton/chiller</t>
  </si>
  <si>
    <t>None of the residues are assumed to be landfilled (due to the high content of metal in the dataset)</t>
  </si>
  <si>
    <t>Transport of the unit to a sorting/recycling center (assumes transports over 30 km)</t>
  </si>
  <si>
    <t>https://link.springer.com/chapter/10.1007/978-3-319-92237-9_15 ; https://www.evapco.com/sites/evapco.com/files/2021-04/CT21MKT%20Web_0.pdf ; https://deltacooling.com/attachments/Product/2/resources/Product-Brochure.pdf ; Table 3-2 HBSC 11th edition</t>
  </si>
  <si>
    <t>The cooling tower is grossly approximated using Schulz et al 2019 ; Assumes a minimum of 4 bolts per tower. Assumes bolts are size 3/4'' (Table 3-2 HBSC 11th edition) - 285 mm2. Assumed length of 4'' per bolt.</t>
  </si>
  <si>
    <t>Various documentation suggest air handling units of such capacity should be in the vicinity of 1700 kg. Material composition relying essentially on Galvanized steel (60%), aluminum (20%), wool insulation (8%) and other ; Assumes a minimum of 4 bolts per tower. Assumes bolts are size 3/4'' (Table 3-2 HBSC 11th edition) - 285 mm2. Assumed length of 4'' per bolt.</t>
  </si>
  <si>
    <t>https://www.lg.com/eastafrica/business/download/airsolution/LG_AHU%20Catalogue[20220718_200945160].pdf ; https://www.epddanmark.dk/media/43kpnonw/md-23024-en.pdf ; https://api.environdec.com/api/v1/EPDLibrary/Files/cf97a939-144b-4e35-0c34-08dc5e07fd56/Data ; https://www.swegon.com/na/products-and-services/air-handling/air-handling-units/gold/gold-rx/ ; Table 3-2 HBSC 11th edition</t>
  </si>
  <si>
    <t>The FEMA P58 consequences documentation only mentions mechanical and electrical modifications and relocations (no specific repair work detailed).</t>
  </si>
  <si>
    <t>https://www.vicon-security.com/wp-content/uploads/2021/08/VAX-Elevator-Controller_Datasheet.pdf ; Table 3-2 HBSC 11th edition ; https://www.eng.buffalo.edu/mceer-reports/02/02-0002.pdf</t>
  </si>
  <si>
    <t>https://www.eng.buffalo.edu/mceer-reports/02/02-0002.pdf</t>
  </si>
  <si>
    <t>Counterweight bracket break or bend</t>
  </si>
  <si>
    <t>Car bracket break or bend</t>
  </si>
  <si>
    <t>lb/ft</t>
  </si>
  <si>
    <t>https://www.hollisterwhitney.com/wp-content/uploads/2019/04/Counterweight-Frames-Brochure.pdf</t>
  </si>
  <si>
    <t>Assumes a minimum of 4 bolts per unit. Assumes bolts are size 3/4'' (Table 3-2 HBSC 11th edition) - 285 mm2. Assumed length of 4'' per bolt. See figure 1-1 in the justification section for reference.</t>
  </si>
  <si>
    <t>kg / bracket  spaced @ 12 ft</t>
  </si>
  <si>
    <t>Replace bracket and anchorage</t>
  </si>
  <si>
    <t>https://www.eng.buffalo.edu/mceer-reports/02/02-0002.pdf ; Table 3-2 HBSC 11th edition</t>
  </si>
  <si>
    <t xml:space="preserve">See thesis brackets. The damage state does not specify how many (assumed 1 failed bracket) ; Assumes bolts are size 3/4'' (Table 3-2 HBSC 11th edition) - 285 mm2. Assumed length of 4'' per bolt. </t>
  </si>
  <si>
    <t>Replace one 20' section</t>
  </si>
  <si>
    <t xml:space="preserve">Assumes a guide rail section per ASME A17.1 (see thesis table 1-1 in the justification section). </t>
  </si>
  <si>
    <t>Cold formed stainless steel</t>
  </si>
  <si>
    <t>Replace one door</t>
  </si>
  <si>
    <t>kg steel/door</t>
  </si>
  <si>
    <t>https://www.schindler.com/content/dam/website/us/docs/elevators/schindler-3300/schindler-3300-mrl-elevator-brochure.pdf/_jcr_content/renditions/original./schindler-3300-mrl-elevator-brochure.pdf ; https://www.fujitec.com/common/fjhp/doc/top_global/img_fixed_page/products/ZEXIA_1712ver_all.pdf ; https://www.liftsolutions.net/elevator-door-panels.html</t>
  </si>
  <si>
    <t>kg / bracket</t>
  </si>
  <si>
    <t>Replace one cab  wall section</t>
  </si>
  <si>
    <t>kg steel/frame</t>
  </si>
  <si>
    <t>Replace counterweight frame</t>
  </si>
  <si>
    <t>kg/shoe</t>
  </si>
  <si>
    <t>https://www.elevatorequipment.co.uk/car-equipment/guide-shoes/t305-guide-shoe ; https://dazentech.com/elevator-car-guide-shoe/#:~:text=The%20car%20guide%20shoe%20is,steel%20or%20high%2Ddensity%20plastics.</t>
  </si>
  <si>
    <t>Replace guide shoes</t>
  </si>
  <si>
    <t>Assumption : identical to the guide shoes.</t>
  </si>
  <si>
    <t xml:space="preserve">Assumption : same as other brackets (see thesis brackets). The damage state does not specify how many (assumed 1 failed bracket) ; Assumes bolts are size 3/4'' (Table 3-2 HBSC 11th edition) - 285 mm2. Assumed length of 4'' per bolt. </t>
  </si>
  <si>
    <t>https://elevators.parts/garde-cable/</t>
  </si>
  <si>
    <t>kg/rope guard</t>
  </si>
  <si>
    <t>Unspecified amount of guard failures. Only 1 assumed in modeling the consequences.</t>
  </si>
  <si>
    <t>Replace rope guard</t>
  </si>
  <si>
    <t>Due to lack of data, assumed similar to other brackets, see thesis brackets in the justification section</t>
  </si>
  <si>
    <t>https://www.madelevator.com/files/support/shell-assembly-instructions.pdf ; https://acim.nidec.com/elevators/-/media/elevators/canton-elevator/canton-arch-products/downloads/cab-steady-bracket-assembly.ashx ; https://www.eng.buffalo.edu/mceer-reports/02/02-0002.pdf</t>
  </si>
  <si>
    <t>Replace cab stabilizer brackets</t>
  </si>
  <si>
    <t>Drywall (partitions)</t>
  </si>
  <si>
    <t>Elevator</t>
  </si>
  <si>
    <t>Curtain wall - Glazed aluminum panels (exterior)</t>
  </si>
  <si>
    <t xml:space="preserve">Ceramic tile </t>
  </si>
  <si>
    <t>Pendant lighting</t>
  </si>
  <si>
    <t>HVAC diffusers</t>
  </si>
  <si>
    <t>HVAC ducting - stainless steel</t>
  </si>
  <si>
    <t>Variable air volume box</t>
  </si>
  <si>
    <t>Fire sprinkler piping</t>
  </si>
  <si>
    <t>Fire sprinkler drops</t>
  </si>
  <si>
    <t>Concrete tile roof</t>
  </si>
  <si>
    <t>Chiller - capacity 350 to &lt;750 tons</t>
  </si>
  <si>
    <t>Cooling tower - capacity 350 to &lt;750 tons</t>
  </si>
  <si>
    <t>Air handling unit (10 000 to 25 000 CFM)</t>
  </si>
  <si>
    <t>Bay dimensions</t>
  </si>
  <si>
    <t>m3</t>
  </si>
  <si>
    <t>Volume (m3)</t>
  </si>
  <si>
    <t>m of joint tape/m2</t>
  </si>
  <si>
    <t>kg of wet joint compound/m2</t>
  </si>
  <si>
    <t>kg paint/m2</t>
  </si>
  <si>
    <t>Final  joint/compound/paint quantities</t>
  </si>
  <si>
    <t>Tracks</t>
  </si>
  <si>
    <t>Stud count</t>
  </si>
  <si>
    <t>kg</t>
  </si>
  <si>
    <t>linear meter</t>
  </si>
  <si>
    <t>kg of stud</t>
  </si>
  <si>
    <t>kg/m2 (panel)</t>
  </si>
  <si>
    <t>kg/m2 (metalic hangers)</t>
  </si>
  <si>
    <t>kg (whole elevator, including counterweight)</t>
  </si>
  <si>
    <t>Simplifying assumption due to sparse data. Taken as the counterweight mass (see thesis)</t>
  </si>
  <si>
    <t>Amount of braces</t>
  </si>
  <si>
    <t>kg of pipe/m</t>
  </si>
  <si>
    <t>kg/brace</t>
  </si>
  <si>
    <t>units</t>
  </si>
  <si>
    <t>Construction (rebuild)</t>
  </si>
  <si>
    <t>kg/m of duct (gauge 20)</t>
  </si>
  <si>
    <t>kg/hanger</t>
  </si>
  <si>
    <t>Amount of hangers</t>
  </si>
  <si>
    <t>kg/terminal</t>
  </si>
  <si>
    <t>ton/cooling tower</t>
  </si>
  <si>
    <t>ton/ air handling unit</t>
  </si>
  <si>
    <t>volume (m3)</t>
  </si>
  <si>
    <t>All residues are assumed to be landfilled. Components made from large quantities of recyclable metals are deemed recycled.</t>
  </si>
  <si>
    <t>https://www.sciencedirect.com/science/article/pii/S1876610218308300</t>
  </si>
  <si>
    <t>kg - Worksite water consumption</t>
  </si>
  <si>
    <t>kWh of electricity</t>
  </si>
  <si>
    <t xml:space="preserve"> Scaling ratio (reference paper to target building)</t>
  </si>
  <si>
    <t>machine operation, diesel, &gt;= 18.64 kW and &lt; 74.57 kW, steady-state {GLO}</t>
  </si>
  <si>
    <t>L of diesel</t>
  </si>
  <si>
    <t>hr</t>
  </si>
  <si>
    <t>kg/L (diesel density)</t>
  </si>
  <si>
    <t>kg/hr (ecoinvent dataset assumption)</t>
  </si>
  <si>
    <t>market for tap water {CA-NS} - proxy</t>
  </si>
  <si>
    <t>market for electricity, medium voltage {CA-NS}</t>
  </si>
  <si>
    <t>Worksite electricity consumption - approximated from the paper in justification.</t>
  </si>
  <si>
    <t>Worksite heavy machinerie operation - approximated from the paper in justification.</t>
  </si>
  <si>
    <t>Worksite water consumption - approximated from the paper in justification ; The water dataset is a simplified proxy from the tap water market of CA-QC (using the two main water production technologies in the dataset).</t>
  </si>
  <si>
    <t>m3 of concrete</t>
  </si>
  <si>
    <t>kg of steel</t>
  </si>
  <si>
    <t>5/8'' wallboards (note : quantities developed for 1/2'' thick plasterboard) + Paint + joint compound + sealing tape</t>
  </si>
  <si>
    <t>https://certainteed.widen.net/content/opoyh8dp5n/pdf/117.2-CertainTeed-Gypsum-EPD-TypeC-OneHalfInch-Gypsum-Board-MontrealQC.pdf?u=nwk4fd ; https://images.homedepot.ca/pdf/BEHR%20DYNASTY%20INTERIOR%20EGGSHELL%20ENAMEL%20PAINT_TDS_Canada-pdf.pdf ; https://images.homedepot.ca/pdf/CGC%20Materials%20Estimator%20-%20Drywall%20-%20Bilingual-pdf.pdf ; https://www.usg.com/content/dam/USG_Marketing_Communications/canada/sds/cgc-sheetrock-all-purpose-drywall-compound-sds-en-61001010004.pdf ; https://www.usg.com/content/dam/USG_Marketing_Communications/canada/product_promotional_materials/finished_assets/cgc-drywall-joint-tape-data-en-can.pdf</t>
  </si>
  <si>
    <t>Ceramic tile production quantities adjusted as per EPDs (mortar, tile &amp; grout)</t>
  </si>
  <si>
    <t>3-5/8'' metal studs at 16'' c/c ; Galvanised steel, cold forming</t>
  </si>
  <si>
    <t>https://images.thdstatic.com/catalog/pdfImages/99/99148400-32ce-44d9-b170-4a56e48d735b.pdf ; https://www.homedepot.ca/product/bailey-metal-products-platinum-plus-3-5-8-inch-x-10-ft-galvanized-steel-wall-framing-stud/1000497128</t>
  </si>
  <si>
    <t>Ceiling tile, glass fiber {RNA} proxy ; Most Fiberglass ceiling tile EPDs report the product being made of (nearly) 100% fiberglass, with a coat of paint ; Galvanised steel, cold forming. Suspended ceiling data suggests quantities are close to 0.9 kg/m2</t>
  </si>
  <si>
    <t>https://www.usg.com/content/dam/USG_Marketing_Communications/united_states/product_promotional_materials/finished_assets/halcyon-eco-halcyon-eco-healthcare-acoustical-panels-epd-en.pdf ; https://www.armstrongceilings.com/content/dam/armstrongceilings/commercial/north-america/data-sheets/data-sheet-lyra-concealed.pdf ; https://buildingtransparency.org/ec3/epds/ec3adnuj ; https://images.homedepot.ca/pdf/CGC%20Materials%20Estimator%20-%20Ceilings%20-%20Bilingual-pdf.pdf</t>
  </si>
  <si>
    <t>2,241 LF + 2,418 LF x 3 ; braced every 12 feet ; National fire code of Canada requires pipe compliance with ASTM A53 ; Schedule #40 pipe ; 1 inch diameter (2.5 kg/m)</t>
  </si>
  <si>
    <t>Due to a lack of further details, a 6 sq ft section is assumed.</t>
  </si>
  <si>
    <t>VAV terminal with hot water coil. Simplified to stainless steel and copper coils ; Due to low amount of data, a proxy from the reference is taken as copper tubes forming the coil, with a weight of 24 kg.</t>
  </si>
  <si>
    <t>https://tahoeweb.daikinapplied.com/api/general/DownloadDocumentByName/media/Daikin_CAT_903-1_LR_Air_Terminal_Units_Catalog.pdf/ ; https://www.shareddocs.com/hvac/docs/1005/Public/07/28B-3PD.pdf</t>
  </si>
  <si>
    <t>Demolition (demolish still-standing structure &amp; clear rubbles)</t>
  </si>
  <si>
    <t>Suspended grid (ceiling)</t>
  </si>
  <si>
    <t>Final mortar/tile/grout quantities</t>
  </si>
  <si>
    <t>Final hanger quantity</t>
  </si>
  <si>
    <t>kg of copper for coil</t>
  </si>
  <si>
    <t>B.10.31.001</t>
  </si>
  <si>
    <t>B.10.31.011c</t>
  </si>
  <si>
    <t>B.10.35.012</t>
  </si>
  <si>
    <t>B.10.35.002</t>
  </si>
  <si>
    <t>B.10.35.011</t>
  </si>
  <si>
    <t>B.10.35.001</t>
  </si>
  <si>
    <t>Bolted shear tab gravity connections</t>
  </si>
  <si>
    <t>Steel Column Base Plates, Column W &gt; 300 plf</t>
  </si>
  <si>
    <t>Post-Northridge RBS connection with welded web, beams both sides of column, beam depth &gt;= W30</t>
  </si>
  <si>
    <t>Post-Northridge RBS connection with welded web, beam one side of column only, beam depth &gt;= W30</t>
  </si>
  <si>
    <t>Post-Northridge RBS connection with welded web, beams both sides of column, beam depth &lt;= W27</t>
  </si>
  <si>
    <t>Post-Northridge RBS connection with welded web, beam one side of column only, beam depth &lt;= W27</t>
  </si>
  <si>
    <t>Yielding of shear tab and elongation of bolt holes, possible crack initiation around bolt holes or at shear tab weld.  Damage in field is either obscured or deemed to not warrant repair.  No repair conducted.</t>
  </si>
  <si>
    <t>Yielding of shear tab and elongation of bolt holes, possible crack initiation around bolt holes or at shear tab weld.</t>
  </si>
  <si>
    <t>Partial tearing of shear tab and possibility of bolt shear failure (6-bolt or deeper connections).</t>
  </si>
  <si>
    <t xml:space="preserve">Complete separation of shear tab, close to complete loss of vertical load resistance. </t>
  </si>
  <si>
    <t>Careful inspection and welded repair to any cracks and possible replacement of shear tab if bolt hole deformations are excessive (possible for deeper 6-bolt or deeper shear tabs).  Field condition is deemed to not warrant repair by field observation.  This Damage State is Mutually Exclusive with DS2.  See fragility DS1 and DS2 probabilities.</t>
  </si>
  <si>
    <t xml:space="preserve">Careful inspection and welded repair to any cracks and possible replacement of shear tab if bolt hole deformations are excessive (possible for deeper 6-bolt or deeper shear tabs). </t>
  </si>
  <si>
    <t>Repairs will include either welded repair of shear tab or possible complete replacement of shear tab and installation of new bolts.  Repairs may require shoring of beam.</t>
  </si>
  <si>
    <t>Repair will include complete replacement of shear tab and installation of new bolts. Repairs will require shoring of beam.</t>
  </si>
  <si>
    <t>Patch partitions (90 SF)</t>
  </si>
  <si>
    <t>Re-weld/repair shear tab, replace shear bolts</t>
  </si>
  <si>
    <t>Replace shear tab</t>
  </si>
  <si>
    <t>Replace bolts</t>
  </si>
  <si>
    <t>Re-weld/repair shear tab, replace shear bolts (1.25 DS2)</t>
  </si>
  <si>
    <t>Initiation of crack at the fusion line between the column flange and the base plate weld.  Damage in field is either obscured or deemed to not warrant repair.  No repair conducted.</t>
  </si>
  <si>
    <t>Initiation of crack at the fusion line between the column flange and the base plate weld.</t>
  </si>
  <si>
    <t xml:space="preserve">Propagation of brittle crack into column and/or base plate. </t>
  </si>
  <si>
    <t>Complete fracture of the column (or column weld) and dislocation of column relative to the base.</t>
  </si>
  <si>
    <t>The repair will involve removal of a portion of grade slab, gouging out material surrounding the fracture initiating and re-welding, then repair of slab. Field condition is deemed to not warrant repair by field observation.  This Damage State is Mutually Exclusive with DS2.  See fragility DS1 and DS2 probabilities.</t>
  </si>
  <si>
    <t xml:space="preserve">The repair will involve removal of a portion of grade slab, gouging out material surrounding the fracture initiating and re-welding, then repair of slab. </t>
  </si>
  <si>
    <t>Depending on the crack trajectory, the repair will range from replacement of a portion of the column or base plate to full replacement of the column base. Replacement will require shoring of column, torch cutting to remove damaged material, and fabrication</t>
  </si>
  <si>
    <t xml:space="preserve">Repair would likely involve replacing the entire base plate assembly and most of the column in the story above the base plate. </t>
  </si>
  <si>
    <t>Patch partitions (210 SF)</t>
  </si>
  <si>
    <t>Repair slab &amp; refinish (210 SF)</t>
  </si>
  <si>
    <t>Replace base plate and splice column repair</t>
  </si>
  <si>
    <t>Replace column (0.9 T of steel)</t>
  </si>
  <si>
    <t>The likely repair state is heat straightening of the buckled flanges and web.  Repair and replace partitions at connection.</t>
  </si>
  <si>
    <t>Repair will necessitate removal and replacement of distorted and or fractured portion of beam.   Repair and replace partitions at connection.</t>
  </si>
  <si>
    <t>Repair will necessitate removal and replacement of distorted and/or fractured portion of beam.  Repair and replace partitions at connection.</t>
  </si>
  <si>
    <t xml:space="preserve">Local beam flange and web buckling. </t>
  </si>
  <si>
    <t xml:space="preserve">DS1 plus lateral-torsional distortion of beam in hinge region. </t>
  </si>
  <si>
    <t>Low-cycle fatigue fracture in buckled region of RBS.</t>
  </si>
  <si>
    <t>Patch partitions (450 SF)</t>
  </si>
  <si>
    <t>Cut out and replace deck, concrete &amp; rebar (40 SF)</t>
  </si>
  <si>
    <t>Cut out and insert new beam (1.6 T)</t>
  </si>
  <si>
    <t>Grind existing steel ends</t>
  </si>
  <si>
    <t>Weld at column and beam</t>
  </si>
  <si>
    <t>Patch partitions (225 SF)</t>
  </si>
  <si>
    <t>Heat straightening (10 LF)</t>
  </si>
  <si>
    <t>Heat straightening (20 LF)</t>
  </si>
  <si>
    <t>Cut out and replace deck, concrete &amp; rebar (20 SF)</t>
  </si>
  <si>
    <t>Cut out and insert new beam (0.8 T)</t>
  </si>
  <si>
    <t>Cut out and insert new beam (1.0 T)</t>
  </si>
  <si>
    <t>Cut out and insert new beam (0.5 T)</t>
  </si>
  <si>
    <t>B.20.22.001</t>
  </si>
  <si>
    <t>C.30.11.001a</t>
  </si>
  <si>
    <t>C30.27.001</t>
  </si>
  <si>
    <t>C.30.32.001a</t>
  </si>
  <si>
    <t>D.20.21.011a</t>
  </si>
  <si>
    <t>D.30.41.012a</t>
  </si>
  <si>
    <t>D.30.41.011a</t>
  </si>
  <si>
    <t>D.30.41.041a</t>
  </si>
  <si>
    <t>D.30.41.031a</t>
  </si>
  <si>
    <t>C.30.34.001</t>
  </si>
  <si>
    <t>D.40.11.021a</t>
  </si>
  <si>
    <t>C.20.11.001b</t>
  </si>
  <si>
    <t>D.40.11.031a</t>
  </si>
  <si>
    <t>D.50.12.021a</t>
  </si>
  <si>
    <t>D.30.31.011a</t>
  </si>
  <si>
    <t>D.30.31.021a</t>
  </si>
  <si>
    <t>D.30.52.011a</t>
  </si>
  <si>
    <t>D.50.12.013a</t>
  </si>
  <si>
    <t>Curtain Walls - Generic Midrise Stick-Built Curtain wall, Config: Monolithic, Lamination: Unknown, Glass Type: Unknown, Details: Aspect ratio = 6:5,  Other details Unknown</t>
  </si>
  <si>
    <t>Wall Partition, Type: Gypsum + Wallpaper, Full Height, Fixed Below, Fixed Above</t>
  </si>
  <si>
    <t>Wall paper warped and torn.</t>
  </si>
  <si>
    <t>Remove existing wall paper (or wall) and install new wall paper for full 100 foot length of wall.  Existing wall damage per wall type NISTIR file.</t>
  </si>
  <si>
    <t>Raised Access Floor, non seismically rated.</t>
  </si>
  <si>
    <t>Minor damage to the flooring system.  Damage to the equipment of the flooring system.</t>
  </si>
  <si>
    <t>Repair the flooring system, assume cost equal to 5% of the replacement cost.  Repair the flooring equipment, assume a cost equal to 10% of the replacement cost.</t>
  </si>
  <si>
    <t>Suspended Ceiling, SDC A,B,C, Area (A): A &lt; 250, Vert support only</t>
  </si>
  <si>
    <t>Cold or Hot Potable  - Small Diameter Threaded Steel - (2.5 inches in diameter or less), SDC A or B, PIPING FRAGILITY</t>
  </si>
  <si>
    <t xml:space="preserve">Pipe Break - 1 break per 1000 feet of pipe. </t>
  </si>
  <si>
    <t>Retighten flange bolts at leaking joints.  One joint per 1000 LF.</t>
  </si>
  <si>
    <t>Replace 20 foot sections of pipe where breaks occur.  One repair per 1000 LF.</t>
  </si>
  <si>
    <t>HVAC Galvanized Sheet Metal Ducting -  6 sq. ft cross sectional area or greater, SDC A or B</t>
  </si>
  <si>
    <t>Several adjacent supports fail and sections of ducting fall - 60 feet of ducting fail and fall per 1000 foot of ducting</t>
  </si>
  <si>
    <t>HVAC Galvanized Sheet Metal Ducting less than 6 sq. ft in cross sectional area, SDC A or B</t>
  </si>
  <si>
    <t>HVAC Drops / Diffusers in suspended ceilings - No independent safety wires, SDC A or B</t>
  </si>
  <si>
    <t>Variable Air Volume (VAV) box with in-line coil, SDC A or B</t>
  </si>
  <si>
    <t>Independent Pendant Lighting - non seismic</t>
  </si>
  <si>
    <t>Fire Sprinkler Water Piping - Horizontal Mains and Branches - Old Style Victaulic - Thin Wall Steel - No bracing, SDC A or B, PIPING FRAGILITY</t>
  </si>
  <si>
    <t>Fire Sprinkler Drop Standard Threaded Steel - Dropping into unbraced lay-in tile SOFT ceiling - 6 ft. long drop maximum, SDC A or B</t>
  </si>
  <si>
    <t>Drop Joints Break - Major Leakage - 0.01 breaks  per drop.</t>
  </si>
  <si>
    <t>Replace sprinkler drops and major water cleanup at broken joints</t>
  </si>
  <si>
    <t>Prefabricated steel stair with steel treads and landings with no seismic joint.</t>
  </si>
  <si>
    <t>Non structural damage, local steel yielding.</t>
  </si>
  <si>
    <t>Buckling of steel, weld cracking.</t>
  </si>
  <si>
    <t>Loss of live load capacity.  Connection and or weld fracture.</t>
  </si>
  <si>
    <t>Patch, paint.</t>
  </si>
  <si>
    <t>Removal and replacement of damaged components.  Field repair of damage (such as welding).  Repair finsihes.</t>
  </si>
  <si>
    <t>Replace stair and handrail.  Repair and replace affected soffits and floor finishes.</t>
  </si>
  <si>
    <t>Low Voltage Switchgear - Capacity: 100 to &lt;350 Amp - Unanchored equipment that is not vibration isolated - Equipment fragility only</t>
  </si>
  <si>
    <t>Damaged, inoperative.</t>
  </si>
  <si>
    <t>Replace insulator.</t>
  </si>
  <si>
    <t>Chiller - Capacity: &lt; 100 Ton - Unanchored equipment that is not vibration isolated - Equipment fragility only</t>
  </si>
  <si>
    <t>Cooling Tower - Capacity: &lt; 100 Ton - Unanchored equipment that is not vibration isolated - Equipment fragility only</t>
  </si>
  <si>
    <t>Damaged equipment and attached piping.</t>
  </si>
  <si>
    <t>Air Handling Unit - Capacity: &lt;5000 CFM - Unanchored equipment that is not vibration isolated - Equipment fragility only</t>
  </si>
  <si>
    <t>Equipment does not function. Damage to attached ducting or piping.</t>
  </si>
  <si>
    <t>Equipment does not function Equipment damaged beyond repair.</t>
  </si>
  <si>
    <t>Repair attached ducting or piping.</t>
  </si>
  <si>
    <t>Replace equipment.  Remove, repair offsite, and reinstall air handler.</t>
  </si>
  <si>
    <t>Motor Control Center - Capacity: all - Unanchored equipment that is not vibration isolated - Equipment fragility only</t>
  </si>
  <si>
    <t>Damaged, inoperative</t>
  </si>
  <si>
    <t>Replace equipment.</t>
  </si>
  <si>
    <t>Replace cracked glass panel.  Assuming a 5 ft x 6 ft glass, 1/4'' thick.</t>
  </si>
  <si>
    <t>Replace cracked glass panel; cover exposure in meantime.  Assuming a 5 ft x 6 ft glass, 1/4'' thick.</t>
  </si>
  <si>
    <t>No LCA related activities</t>
  </si>
  <si>
    <t>Replace boundary studs (5 EA)</t>
  </si>
  <si>
    <t>Repair one joint (per 1000 LF)</t>
  </si>
  <si>
    <t>Replace one 20' section (per 1000 LF)</t>
  </si>
  <si>
    <t>Repair one hanger (per 1000 LF)</t>
  </si>
  <si>
    <t>Patch/repair ductwork (1 EA)</t>
  </si>
  <si>
    <t>Patch repair ductwork (60 LF/1000 LF)</t>
  </si>
  <si>
    <t>Replace coil assembly</t>
  </si>
  <si>
    <t>Replace light fixture (1 EA)</t>
  </si>
  <si>
    <t>Replace sprinkler head (1 EA per 100 units)</t>
  </si>
  <si>
    <t>Minor repair of finishes</t>
  </si>
  <si>
    <t>Cut out damaged sections/reweld</t>
  </si>
  <si>
    <t>Patch/repair adjacent finishes</t>
  </si>
  <si>
    <t>Replace staircase</t>
  </si>
  <si>
    <t>New balustrade (35 LF)</t>
  </si>
  <si>
    <t>New floor finishes (200 SF)</t>
  </si>
  <si>
    <t>New soffits (200 SF)</t>
  </si>
  <si>
    <t>Replace switchgear</t>
  </si>
  <si>
    <t>Cab ceiling damaged</t>
  </si>
  <si>
    <t>Tail sheave dislodged and/or twisted</t>
  </si>
  <si>
    <t>Replace air handling unit</t>
  </si>
  <si>
    <t>Replace control panel</t>
  </si>
  <si>
    <t>Replace tail sheave</t>
  </si>
  <si>
    <t>Replace cab ceiling</t>
  </si>
  <si>
    <t>B.20.22.001 DS1</t>
  </si>
  <si>
    <t>Replace glass in frame (1 m2)</t>
  </si>
  <si>
    <t>Reset tiles (0.30 m2)</t>
  </si>
  <si>
    <t>Reset tiles (0.05 m2)</t>
  </si>
  <si>
    <t>Replace broken tiles (0.10 m2)</t>
  </si>
  <si>
    <t>Repaint 25% (1.98 m2)</t>
  </si>
  <si>
    <t>** Don't forget : two sides/wall segment, 13' high</t>
  </si>
  <si>
    <t>Retape 10% (0.79 m2)</t>
  </si>
  <si>
    <t>Replace damaged gypsum, 5% (0.396 m2)</t>
  </si>
  <si>
    <t>Repaint 50% (3.96 m2)</t>
  </si>
  <si>
    <t>Retape 25% (1.98 m2)</t>
  </si>
  <si>
    <t>Replace damaged gypsum, 10% (0.79 m2)</t>
  </si>
  <si>
    <t>Replace metal studs (1.98 m2)</t>
  </si>
  <si>
    <t>Replace gypsum (3.96 m2)</t>
  </si>
  <si>
    <t>Wall height according to FEMA P58 documentation</t>
  </si>
  <si>
    <t>Remove and replace wallpaper (2.74 m2)</t>
  </si>
  <si>
    <t>Replace ceiling (1 m2)</t>
  </si>
  <si>
    <t>B.10.31.001 DS1</t>
  </si>
  <si>
    <t>B.10.31.001 DS2</t>
  </si>
  <si>
    <t>B.10.31.001 DS3</t>
  </si>
  <si>
    <t>B.10.31.001 DS4</t>
  </si>
  <si>
    <t>B.10.31.011c DS1</t>
  </si>
  <si>
    <t>B.10.31.011c DS2</t>
  </si>
  <si>
    <t>B.10.31.011c DS3</t>
  </si>
  <si>
    <t>B.10.31.011c DS4</t>
  </si>
  <si>
    <t>B.10.35.012 DS1</t>
  </si>
  <si>
    <t>B.10.35.012 DS2</t>
  </si>
  <si>
    <t>B.10.35.012 DS3</t>
  </si>
  <si>
    <t>B.10.35.002 DS1</t>
  </si>
  <si>
    <t>B.10.35.002 DS2</t>
  </si>
  <si>
    <t>B.10.35.002 DS3</t>
  </si>
  <si>
    <t>B.10.35.011 DS1</t>
  </si>
  <si>
    <t>B.10.35.011 DS2</t>
  </si>
  <si>
    <t>B.10.35.011 DS3</t>
  </si>
  <si>
    <t>B.10.35.001 DS1</t>
  </si>
  <si>
    <t>B.10.35.001 DS2</t>
  </si>
  <si>
    <t>B.10.35.001 DS3</t>
  </si>
  <si>
    <t>C.30.27.001 DS1</t>
  </si>
  <si>
    <t>C.30.32.001a DS1</t>
  </si>
  <si>
    <t>C.30.32.001a DS2</t>
  </si>
  <si>
    <t>C.30.32.001a DS3</t>
  </si>
  <si>
    <t>D.20.21.011a DS1</t>
  </si>
  <si>
    <t>D.20.21.011a DS2</t>
  </si>
  <si>
    <t>D.30.41.012a DS1</t>
  </si>
  <si>
    <t>D.30.41.012a DS2</t>
  </si>
  <si>
    <t>D.30.41.011a DS1</t>
  </si>
  <si>
    <t>D.30.41.011a DS2</t>
  </si>
  <si>
    <t>D.30.41.031a DS1</t>
  </si>
  <si>
    <t>D.30.41.041a DS1</t>
  </si>
  <si>
    <t>D.40.11.021a DS1</t>
  </si>
  <si>
    <t>D.40.11.021a DS2</t>
  </si>
  <si>
    <t>D.40.11.031a DS1</t>
  </si>
  <si>
    <t>D.40.11.031a DS2</t>
  </si>
  <si>
    <t>C.20.11.001b DS1</t>
  </si>
  <si>
    <t>C.20.11.001b DS2</t>
  </si>
  <si>
    <t>C.20.11.001b DS3</t>
  </si>
  <si>
    <t>D.50.12.021a DS1</t>
  </si>
  <si>
    <t>D.10.14.011 DS16</t>
  </si>
  <si>
    <t>D.10.14.011 DS17</t>
  </si>
  <si>
    <t>D.30.31.011a DS1</t>
  </si>
  <si>
    <t>D.30.31.021a DS1</t>
  </si>
  <si>
    <t>D.30.52.011a DS1</t>
  </si>
  <si>
    <t>D.30.52.011a DS2</t>
  </si>
  <si>
    <t>D.50.12.013a DS1</t>
  </si>
  <si>
    <t>kg of stud/m</t>
  </si>
  <si>
    <t>Retape (7.92 m2)</t>
  </si>
  <si>
    <t>Repaint (7.92 m2)</t>
  </si>
  <si>
    <t>https://spot.ul.com/main-app/products/detail/5ad1f0dc55b0e82d946acf24?page_type=Products%20Catalog</t>
  </si>
  <si>
    <t>Replace damaged framing &lt;5% (0.05 m2)</t>
  </si>
  <si>
    <t>Framing is most commonly known as stringers</t>
  </si>
  <si>
    <t>https://accessfloorpolygroup.com/wp-content/pdf/polygroup/br-polygroup-gamaflor-full-steel.pdf ; https://accessfloorpolygroup.com/wp-content/uploads/documentation/data-sheet/dt-FULL-STEEL-HEAVY-MEDIUM-en-ing.pdf</t>
  </si>
  <si>
    <t>Stainless steel</t>
  </si>
  <si>
    <t>Replace 5% of tiles (0.05 m2)</t>
  </si>
  <si>
    <t>Install new grid (1 m2)</t>
  </si>
  <si>
    <t>Replace 30% of light fixtures (0.043 unit per 1 m2)</t>
  </si>
  <si>
    <t>Repair multiple hangers (~5 per 1000 LF)</t>
  </si>
  <si>
    <t>Replace diffuser (1 EA)</t>
  </si>
  <si>
    <t>Patch/repair ductwork/ceiling (1 EA)</t>
  </si>
  <si>
    <t>Unavailable in pelicun fragilities (could be implemented with appropriate fragility data</t>
  </si>
  <si>
    <t>https://www.eaton.com/content/dam/eaton/products/design-guides---consultant-audience/eaton-low-voltage-mcc-design-guide-dg043001en.pdf</t>
  </si>
  <si>
    <t>(sum of several component weights)</t>
  </si>
  <si>
    <t>All non metallic residues are assumed to be landfilled.</t>
  </si>
  <si>
    <t>A generic ecoinvent dataset for control units is taken from ecoinvent. The dataet already includes housing, cables and PCB systems.</t>
  </si>
  <si>
    <t>https://www.eaton.com/content/dam/eaton/products/low-voltage-power-distribution-controls-systems/switchboards/eaton-low-voltage-switchboards-switchgear-catalogues-ca015002en-ca.pdf ; https://abbsales.com/pdfs/2TDC490001_ABB_MNS_SG_AppGuide_newProductbroch9-12.pdf</t>
  </si>
  <si>
    <t>https://www.mdpi.com/2071-1050/15/9/7273 ; https://api.environdec.com/api/v1/EPDLibrary/Files/11de4908-3dff-4224-60a9-08dc646df636/Data</t>
  </si>
  <si>
    <t>Steel staircase weight estimated from Moreales-Berltran et al 2023. Material composition from steel staircase EPD (TLC).</t>
  </si>
  <si>
    <t>Vinyl flooring, 34.83 pound/18.87 sq ft</t>
  </si>
  <si>
    <t>https://www.homedepot.ca/product/lifeproof-champagne-beach-wood-12-01-inch-x-28-28-inch-chevron-luxury-vinyl-plank-flooring-18-87-sq-ft-case-/1001511014</t>
  </si>
  <si>
    <t>None of the metal residues are assumed to be landfilled (due to the high content of metal in the dataset). The rest are assumed landfilled.</t>
  </si>
  <si>
    <t>Vinyl flooring, 34.83 pound/18.87 sq ft. Quantity estimated based off a ratio between costs of full replacement (DS3) and costs for partial replacement (DS2)</t>
  </si>
  <si>
    <t>Taken as same as placing new drywall (7.1 kg of drywall joint compound - with 3 kg water) ; 99.9 LF of joint tape)</t>
  </si>
  <si>
    <t>https://images.homedepot.ca/pdf/CGC%20Materials%20Estimator%20-%20Drywall%20-%20Bilingual-pdf.pdf ; https://www.usg.com/content/dam/USG_Marketing_Communications/canada/sds/cgc-sheetrock-all-purpose-drywall-compound-sds-en-61001010004.pdf ; https://www.usg.com/content/dam/USG_Marketing_Communications/canada/product_promotional_materials/finished_assets/cgc-drywall-joint-tape-data-en-can.pdf</t>
  </si>
  <si>
    <t xml:space="preserve">CISC. Handbook of Steel construction. 11th edition. </t>
  </si>
  <si>
    <t>Insufficient information to derive quality estimates for a process or emissions</t>
  </si>
  <si>
    <t>Bolts are assumed replaced</t>
  </si>
  <si>
    <t>https://api.environdec.com/api/v1/EPDLibrary/Files/1adbf2fb-c410-4cba-18e3-08dc8a1e81c8/Data ; https://www.geobezdan.com/tl12a-30.html?srsltid=AfmBOoo4Gwn268lkuSzuP_6kE7DH-XRNvmdYqXy3-olygGGcgfLNS7wu</t>
  </si>
  <si>
    <t>lb/unit</t>
  </si>
  <si>
    <t>inches/baluster</t>
  </si>
  <si>
    <t>Steel balusters are used as a proxy for the main repair activities</t>
  </si>
  <si>
    <t>Steel soffits often are made from 18 to 22 gauge steel</t>
  </si>
  <si>
    <t xml:space="preserve">https://cssbi.ca/assets/resources/Fact_Sheets/CSSBI-Facts10-12.pdf </t>
  </si>
  <si>
    <t>mm thick (average)</t>
  </si>
  <si>
    <t>kg drywall joint compound</t>
  </si>
  <si>
    <t>kg of water</t>
  </si>
  <si>
    <t>3/4 in A325 bolts (3 in beam web, 6 in column flanges)</t>
  </si>
  <si>
    <t>Length (mm) - assumed as a web thickness, 2 plates and 10 mm per side for hex head and nuts</t>
  </si>
  <si>
    <t>All non recyclable residues are assumed to be landfilled.</t>
  </si>
  <si>
    <t>Double angle beam connection</t>
  </si>
  <si>
    <t>W (mm)</t>
  </si>
  <si>
    <t>L (mm)</t>
  </si>
  <si>
    <t>Taken as a bolted bouble-angle beam connection, three bolts</t>
  </si>
  <si>
    <t>m, thickness of grade slab</t>
  </si>
  <si>
    <t>2310 kg/m3 (HBSC 11th edition) ; Vinyl flooring, 34.83 pound/18.87 sq ft</t>
  </si>
  <si>
    <t>kg/m2 of vinyl flooring</t>
  </si>
  <si>
    <t>Base plate steel estimate only</t>
  </si>
  <si>
    <t>mm (assumed thickness)</t>
  </si>
  <si>
    <t>mm (width and length)</t>
  </si>
  <si>
    <t>kg of steel rebar</t>
  </si>
  <si>
    <t>No materials involved in described repair activity.</t>
  </si>
  <si>
    <t>Steel pipes for Potable water require stainless steel</t>
  </si>
  <si>
    <t>https://novasteel.ca/wp-content/uploads/2022/12/ASTM-A795-Dec-14.pdf ; https://publications.gc.ca/collections/collection_2019/cnrc-nrc/NR24-29-2018-eng.pdf ; https://www.russelmetals.com/wp-content/uploads/russel-metals-product-reference-guide.zip</t>
  </si>
  <si>
    <t>kg/m of stainless steel pipe at 2.5 in OD</t>
  </si>
  <si>
    <t>Assumes a concrete slab of 65 mm thick (as the lowest value available in the CISC Handbook of steel construction, 11th edition).</t>
  </si>
  <si>
    <t>Assumes 0.2% of steel reinforcement for shrinkage in a slab.</t>
  </si>
  <si>
    <t>Assumes SMAW welding, on a W36X150</t>
  </si>
  <si>
    <t>meters, weld length</t>
  </si>
  <si>
    <t>kWh</t>
  </si>
  <si>
    <t>https://link.springer.com/article/10.1007/s11367-019-01621-x ; CSA W59 &amp; CSA W48</t>
  </si>
  <si>
    <t>kg of low-alloyed steel (filler material)</t>
  </si>
  <si>
    <t>kg of filler material (to air)</t>
  </si>
  <si>
    <t>kg of filler material slag</t>
  </si>
  <si>
    <t>Assumes SMAW welding, on a W27X114</t>
  </si>
  <si>
    <t>kg of steel deck (assuming 1.5 in deck ribs, 20 gauge)</t>
  </si>
  <si>
    <t>l of acetylene</t>
  </si>
  <si>
    <t>l of oxygene</t>
  </si>
  <si>
    <t>https://www.fhwa.dot.gov/bridge/pubs/hif23003.pdf ; https://www.tac-atc.ca/wp-content/uploads/fong.pdf ; https://www.boconline.co.uk/en/images/Fundamentals-of-Flame-Straightening_tcm410-113398.pdf ; https://link.springer.com/article/10.1007/s40194-020-01055-2</t>
  </si>
  <si>
    <t>Heating strips can require anywhere between 3 to 7 minutes per pass for heat straightening (5 minutes for estimation), with up to 20 passes (10 passes for estimation). Estimated oxy-acetylene torch consumption for thick metal pieces : 2800 l/h acetylene, 3000 l/h oxygen. 3.384 kg CO2/kg of acetylene oxydised.</t>
  </si>
  <si>
    <t>3.384 kg CO2/kg acetylene</t>
  </si>
  <si>
    <t>0.692 kg H20/kg acetylene</t>
  </si>
  <si>
    <t>Plan view of building</t>
  </si>
  <si>
    <t>Elevation view of building</t>
  </si>
  <si>
    <t>Floor</t>
  </si>
  <si>
    <t>Gravity column</t>
  </si>
  <si>
    <t>SMF ext column</t>
  </si>
  <si>
    <t>SMF int column</t>
  </si>
  <si>
    <t>SMF beam</t>
  </si>
  <si>
    <t>Gravity beam</t>
  </si>
  <si>
    <t>W250X73</t>
  </si>
  <si>
    <t>W310X107</t>
  </si>
  <si>
    <t>W310X129</t>
  </si>
  <si>
    <t>W310X158</t>
  </si>
  <si>
    <t>W360X179</t>
  </si>
  <si>
    <t>W360X314</t>
  </si>
  <si>
    <t>10X650X20.4</t>
  </si>
  <si>
    <t>10X650X27.9</t>
  </si>
  <si>
    <t>W610X113</t>
  </si>
  <si>
    <t>W610X101</t>
  </si>
  <si>
    <t>W36X441</t>
  </si>
  <si>
    <t>W36X330</t>
  </si>
  <si>
    <t>W36X282</t>
  </si>
  <si>
    <t>W36X262</t>
  </si>
  <si>
    <t>W33X201</t>
  </si>
  <si>
    <t>W24X192</t>
  </si>
  <si>
    <t>W36X302</t>
  </si>
  <si>
    <t>W36X232</t>
  </si>
  <si>
    <t>W33X221</t>
  </si>
  <si>
    <t>W27X194</t>
  </si>
  <si>
    <t>W36X210</t>
  </si>
  <si>
    <t>W36X194</t>
  </si>
  <si>
    <t>W36X170</t>
  </si>
  <si>
    <t>W36X150</t>
  </si>
  <si>
    <t>W33X130</t>
  </si>
  <si>
    <t>W27X114</t>
  </si>
  <si>
    <t>W21X57</t>
  </si>
  <si>
    <t>interstory height</t>
  </si>
  <si>
    <t>Gravity column mass</t>
  </si>
  <si>
    <t>Gravity beam mass</t>
  </si>
  <si>
    <t>SMF ext column mass</t>
  </si>
  <si>
    <t>SMF int column mass</t>
  </si>
  <si>
    <t>SMF beam mass</t>
  </si>
  <si>
    <t>Steel deck mass</t>
  </si>
  <si>
    <t>Steel rebar mass</t>
  </si>
  <si>
    <t>Concrete topping volume</t>
  </si>
  <si>
    <t>W36X395</t>
  </si>
  <si>
    <t>W36X396</t>
  </si>
  <si>
    <t>W36X397</t>
  </si>
  <si>
    <t>Floor area</t>
  </si>
  <si>
    <t>Steel W sections</t>
  </si>
  <si>
    <t>Cold formed steel deck</t>
  </si>
  <si>
    <t>Steel rebar</t>
  </si>
  <si>
    <t>Concrete</t>
  </si>
  <si>
    <t>Metal studs (inclusive of tracks, partitions)</t>
  </si>
  <si>
    <t>Steel decking</t>
  </si>
  <si>
    <t>Concrete topping</t>
  </si>
  <si>
    <t>Steel shear tabs</t>
  </si>
  <si>
    <t>Steel base plates</t>
  </si>
  <si>
    <t>Steel doubler plates</t>
  </si>
  <si>
    <t>Wallpaper</t>
  </si>
  <si>
    <t>Steel stairs</t>
  </si>
  <si>
    <t>Low voltage swtichgear</t>
  </si>
  <si>
    <t>Motor control center</t>
  </si>
  <si>
    <t>Floor finishes</t>
  </si>
  <si>
    <t>CISC. Handbook of Steel Construction. 11th edition. 2016</t>
  </si>
  <si>
    <t>Gravity joist</t>
  </si>
  <si>
    <t>Gravity joist mass</t>
  </si>
  <si>
    <t>Cold formed steel joists</t>
  </si>
  <si>
    <t>Closest steel joist and decking manufacturer</t>
  </si>
  <si>
    <t xml:space="preserve">Steel decks are produced by the closest manufacturer : Quebec </t>
  </si>
  <si>
    <t>Steel joists are prodcued by the closest manufacturer : Quebec (see steel joist institute members)</t>
  </si>
  <si>
    <t>Steel joist</t>
  </si>
  <si>
    <t>Steel W sections in Canada are imported from the US. Considers lateral force resisting frames and gravity frames.</t>
  </si>
  <si>
    <t>Assumes the minimum area of steel to prevent shrinkage deterioration of concrete.</t>
  </si>
  <si>
    <t>Units</t>
  </si>
  <si>
    <t>Location</t>
  </si>
  <si>
    <t>Direction</t>
  </si>
  <si>
    <t>Theta_0</t>
  </si>
  <si>
    <t>Blocks</t>
  </si>
  <si>
    <t>Comment</t>
  </si>
  <si>
    <t>ft2</t>
  </si>
  <si>
    <t>2--19</t>
  </si>
  <si>
    <t xml:space="preserve">   Curtain Walls - Generic Midrise Stick-Built Curtain wall, Config: Monolithic, Lamination: Unknown, Glass Type: Unknown, Details: Aspect ratio = 6:5,  Other details Unknown</t>
  </si>
  <si>
    <t xml:space="preserve">   Concrete tile roof, tiles secured and compliant with UBC94</t>
  </si>
  <si>
    <t xml:space="preserve">   Wall Partition, Type: Gypsum with metal studs, Full Height, Fixed Below, Fixed Above</t>
  </si>
  <si>
    <t xml:space="preserve">   Wall Partition, Type: Gypsum + Wallpaper, Full Height, Fixed Below, Fixed Above</t>
  </si>
  <si>
    <t>all</t>
  </si>
  <si>
    <t xml:space="preserve">   Suspended Ceiling, SDC A,B,C, Area (A): A &lt; 250, Vert support only</t>
  </si>
  <si>
    <t xml:space="preserve">   Cold or Hot Potable  - Small Diameter Threaded Steel - (2.5 inches in diameter or less), SDC A or B, PIPING FRAGILITY</t>
  </si>
  <si>
    <t xml:space="preserve">   HVAC Galvanized Sheet Metal Ducting -  6 sq. ft cross sectional area or greater, SDC A or B</t>
  </si>
  <si>
    <t xml:space="preserve">   HVAC Galvanized Sheet Metal Ducting less than 6 sq. ft in cross sectional area, SDC A or B</t>
  </si>
  <si>
    <t>ea</t>
  </si>
  <si>
    <t xml:space="preserve">   HVAC Drops / Diffusers in suspended ceilings - No independent safety wires, SDC A or B</t>
  </si>
  <si>
    <t xml:space="preserve">   Variable Air Volume (VAV) box with in-line coil, SDC A or B</t>
  </si>
  <si>
    <t xml:space="preserve">   Independent Pendant Lighting - non seismic</t>
  </si>
  <si>
    <t xml:space="preserve">   Fire Sprinkler Water Piping - Horizontal Mains and Branches - Old Style Victaulic - Thin Wall Steel - No bracing, SDC A or B, PIPING FRAGILITY</t>
  </si>
  <si>
    <t xml:space="preserve">   Fire Sprinkler Drop Standard Threaded Steel - Dropping into unbraced lay-in tile SOFT ceiling - 6 ft. long drop maximum, SDC A or B</t>
  </si>
  <si>
    <t xml:space="preserve">   Prefabricated steel stair with steel treads and landings with no seismic joint.</t>
  </si>
  <si>
    <t xml:space="preserve">   Low Voltage Switchgear - Capacity: 100 to &lt;350 Amp - Unanchored equipment that is not vibration isolated - Equipment fragility only</t>
  </si>
  <si>
    <t xml:space="preserve">   Traction Elevator – Applies to most California Installations 1976 or later, most western states installations 1982 or later and most other U.S installations 1998 or later.</t>
  </si>
  <si>
    <t xml:space="preserve">   Chiller - Capacity: &lt; 100 Ton - Unanchored equipment that is not vibration isolated - Equipment fragility only</t>
  </si>
  <si>
    <t xml:space="preserve">   Cooling Tower - Capacity: &lt; 100 Ton - Unanchored equipment that is not vibration isolated - Equipment fragility only</t>
  </si>
  <si>
    <t xml:space="preserve">   Air Handling Unit - Capacity: &lt;5000 CFM - Unanchored equipment that is not vibration isolated - Equipment fragility only</t>
  </si>
  <si>
    <t xml:space="preserve">   Motor Control Center - Capacity: all - Unanchored equipment that is not vibration isolated - Equipment fragility only</t>
  </si>
  <si>
    <t>Excessive residual drift</t>
  </si>
  <si>
    <t>Collapsed building</t>
  </si>
  <si>
    <t>Irreparable building</t>
  </si>
  <si>
    <t>Total quantity in a story</t>
  </si>
  <si>
    <t>SI units</t>
  </si>
  <si>
    <t>Component marginals (full building)</t>
  </si>
  <si>
    <t>Building total quantity (acknowledging two directions)</t>
  </si>
  <si>
    <t>1--19</t>
  </si>
  <si>
    <t>1--13</t>
  </si>
  <si>
    <t>14--19</t>
  </si>
  <si>
    <t>Concrete : 2310 kg/m3 (HBSC 11th edition);</t>
  </si>
  <si>
    <t>Double glazed aluminium panels (made from insulated glazing units, aluminium framing, small hardware (steel) and sealants (silicone)</t>
  </si>
  <si>
    <t>AluQuébec. (2024). Environmental Product Declaration: Aluminium curtain walls. https://www.csaregistries.ca/GHG_VR_Listing/EPD_ProjectDetail?ProjectId=1093</t>
  </si>
  <si>
    <t>Final quantities</t>
  </si>
  <si>
    <t>Water piping diameter &lt;2.5 inch</t>
  </si>
  <si>
    <t>transport, freight, lorry &gt;32 metric ton, EURO6 (RoW)</t>
  </si>
  <si>
    <t>https://novasteel.ca/wp-content/uploads/2022/12/ASTM-A795-Dec-14.pdf ; https://publications.gc.ca/collections/collection_2019/cnrc-nrc/NR24-29-2018-eng.pdf ; https://www.russelmetals.com/wp-content/uploads/russel-metals-product-reference-guide.zip ; https://www.eaton.com/content/dam/eaton/products/support-systems/pipe-hangers/pipe-straps/pipe-hanger-and-supports-ca310001en.pdf</t>
  </si>
  <si>
    <t>Steel pipes for Potable water require stainless steel ; Hangers : Galvanised steel, cold forming. Following the B3100 pipe hanger (15.9 kg/100 hangers) ; add a 3/8'' rod of 16'' long</t>
  </si>
  <si>
    <t>m of piping</t>
  </si>
  <si>
    <t>kg steel per Double angle beam connection</t>
  </si>
  <si>
    <t>Rough estimate from Handbook of Steel Construction tabulated connections</t>
  </si>
  <si>
    <t>Rough estimate</t>
  </si>
  <si>
    <t>kg of steel per base plate</t>
  </si>
  <si>
    <t>kg of steel doubler plates</t>
  </si>
  <si>
    <t>kg / unit</t>
  </si>
  <si>
    <t>Foundation</t>
  </si>
  <si>
    <t xml:space="preserve">Concrete : 2310 kg/m3 (HBSC 11th edition); Assumes 1.5% of steel (by volume) in a concrete section (CSA A23.3-24 recommends compression elements should remain below 4%, typically closer between 1 to 2%). Rough estimate : slab and wall thicknesses of 200 mm. Walls are estimated to be 1 meter below grade. No provisions for footings. </t>
  </si>
  <si>
    <t>Approximated based on the volume of concrete ; Particulate matter stemming from concrete demolition ; diesel burned in machinery is inline with concrete demolition ; assumed 1:1 with poored concrete</t>
  </si>
  <si>
    <t>Waste handling for all repaired material. Assumes transports over 30 km for both recycled and landfilled materials.</t>
  </si>
  <si>
    <t>Delivery of specific materials which are most likely transported by sea rather than land.</t>
  </si>
  <si>
    <t>Delivery of materials to the building site (assumes 100 km of transport). This may be an oversimplification for several materials, but major contributors (i.e. concrete and steel) are further refined to account for their large contributions : Quebec produces long steel products and glazing, Ontario produces flat steel products and Northern US supplies W shapes and stainless steel.</t>
  </si>
  <si>
    <t>transport, freight, sea, container ship {GLO}</t>
  </si>
  <si>
    <t>Image from : Guan et al 2020</t>
  </si>
  <si>
    <t>Approximated based on the volume of concrete ; Particulate matter stemming from concrete demolition ; diesel burned in machinery is inline with concrete demolition ; assumed 1:1 with poored concrete ; To distinguish with the collapse scenario, the energy consumption, derived from Doka 2009, is taken as the slower rate (thus more deconstruction/demolition hours are required).</t>
  </si>
  <si>
    <t>replace DS1</t>
  </si>
  <si>
    <t>rebuild DS1</t>
  </si>
  <si>
    <t>irreparable / Excessive RID</t>
  </si>
  <si>
    <t>B.20.22.001 DS2</t>
  </si>
  <si>
    <t>C.30.11.001a DS1</t>
  </si>
  <si>
    <t>C.30.34.001 DS1</t>
  </si>
  <si>
    <t>Joint compound | Joint compound | RoW ; sealing tape, paper, 50 mm wide | sealing tape production, paper, 50 mm wide | RoW</t>
  </si>
  <si>
    <t>steel screws, nuts and bolts | steel screws, nuts and bolts | CA-NS</t>
  </si>
  <si>
    <t>steel, long, hot rolled | market for steel, long, hot rolled | CA-NS</t>
  </si>
  <si>
    <t>concrete, 30-32MPa | concrete production, 30-32MPa, with cement, Portland | CA-NS ; Laminated PVC | Laminated PVC | GLO</t>
  </si>
  <si>
    <t>transport, freight, lorry &gt;32 metric ton, EURO6 | transport, freight, lorry &gt;32 metric ton, EURO6 | RoW</t>
  </si>
  <si>
    <t>process-specific burdens, inert material landfill | Process-specific burdens, inert material landfill - proxy | CA-NS</t>
  </si>
  <si>
    <t>steel, flat, hot rolled | market for steel, flat, hot rolled | CA-NS</t>
  </si>
  <si>
    <t>steel W shapes | market for steel W shapes | CA-NS</t>
  </si>
  <si>
    <t>heat straightening | heat straightening, oxyacetylene torch | CA-NS</t>
  </si>
  <si>
    <t>steel deck  | market for galvanized steel deck  | CA-NS ; steel, long, hot rolled | market for steel, long, hot rolled | CA-NS ; concrete, 25MPa | concrete production, 25MPa, for building construction, for interior use, with cement, Portland | CA-NS</t>
  </si>
  <si>
    <t>welding, arc | welding, arc, steel | CA-NS</t>
  </si>
  <si>
    <t>Based on EPDs from several curtain wall manufacturers - about 46 kg/m2 for full frame, 32.5 kg/m2 for insulated glazing unit. 1.0896 m2 of insulated glazing unit per 1 m2 of visible glazing.</t>
  </si>
  <si>
    <t>glazing, double, U&lt;1.1 W/m2K | glazing production, double, U&lt;1.1 W/m2K | RNA ; transport, freight, lorry &gt;32 metric ton, EURO6 | transport, freight, lorry &gt;32 metric ton, EURO6 | RoW</t>
  </si>
  <si>
    <t>steel studs | market for steel studs | CA-NS</t>
  </si>
  <si>
    <t>sealing tape, paper, 50 mm wide | sealing tape production, paper, 50 mm wide | RoW</t>
  </si>
  <si>
    <t>alkyd paint, white, 60% in solution state | alkyd paint, white, in 60% solution state | RoW</t>
  </si>
  <si>
    <t>gypsum plasterboard | gypsum plasterboard production | RoW</t>
  </si>
  <si>
    <t>wallpaper production | wallpaper production | GLO</t>
  </si>
  <si>
    <t>ceiling tile, glass fibre | ceiling tile, glass fibre production | RNA ; transport, freight, lorry &gt;32 metric ton, EURO6 | transport, freight, lorry &gt;32 metric ton, EURO6 | RoW</t>
  </si>
  <si>
    <t>Light fixture | Light fixture | GLO</t>
  </si>
  <si>
    <t>steel, galvanized, cold formed | market for steel, galvanized, cold formed | CA-NS</t>
  </si>
  <si>
    <t>steel, chromium steel 18/8 | steel production, electric, chromium steel 18/8 | US ; drawing of pipe, steel | drawing of pipe, steel | RoW ; transport, freight, lorry &gt;32 metric ton, EURO6 | transport, freight, lorry &gt;32 metric ton, EURO6 | RoW</t>
  </si>
  <si>
    <t>sealing tape, aluminium/PE, 50 mm wide | sealing tape production, aluminium/PE, 50 mm wide | RoW</t>
  </si>
  <si>
    <t>steel, galvanized, cold formed | market for steel, galvanized, cold formed | CA-NS ; sealing tape, aluminium/PE, 50 mm wide | sealing tape production, aluminium/PE, 50 mm wide | RoW</t>
  </si>
  <si>
    <t>steel, low-alloyed, hot rolled | steel production, low-alloyed, hot rolled | RER ; sheet rolling, steel | sheet rolling, steel | RER ; powder coat, steel | powder coating, steel | RER</t>
  </si>
  <si>
    <t>copper, cathode | electrorefining of copper, anode | GLO ; metal working, average for copper product manufacturing | market for metal working, average for copper product manufacturing | GLO</t>
  </si>
  <si>
    <t>cast iron | cast iron production | RNA ; acrylonitrile-butadiene-styrene copolymer | market for acrylonitrile-butadiene-styrene copolymer | GLO</t>
  </si>
  <si>
    <t>steel, galvanized, long products | market for steel, galvanized, long products | CA-NS ; drawing of pipe, steel | drawing of pipe, steel | RoW</t>
  </si>
  <si>
    <t>steel, galvanized, long products, cold formed | market for steel. galvanized. long products, cold formed | CA-NS</t>
  </si>
  <si>
    <t>laminated PVC flooring | laminated PVC flooring production | GLO</t>
  </si>
  <si>
    <t>Vinyl flooring, 34.83 pound/18.87 sq ft.</t>
  </si>
  <si>
    <t>Vinyl flooring, 34.83 pound/18.87 sq ft. Repair quantities derived as a ratio between full replacement costs and repair costs from FEMA P58.</t>
  </si>
  <si>
    <t>Steel staircase weight estimated from Morales-Beltran et al 2023. Material composition from steel staircase EPD (TLC). Repair quantities derived as a ratio between full replacement costs and partial replacement costs</t>
  </si>
  <si>
    <t>Steel staircase weight estimated from Morales-Beltran et al 2023. Material composition from steel staircase EPD (TLC).</t>
  </si>
  <si>
    <t>steel, galvanized, flat products, cold rolled | market for steel, galvanized, flat products, cold rolled | CA-NS</t>
  </si>
  <si>
    <t>A generic ecoinvent dataset for control units is taken from ecoinvent. The dataset already includes housing, cables and PCB systems.</t>
  </si>
  <si>
    <t>electronics, for control units | electronics production, for control units | RoW</t>
  </si>
  <si>
    <t>hot rolling, steel | hot rolling, steel | RoW ; sheet rolling, steel | sheet rolling, steel | RoW ; steel, chromium steel 18/8 | steel production, electric, chromium steel 18/8 | US ; transport, freight, lorry &gt;32 metric ton, EURO6 | transport, freight, lorry &gt;32 metric ton, EURO6 | RoW</t>
  </si>
  <si>
    <t>steel, chromium steel 18/8 | steel production, electric, chromium steel 18/8 | US ; hot rolling, steel | hot rolling, steel | RoW ; sheet rolling, chromium steel | sheet rolling, chromium steel | RoW ; polyvinylchloride, suspension polymerised | polyvinylchloride production, suspension polymerisation | RoW ; extrusion, plastic pipes | extrusion, plastic pipes | RoW ; electric motor, vehicle | electric motor production, vehicle | RoW ; transport, freight, lorry &gt;32 metric ton, EURO6 | transport, freight, lorry &gt;32 metric ton, EURO6 | RoW</t>
  </si>
  <si>
    <t>Various documentation suggest air handling units of such capacity should be in the vicinity of 660 kg. Material composition relying essentially on Galvanized steel (60%), aluminum (20%), wool insulation (8%) and other ; Assumes a minimum of 4 bolts per tower. Assumes bolts are size 3/4'' (Table 3-2 HBSC 11th edition) - 285 mm2. Assumed length of 4'' per bolt.</t>
  </si>
  <si>
    <t>aluminium, wrought alloy | market for aluminium, wrought alloy | GLO ; sheet rolling, aluminium | market for sheet rolling, aluminium | GLO ; steel, galvanized, flat products, cold rolled | market for steel, galvanized, flat products, cold rolled | CA-NS ; glass wool mat | market for glass wool mat | GLO ; electric motor, vehicle | market for electric motor, vehicle | GLO ; polystyrene, extruded | market for polystyrene, extruded | GLO ; copper, cathode | market for copper, cathode | GLO ; wire drawing, copper | market for wire drawing, copper | GLO ; steel, long, hot rolled | market for steel, long, hot rolled | CA-NS ; transport, freight, lorry &gt;32 metric ton, EURO6 |</t>
  </si>
  <si>
    <t>ecoinvent datasets / modified datasets / biosphere datasets</t>
  </si>
  <si>
    <t>Steel connection - Rough estimate from Handbook of Steel Construction tabulated connections</t>
  </si>
  <si>
    <t>Steel base plates - Rough estimate</t>
  </si>
  <si>
    <t>steel deck  | market for galvanized steel deck  | CA-NS</t>
  </si>
  <si>
    <t>steel, long, hot rolled | market for steel, long, hot rolled | CA-NS ; sheet rolling, steel | sheet rolling, steel | RoW</t>
  </si>
  <si>
    <t>concrete, 25MPa | concrete production, 25MPa, for building construction, for interior use, with cement, Portland | CA-NS</t>
  </si>
  <si>
    <t>gypsum plasterboard | gypsum plasterboard production | RoW ; sealing tape, paper, 50 mm wide | sealing tape production, paper, 50 mm wide | RoW ; Joint compound | Joint compound | RoW ; alkyd paint, white, 60% in solution state | alkyd paint, white, in 60% solution state | RoW</t>
  </si>
  <si>
    <t>cement mortar, mixed | cement mortar production (mixed, proxy) | CA-NS ; ceramic tile | ceramic tile production | RNA ; cement grout, mixed | cement grout production (mixed, proxy) | CA-NS</t>
  </si>
  <si>
    <t>curtain wall, double glazed, aluminium framed | market for curtain wall, double glazed, aluminium framed | CA-NS</t>
  </si>
  <si>
    <t>ceiling tile, glass fibre | ceiling tile, glass fibre production | RNA ; steel, galvanized, long products, cold formed | market for steel. galvanized. long products, cold formed | CA-NS</t>
  </si>
  <si>
    <t>Elevator : Simplifying assumption due to sparse data. Taken as the counterweight mass (see thesis) divided between cast iron (75%), 25% for galvanized steel components</t>
  </si>
  <si>
    <t>elevator | market for traction elevator production | CA-NS</t>
  </si>
  <si>
    <t>steel, galvanized, long products | market for steel, galvanized, long products | CA-NS ; drawing of pipe, steel | drawing of pipe, steel | RoW ; steel, galvanized, long products, cold formed | market for steel. galvanized. long products, cold formed | CA-NS</t>
  </si>
  <si>
    <t>steel, chromium steel 18/8 | steel production, electric, chromium steel 18/8 | US ; drawing of pipe, steel | drawing of pipe, steel | RoW ; transport, freight, lorry &gt;32 metric ton, EURO6 | transport, freight, lorry &gt;32 metric ton, EURO6 | RoW ; steel, galvanized, long products, cold formed | market for steel. galvanized. long products, cold formed | CA-NS</t>
  </si>
  <si>
    <t>concrete roof tile | concrete roof tile production | RoW</t>
  </si>
  <si>
    <t>steel, galvanized, flat products, cold rolled | market for steel, galvanized, flat products, cold rolled | CA-NS ; steel, galvanized, long products, cold formed | market for steel. galvanized. long products, cold formed | CA-NS</t>
  </si>
  <si>
    <t>m2 to powder coat</t>
  </si>
  <si>
    <t>steel, low-alloyed, hot rolled | steel production, low-alloyed, hot rolled | RER ; sheet rolling, steel | sheet rolling, steel | RER ; powder coat, steel | powder coating, steel | RER ; transport, freight, sea, container ship | transport, freight, sea, container ship | GLO</t>
  </si>
  <si>
    <t>steel, galvanized, flat products, cold rolled | market for steel, galvanized, flat products, cold rolled | CA-NS ; copper, cathode | market for copper, cathode | GLO ; metal working, average for copper product manufacturing | metal working, average for copper product manufacturing | RoW</t>
  </si>
  <si>
    <t>steel, chromium steel 18/8 | steel production, electric, chromium steel 18/8 | US ; hot rolling, steel | hot rolling, steel | RoW ; polyvinylchloride, suspension polymerised | polyvinylchloride production, suspension polymerisation | RoW ; extrusion, plastic pipes | extrusion, plastic pipes | RoW ; electric motor, vehicle | electric motor production, vehicle | RoW ; steel, galvanized, long products, cold formed | market for steel. galvanized. long products, cold formed | CA-NS</t>
  </si>
  <si>
    <t>Low voltage switchgear</t>
  </si>
  <si>
    <t>concrete, 30-32MPa | concrete production, 30-32MPa, with cement, Portland | CA-NS ; steel, long, hot rolled | market for steel, long, hot rolled | CA-NS</t>
  </si>
  <si>
    <t>Concrete demolition | Concrete demolition | GLO</t>
  </si>
  <si>
    <t xml:space="preserve"> steel, long, hot rolled | market for steel, long, hot rolled | CA-NS</t>
  </si>
  <si>
    <t>Database</t>
  </si>
  <si>
    <t>Activity</t>
  </si>
  <si>
    <t>Asphalt shingles</t>
  </si>
  <si>
    <t>code</t>
  </si>
  <si>
    <t>da7c4f447a8a42d69997059c5f3d0287_copy1</t>
  </si>
  <si>
    <t>location</t>
  </si>
  <si>
    <t>CA-NS</t>
  </si>
  <si>
    <t>reference product</t>
  </si>
  <si>
    <t>type</t>
  </si>
  <si>
    <t>process</t>
  </si>
  <si>
    <t>kilogram</t>
  </si>
  <si>
    <t>Exchanges</t>
  </si>
  <si>
    <t>name</t>
  </si>
  <si>
    <t>amount</t>
  </si>
  <si>
    <t>database</t>
  </si>
  <si>
    <t>uncertainty type</t>
  </si>
  <si>
    <t>production</t>
  </si>
  <si>
    <t>Gravel production, crushed - proxy</t>
  </si>
  <si>
    <t>technosphere</t>
  </si>
  <si>
    <t>Gravel, crushed</t>
  </si>
  <si>
    <t>bitumen adhesive compound production, hot - proxy</t>
  </si>
  <si>
    <t>bitumen adhesive compound, hot</t>
  </si>
  <si>
    <t>glass fibre production</t>
  </si>
  <si>
    <t>RoW</t>
  </si>
  <si>
    <t>glass fibre</t>
  </si>
  <si>
    <t>Ceramic Tile grout production (mixed, proxy)</t>
  </si>
  <si>
    <t>activity type</t>
  </si>
  <si>
    <t>ordinary transforming activity</t>
  </si>
  <si>
    <t>4d304bc218228b52c6c6072d1cd548fd_copy2</t>
  </si>
  <si>
    <t>comment</t>
  </si>
  <si>
    <t>Ceramic Tile grout, mixed</t>
  </si>
  <si>
    <t>loc</t>
  </si>
  <si>
    <t>lime production, milled, loose</t>
  </si>
  <si>
    <t>lime</t>
  </si>
  <si>
    <t>market for cement, Portland</t>
  </si>
  <si>
    <t>cement, Portland</t>
  </si>
  <si>
    <t>GLO</t>
  </si>
  <si>
    <t>meter</t>
  </si>
  <si>
    <t>market for electricity, medium voltage</t>
  </si>
  <si>
    <t>kilowatt hour</t>
  </si>
  <si>
    <t>electricity, medium voltage</t>
  </si>
  <si>
    <t>RER</t>
  </si>
  <si>
    <t>market for tap water</t>
  </si>
  <si>
    <t>tap water</t>
  </si>
  <si>
    <t>Concrete demolition</t>
  </si>
  <si>
    <t>f16d046b0c384c0e810e68b812970e78</t>
  </si>
  <si>
    <t>cubic meter</t>
  </si>
  <si>
    <t>categories</t>
  </si>
  <si>
    <t>Particulate Matter, &lt; 2.5 um</t>
  </si>
  <si>
    <t>biosphere3</t>
  </si>
  <si>
    <t>air</t>
  </si>
  <si>
    <t>biosphere</t>
  </si>
  <si>
    <t>Particulate Matter, &gt; 10 um</t>
  </si>
  <si>
    <t>Particulate Matter, &gt; 2.5 um and &lt; 10um</t>
  </si>
  <si>
    <t>diesel, burned in building machine</t>
  </si>
  <si>
    <t>megajoule</t>
  </si>
  <si>
    <t>Glazing production, double, U&lt;1.1 W/m2K - proxy</t>
  </si>
  <si>
    <t>d28bc3614175a3eeae735bf00410ac0c_copy1</t>
  </si>
  <si>
    <t>glazing, double, U&lt;1.1 W/m2K</t>
  </si>
  <si>
    <t>square meter</t>
  </si>
  <si>
    <t>Water</t>
  </si>
  <si>
    <t>Process-specific burdens, inert material landfill - proxy</t>
  </si>
  <si>
    <t>process-specific burdens, inert material landfill</t>
  </si>
  <si>
    <t>US</t>
  </si>
  <si>
    <t>d5219bf132039930e515735902b1b0e2_copy1</t>
  </si>
  <si>
    <t>market for municipal solid waste - proxy</t>
  </si>
  <si>
    <t>municipal solid waste</t>
  </si>
  <si>
    <t>steel, low-alloyed, hot rolled</t>
  </si>
  <si>
    <t>synthetic rubber</t>
  </si>
  <si>
    <t>Joint compound</t>
  </si>
  <si>
    <t>f92e145f522444d7940f7b646991b853</t>
  </si>
  <si>
    <t>limestone production, crushed, washed</t>
  </si>
  <si>
    <t>limestone, crushed, washed</t>
  </si>
  <si>
    <t>Light fixture</t>
  </si>
  <si>
    <t>5b2ef6b2d83b4132b2644eabda0aec56</t>
  </si>
  <si>
    <t>Unspecified light fixture unit, derived from the comparison of several light fixture EPD.</t>
  </si>
  <si>
    <t>market for aluminium, cast alloy</t>
  </si>
  <si>
    <t>aluminium, cast alloy</t>
  </si>
  <si>
    <t>market for extrusion of plastic sheets and thermoforming, inline</t>
  </si>
  <si>
    <t>extrusion of plastic sheets and thermoforming, inline</t>
  </si>
  <si>
    <t>market for polycarbonate</t>
  </si>
  <si>
    <t>polycarbonate</t>
  </si>
  <si>
    <t>market for printed wiring board, through-hole mounted, unspecified, Pb containing</t>
  </si>
  <si>
    <t>printed wiring board, through-hole mounted, unspecified, Pb containing</t>
  </si>
  <si>
    <t>market for sheet rolling, steel</t>
  </si>
  <si>
    <t>sheet rolling, steel</t>
  </si>
  <si>
    <t>market for steel, low-alloyed</t>
  </si>
  <si>
    <t>steel, low-alloyed</t>
  </si>
  <si>
    <t>polypropylene production, granulate</t>
  </si>
  <si>
    <t>polypropylene, granulate</t>
  </si>
  <si>
    <t>176fb7d432d161bed33554d32f682b67_copy1</t>
  </si>
  <si>
    <t>Steel - miscellaneous products - proxy</t>
  </si>
  <si>
    <t>18b0dcf01dd401e1549b3796e3786213_copy1</t>
  </si>
  <si>
    <t>Steel, low-alloyed - misc</t>
  </si>
  <si>
    <t>Carbon dioxide, fossil</t>
  </si>
  <si>
    <t>Carbon monoxide, fossil</t>
  </si>
  <si>
    <t>Nitrogen oxides</t>
  </si>
  <si>
    <t>Sulfur dioxide</t>
  </si>
  <si>
    <t>heat, district or industrial, other than natural gas</t>
  </si>
  <si>
    <t>heat production, light fuel oil, at industrial furnace 1MW - proxy</t>
  </si>
  <si>
    <t>market for electric arc furnace slag - proxy</t>
  </si>
  <si>
    <t>electric arc furnace slag</t>
  </si>
  <si>
    <t>RNA</t>
  </si>
  <si>
    <t>inert waste, for final disposal</t>
  </si>
  <si>
    <t>market for natural gas, high pressure</t>
  </si>
  <si>
    <t>CA</t>
  </si>
  <si>
    <t>natural gas, high pressure</t>
  </si>
  <si>
    <t>market for oxygen, liquid</t>
  </si>
  <si>
    <t>oxygen, liquid</t>
  </si>
  <si>
    <t>quicklime, in pieces, loose</t>
  </si>
  <si>
    <t>Steel nails</t>
  </si>
  <si>
    <t>e50fc4793aa048019f8d0fcce512ac3b_copy1</t>
  </si>
  <si>
    <t>Nails</t>
  </si>
  <si>
    <t>market for steel, galvanized, long products</t>
  </si>
  <si>
    <t>steel, galvanized, long products</t>
  </si>
  <si>
    <t>Steel, cold forming</t>
  </si>
  <si>
    <t>a167aaa4b654443da95789f1eac27eb7_copy1</t>
  </si>
  <si>
    <t>Steel, cold formed</t>
  </si>
  <si>
    <t>sheet rolling, steel - proxy</t>
  </si>
  <si>
    <t>Steel, hot rolled, low alloyed - old</t>
  </si>
  <si>
    <t>ff6abcba846f4e4fae54222e41be4665</t>
  </si>
  <si>
    <t>hot rolling, steel</t>
  </si>
  <si>
    <t>Vapour barrier</t>
  </si>
  <si>
    <t>0b10966d93b24188b9858864791eabd0</t>
  </si>
  <si>
    <t>extrusion, plastic film</t>
  </si>
  <si>
    <t>polyethylene production, high density, granulate</t>
  </si>
  <si>
    <t>polyethylene, high density, granulate</t>
  </si>
  <si>
    <t>Window frame production, poly vinyl chloride, U=1.6 W/m2K - proxy</t>
  </si>
  <si>
    <t>814ee5af40bc5e139ec55f49c2668c0c_copy1</t>
  </si>
  <si>
    <t>window frame, poly vinyl chloride, U=1.6 W/m2K</t>
  </si>
  <si>
    <t>extrusion, plastic pipes</t>
  </si>
  <si>
    <t>injection moulding</t>
  </si>
  <si>
    <t>market for copper, cathode</t>
  </si>
  <si>
    <t>copper, cathode</t>
  </si>
  <si>
    <t>market for metal working factory</t>
  </si>
  <si>
    <t>metal working factory</t>
  </si>
  <si>
    <t>section bar extrusion, aluminium</t>
  </si>
  <si>
    <t>zinc coat, coils</t>
  </si>
  <si>
    <t>zinc coat, pieces</t>
  </si>
  <si>
    <t>absorption chiller production, 100kW - proxy (no end of life waste treatment)</t>
  </si>
  <si>
    <t>c70f8d90ce0fd503325f740d974881d3_copy1</t>
  </si>
  <si>
    <t>absorption chiller, 100kW</t>
  </si>
  <si>
    <t>electronics, for control units</t>
  </si>
  <si>
    <t>market for heat, district or industrial, natural gas</t>
  </si>
  <si>
    <t>heat, district or industrial, natural gas</t>
  </si>
  <si>
    <t>CA-QC</t>
  </si>
  <si>
    <t>market for wastewater, average</t>
  </si>
  <si>
    <t>wastewater, average</t>
  </si>
  <si>
    <t>market group for electricity, medium voltage</t>
  </si>
  <si>
    <t>alkyd paint, white, in 60% solution state</t>
  </si>
  <si>
    <t>4b876135ece643cb9e0eb156a790dfc7</t>
  </si>
  <si>
    <t>alkyd paint, white, 60% in solution state</t>
  </si>
  <si>
    <t>alkyd paint production, white, water-based, product in 60% solution state</t>
  </si>
  <si>
    <t>alkyd paint, white, without water, in 60% solution state</t>
  </si>
  <si>
    <t>aluminium production, 92% primary, ingot</t>
  </si>
  <si>
    <t>ba0435ca6abdaad442f2a5cafdf60cb4_copy2</t>
  </si>
  <si>
    <t>aluminium, 92% primary, ingot</t>
  </si>
  <si>
    <t>aluminium production, secondary, from scrap</t>
  </si>
  <si>
    <t>aluminium, liquid</t>
  </si>
  <si>
    <t>market for electricity, medium voltage, aluminium industry</t>
  </si>
  <si>
    <t>electricity, medium voltage, aluminium industry</t>
  </si>
  <si>
    <t>65279bf81bea4e2088e5334516c04944</t>
  </si>
  <si>
    <t>aluminium scrap, post-consumer, prepared for melting, Recycled Content cut-off</t>
  </si>
  <si>
    <t>aluminium scrap, post-consumer, prepared for melting</t>
  </si>
  <si>
    <t>market for heat, district or industrial, other than natural gas</t>
  </si>
  <si>
    <t>beam, softwood, raw, kiln drying to u=10%</t>
  </si>
  <si>
    <t>ce2284a3a0808fc9f9cf8a9b5c6bd5d7_copy1</t>
  </si>
  <si>
    <t>sawnwood, beam, softwood, raw, dried (u=10%)</t>
  </si>
  <si>
    <t>sawing, softwood</t>
  </si>
  <si>
    <t>sawnwood, softwood, raw</t>
  </si>
  <si>
    <t>wood chips production, softwood, at sawmill</t>
  </si>
  <si>
    <t>wood chips, wet, measured as dry mass</t>
  </si>
  <si>
    <t>1b31d8b2303c9384bf9a5d00cd57670b_copy1</t>
  </si>
  <si>
    <t>cast iron production</t>
  </si>
  <si>
    <t>e7a497ab3aa16d887380bdb301555364_copy1</t>
  </si>
  <si>
    <t>cast iron</t>
  </si>
  <si>
    <t>pig iron</t>
  </si>
  <si>
    <t>ceiling tile, glass fibre production</t>
  </si>
  <si>
    <t>9b8ea0b69efd437f96942d8d36ca4b6a</t>
  </si>
  <si>
    <t>ceiling tile, glass fibre</t>
  </si>
  <si>
    <t>400 squared feet of paint for 5 kg of paint</t>
  </si>
  <si>
    <t>cement grout production (mixed, proxy)</t>
  </si>
  <si>
    <t>4d304bc218228b52c6c6072d1cd548fd_copy1</t>
  </si>
  <si>
    <t>cement grout, mixed</t>
  </si>
  <si>
    <t>cement mortar production (mixed, proxy)</t>
  </si>
  <si>
    <t>4d304bc218228b52c6c6072d1cd548fd_copy3</t>
  </si>
  <si>
    <t>cement mortar, mixed</t>
  </si>
  <si>
    <t>cement production, Portland</t>
  </si>
  <si>
    <t>fcb666edf2a01467e555eeff5b4a5bbb_copy1</t>
  </si>
  <si>
    <t>clinker production</t>
  </si>
  <si>
    <t>clinker</t>
  </si>
  <si>
    <t>limestone production, crushed, for mill</t>
  </si>
  <si>
    <t>limestone, crushed, for mill</t>
  </si>
  <si>
    <t>ceramic tile production</t>
  </si>
  <si>
    <t>88c77cd46746a1b8f5d242d544df9055_copy1</t>
  </si>
  <si>
    <t>ceramic tile</t>
  </si>
  <si>
    <t>e6b12fe3a84a44f96d41173737cf46ef_copy1</t>
  </si>
  <si>
    <t>concrete production, 20MPa, with cement, Portland</t>
  </si>
  <si>
    <t>e6705287b239aeb875a074627abce4b3_copy1</t>
  </si>
  <si>
    <t>concrete, 20MPa</t>
  </si>
  <si>
    <t>Iron ion</t>
  </si>
  <si>
    <t>concrete production, 25MPa, for building construction, for interior use, with cement, Portland</t>
  </si>
  <si>
    <t>27b56d442aeae619b3c890a3ee406111_copy1</t>
  </si>
  <si>
    <t>concrete, 25MPa</t>
  </si>
  <si>
    <t>concrete production, 30-32MPa, with cement, Portland</t>
  </si>
  <si>
    <t>8f9958adfead94a210183976d5417009_copy1</t>
  </si>
  <si>
    <t>concrete, 30-32MPa</t>
  </si>
  <si>
    <t>direct iron reduction (DRI)</t>
  </si>
  <si>
    <t>2025f034f0d34257b4828d97008591d7</t>
  </si>
  <si>
    <t>sponge iron</t>
  </si>
  <si>
    <t>iron pellet production</t>
  </si>
  <si>
    <t>iron pellet</t>
  </si>
  <si>
    <t>quicklime production, in pieces, loose</t>
  </si>
  <si>
    <t>treatment of inert waste, inert material landfill</t>
  </si>
  <si>
    <t>epoxy resin production, liquid</t>
  </si>
  <si>
    <t>c34ebc9d3cf8e8f153e7b5d51211ba52_copy1</t>
  </si>
  <si>
    <t>epoxy resin, liquid</t>
  </si>
  <si>
    <t>a3db44de6a0a9f2abd1810651ede038b_copy1</t>
  </si>
  <si>
    <t>extrusion, pvc pipes</t>
  </si>
  <si>
    <t>a3db44de6a0a9f2abd1810651ede038b_copy2</t>
  </si>
  <si>
    <t>dd48cbc4f0cd2089ce96b3600792d606_copy1</t>
  </si>
  <si>
    <t>market for silicone product</t>
  </si>
  <si>
    <t>silicone product</t>
  </si>
  <si>
    <t>glazing production, double, U&lt;1.1 W/m2K</t>
  </si>
  <si>
    <t>d28bc3614175a3eeae735bf00410ac0c_copy2</t>
  </si>
  <si>
    <t>fd6d9270b6629e00d4019fbd9ec56127_copy1</t>
  </si>
  <si>
    <t>heat straightening, oxyacetylene torch</t>
  </si>
  <si>
    <t>fb80ff68663148109bec9a60419f3315</t>
  </si>
  <si>
    <t>heat straightening</t>
  </si>
  <si>
    <t>minute</t>
  </si>
  <si>
    <t>market for acetylene</t>
  </si>
  <si>
    <t>acetylene</t>
  </si>
  <si>
    <t>85044489c82eebde3060af39e67c6082_copy1</t>
  </si>
  <si>
    <t>laminated PVC flooring production</t>
  </si>
  <si>
    <t>39a1db49070c4f9a9167f24a8866fa98</t>
  </si>
  <si>
    <t>laminated PVC flooring</t>
  </si>
  <si>
    <t>laminating service, foil</t>
  </si>
  <si>
    <t>de8b8a8644dc1f0c1f798445f878ba5a_copy1</t>
  </si>
  <si>
    <t>f0bdc0a3373eb5fcb75b8095ca000ffc_copy1</t>
  </si>
  <si>
    <t>26488e0c78633874da59353f50cdb0f7_copy1</t>
  </si>
  <si>
    <t>market activity</t>
  </si>
  <si>
    <t>5ded925aa7705fbdd413c0a60bbb2150_copy1</t>
  </si>
  <si>
    <t>ton kilometer</t>
  </si>
  <si>
    <t>market for curtain wall, double glazed, aluminium framed</t>
  </si>
  <si>
    <t>d0ba19af7aeb4a35ae3520dc0ae9e3bd</t>
  </si>
  <si>
    <t>curtain wall, double glazed, aluminium framed</t>
  </si>
  <si>
    <t>anodising, aluminium sheet</t>
  </si>
  <si>
    <t>market for nylon 6-6</t>
  </si>
  <si>
    <t>nylon 6-6</t>
  </si>
  <si>
    <t>steel screws, nuts and bolts</t>
  </si>
  <si>
    <t>synthetic rubber production</t>
  </si>
  <si>
    <t>46 kg /m2 - most materials are first produced in Quebec / North-Eastern US, then transported to Nova Scotia for fabrication and installation</t>
  </si>
  <si>
    <t>7d95e8db27d1846ca8f709e387a0be61_copy1</t>
  </si>
  <si>
    <t>c4024221abe7424c809411e2fb51772f</t>
  </si>
  <si>
    <t>market for steel, low-alloyed, flat, hot rolled</t>
  </si>
  <si>
    <t>CA-ON</t>
  </si>
  <si>
    <t>steel, low-alloyed, flat, hot rolled</t>
  </si>
  <si>
    <t>Saint-Georges to Halifax</t>
  </si>
  <si>
    <t>zinc coating, pieces</t>
  </si>
  <si>
    <t>f1e34a135716e28ba7d189ceb802691b_copy1</t>
  </si>
  <si>
    <t>treatment of municipal solid waste, sanitary landfill - proxy</t>
  </si>
  <si>
    <t>market for sawlog and veneer log, softwood, measured as solid wood under bark</t>
  </si>
  <si>
    <t>73b6af98c3ca9566ddacab5e1d50aba7_copy1</t>
  </si>
  <si>
    <t>sawlog and veneer log, softwood, measured as solid wood under bark</t>
  </si>
  <si>
    <t>softwood forestry, mixed species, boreal forest - proxy</t>
  </si>
  <si>
    <t>market for steel W shapes</t>
  </si>
  <si>
    <t>000c6aa77d224038b646c9bc4a3c0905</t>
  </si>
  <si>
    <t>steel W shapes</t>
  </si>
  <si>
    <t>market for steel studs</t>
  </si>
  <si>
    <t>74496c32b3014fbd86424fc5213b1f8f</t>
  </si>
  <si>
    <t>steel studs</t>
  </si>
  <si>
    <t>zinc coating, coils</t>
  </si>
  <si>
    <t>market for steel, flat, hot rolled</t>
  </si>
  <si>
    <t>c976d8e0d3eb43ae92fe90a90a816a2a</t>
  </si>
  <si>
    <t>steel, flat, hot rolled</t>
  </si>
  <si>
    <t>market for steel, galvanized, flat products, cold rolled</t>
  </si>
  <si>
    <t>c976d8e0d3eb43ae92fe90a90a816a2a_copy1</t>
  </si>
  <si>
    <t>steel, galvanized, flat products, cold rolled</t>
  </si>
  <si>
    <t>97052d39b227478db9ca3278c818c1fc_copy1</t>
  </si>
  <si>
    <t>market for steel, long, hot rolled</t>
  </si>
  <si>
    <t>4f7456a39fbe4cbea9dbf793dcf492fc</t>
  </si>
  <si>
    <t>steel, long, hot rolled</t>
  </si>
  <si>
    <t>market for steel, low-alloyed, long, hot rolled</t>
  </si>
  <si>
    <t>steel, low-alloyed, long, hot rolled</t>
  </si>
  <si>
    <t>QC-Halifax (ship 1500 km)</t>
  </si>
  <si>
    <t>Toronto-Halifax (ship 2200 km)</t>
  </si>
  <si>
    <t>09d77800c9fe44938a77bf83ae050800</t>
  </si>
  <si>
    <t>steel production, electric, low-alloyed</t>
  </si>
  <si>
    <t>steel production, electric, low-alloyed, from DRI</t>
  </si>
  <si>
    <t>bc1a9aa8d95b41c4ba3923257ac9681f</t>
  </si>
  <si>
    <t>steel production, converter, low-alloyed</t>
  </si>
  <si>
    <t>7fe27571f9b5484991544465196a211c</t>
  </si>
  <si>
    <t>e22293ee41d84cd091074b12a080f07e</t>
  </si>
  <si>
    <t>market for steel. galvanized. long products, cold formed</t>
  </si>
  <si>
    <t>a167aaa4b654443da95789f1eac27eb7</t>
  </si>
  <si>
    <t>steel, galvanized, long products, cold formed</t>
  </si>
  <si>
    <t>a3e4e379aae120ad7d7bb2e9ce288c5b_copy1</t>
  </si>
  <si>
    <t>tap water production, conventional treatment</t>
  </si>
  <si>
    <t>tap water production, direct filtration treatment</t>
  </si>
  <si>
    <t>market for traction elevator production</t>
  </si>
  <si>
    <t>059e770524e44003aa73b7b2c99c847d</t>
  </si>
  <si>
    <t>elevator</t>
  </si>
  <si>
    <t>Cast iron counterweight transport from North Eastern US to Halifax</t>
  </si>
  <si>
    <t>oriented strand board production</t>
  </si>
  <si>
    <t>2b430a551ef6a070a85155fe3df5cae4_copy1</t>
  </si>
  <si>
    <t>oriented strand board</t>
  </si>
  <si>
    <t>pig iron production</t>
  </si>
  <si>
    <t>b8e3a41000ae075b831d132dc0417b5f_copy1</t>
  </si>
  <si>
    <t>plywood production</t>
  </si>
  <si>
    <t>bce36ac54ea5f0a86900434a4f4ff41f_copy1</t>
  </si>
  <si>
    <t>plywood</t>
  </si>
  <si>
    <t>3e7275068c1b335195d536e697e3d143_copy1</t>
  </si>
  <si>
    <t>slab and siding, softwood, wet, measured as dry mass</t>
  </si>
  <si>
    <t>f686b7fd0ec56c54308c89de8b5e4b5b_copy1</t>
  </si>
  <si>
    <t>sealing tape production, paper, 50 mm wide</t>
  </si>
  <si>
    <t>1ee39d23043fa1129d1184f1280c2991_copy1</t>
  </si>
  <si>
    <t>sealing tape, paper, 50 mm wide</t>
  </si>
  <si>
    <t>4ed9a651ba754da1db816a65f8091a10_copy1</t>
  </si>
  <si>
    <t>e78bcd1eac756d1a15276d9e58b5295c_copy1</t>
  </si>
  <si>
    <t>89cb4e1a47b707fe43b99135b81fcaba_copy2</t>
  </si>
  <si>
    <t>89cb4e1a47b707fe43b99135b81fcaba_copy3</t>
  </si>
  <si>
    <t>steel production, electric, chromium steel 18/8</t>
  </si>
  <si>
    <t>b3d1380a6e998c9dc933637ea681a408_copy1</t>
  </si>
  <si>
    <t>steel, chromium steel 18/8</t>
  </si>
  <si>
    <t>af6bd1221fc0206541fbaf481397bf0d_copy1</t>
  </si>
  <si>
    <t>market for cast iron</t>
  </si>
  <si>
    <t>af6bd1221fc0206541fbaf481397bf0d_copy3</t>
  </si>
  <si>
    <t>af6bd1221fc0206541fbaf481397bf0d_copy4</t>
  </si>
  <si>
    <t>af6bd1221fc0206541fbaf481397bf0d_copy2</t>
  </si>
  <si>
    <t>677da94693ed4faeab30ef62e352d7e5</t>
  </si>
  <si>
    <t>impact extrusion of steel, cold, 3 strokes</t>
  </si>
  <si>
    <t>4a2723cbf536457390c8e596af152c56</t>
  </si>
  <si>
    <t>6f09f777803e40aa938d017b46f1563a</t>
  </si>
  <si>
    <t>5738be1fb3dfa8e88fe05608b8197b54_copy1</t>
  </si>
  <si>
    <t>a529841175b28282dbc15219da987e36_copy1</t>
  </si>
  <si>
    <t>ae7b0ce46d7c8e1d2d2c6acd9f35f643_copy1</t>
  </si>
  <si>
    <t>wallpaper production</t>
  </si>
  <si>
    <t>1bceb4275d4747e1b0d41edaf4a13e5a</t>
  </si>
  <si>
    <t>market for printed paper, offset</t>
  </si>
  <si>
    <t>printed paper, offset</t>
  </si>
  <si>
    <t>welding, arc, steel</t>
  </si>
  <si>
    <t>871ff71bb81a4847a29c84dcbcf84986</t>
  </si>
  <si>
    <t>welding, arc</t>
  </si>
  <si>
    <t>electronics production, for control units</t>
  </si>
  <si>
    <t>007f8982830a162cd64811b49818db3e_copy1</t>
  </si>
  <si>
    <t>Replace chiller (following cost estimation entries)</t>
  </si>
  <si>
    <t>Average inventory from 3 chiller EPDs.</t>
  </si>
  <si>
    <t>https://www.trane.com/content/dam/Trane/Commercial/global/products-systems/equipment/chillers/water-cooled/101.1_EPD_TraneTechnologiesChiller.pdf ; https://info.nsf.org/Certified/Sustain/ProdCert/EPD10924.pdf ; https://www.environdec.com/library/epd16463</t>
  </si>
  <si>
    <t>chiller, 75 ton | market for chiller, 75 ton |CA-NS</t>
  </si>
  <si>
    <t>chiller production, 75 ton</t>
  </si>
  <si>
    <t>cf7038697ff14e349c04832fa65880c0</t>
  </si>
  <si>
    <t>chiller, 75 ton</t>
  </si>
  <si>
    <t>printed wiring board production, surface mounted, unspecified, Pb containing</t>
  </si>
  <si>
    <t>printed wiring board, surface mounted, unspecified, Pb containing</t>
  </si>
  <si>
    <t>market for chiller, 75 ton</t>
  </si>
  <si>
    <t>0db770db74f1489d8e18937e8719bfbb</t>
  </si>
  <si>
    <t>NOTE : pelicun automatically converts assessments relying on imperial units to SI units. Damage data are therefore also formatted/converted to SI units.</t>
  </si>
  <si>
    <t>Modified datasets</t>
  </si>
  <si>
    <t>format</t>
  </si>
  <si>
    <t>Brightway2 copy</t>
  </si>
  <si>
    <t>worksheet name</t>
  </si>
  <si>
    <t>ecoinvent_3.12_cutoff</t>
  </si>
  <si>
    <t>polyethylene, high density, granulate, recycled to generic market for polyethylene, high density, granulate</t>
  </si>
  <si>
    <t>transport, freight, lorry, &gt;32 metric ton, diesel, EURO 6</t>
  </si>
  <si>
    <t>industrial gases production, cryogenic air separation</t>
  </si>
  <si>
    <t>polyvinyl chloride production, suspension polymerisation</t>
  </si>
  <si>
    <t>polyvinyl chloride, suspension polymerised</t>
  </si>
  <si>
    <t>market for galvanized steel deck</t>
  </si>
  <si>
    <t>steel deck</t>
  </si>
  <si>
    <t>Toronto to Saint-Georges</t>
  </si>
  <si>
    <t>transport, freight, sea, container ship, heavy fuel oil</t>
  </si>
  <si>
    <t>Redacted for end user license agreement purposes</t>
  </si>
  <si>
    <t>cement production, general use (GU), average</t>
  </si>
  <si>
    <t>968483b8728a76201d92dfa2af74abf5_copy1</t>
  </si>
  <si>
    <t>cement, general use (GU)</t>
  </si>
  <si>
    <t>clinker production, average</t>
  </si>
  <si>
    <t>41aa3b7da3fab699bd59ff1803801a82_copy1</t>
  </si>
  <si>
    <t>market for clinker</t>
  </si>
  <si>
    <t>9f4afe5e0655b7e1bfaa512c5188b8ba_copy1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</si>
</sst>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
    <numFmt numFmtId="166" formatCode="0.0000"/>
    <numFmt numFmtId="167" formatCode="0.00000"/>
    <numFmt numFmtId="168" formatCode="0.000000"/>
    <numFmt numFmtId="169" formatCode="0.0000000"/>
    <numFmt numFmtId="170" formatCode="#,##0_);[Red]\(#,##0\);;@"/>
  </numFmts>
  <fonts count="11" x14ac:knownFonts="1">
    <font>
      <sz val="11"/>
      <color theme="1"/>
      <name val="Calibri"/>
      <family val="2"/>
      <scheme val="minor"/>
    </font>
    <font>
      <sz val="11"/>
      <color rgb="FFFF0000"/>
      <name val="Calibri"/>
      <family val="2"/>
      <scheme val="minor"/>
    </font>
    <font>
      <b/>
      <sz val="9"/>
      <color indexed="81"/>
      <name val="Tahoma"/>
      <family val="2"/>
    </font>
    <font>
      <u/>
      <sz val="11"/>
      <color theme="10"/>
      <name val="Calibri"/>
      <family val="2"/>
      <scheme val="minor"/>
    </font>
    <font>
      <sz val="11"/>
      <color theme="0" tint="-0.249977111117893"/>
      <name val="Calibri"/>
      <family val="2"/>
      <scheme val="minor"/>
    </font>
    <font>
      <sz val="11"/>
      <name val="Calibri"/>
      <family val="2"/>
      <scheme val="minor"/>
    </font>
    <font>
      <sz val="11"/>
      <name val="Arial"/>
      <family val="2"/>
    </font>
    <font>
      <sz val="10"/>
      <name val="Century Gothic"/>
      <family val="2"/>
    </font>
    <font>
      <sz val="11"/>
      <color theme="0" tint="-0.34998626667073579"/>
      <name val="Calibri"/>
      <family val="2"/>
      <scheme val="minor"/>
    </font>
    <font>
      <sz val="8"/>
      <name val="Calibri"/>
      <family val="2"/>
      <scheme val="minor"/>
    </font>
    <font>
      <b/>
      <sz val="12"/>
      <color theme="1"/>
      <name val="Calibri"/>
      <family val="2"/>
      <scheme val="minor"/>
    </font>
  </fonts>
  <fills count="8">
    <fill>
      <patternFill patternType="none"/>
    </fill>
    <fill>
      <patternFill patternType="gray125"/>
    </fill>
    <fill>
      <patternFill patternType="solid">
        <fgColor theme="1"/>
        <bgColor indexed="64"/>
      </patternFill>
    </fill>
    <fill>
      <patternFill patternType="solid">
        <fgColor theme="8" tint="0.59999389629810485"/>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3">
    <border>
      <left/>
      <right/>
      <top/>
      <bottom/>
      <diagonal/>
    </border>
    <border>
      <left/>
      <right/>
      <top/>
      <bottom style="medium">
        <color indexed="64"/>
      </bottom>
      <diagonal/>
    </border>
    <border>
      <left/>
      <right/>
      <top style="medium">
        <color indexed="64"/>
      </top>
      <bottom style="medium">
        <color indexed="64"/>
      </bottom>
      <diagonal/>
    </border>
  </borders>
  <cellStyleXfs count="3">
    <xf numFmtId="0" fontId="0" fillId="0" borderId="0"/>
    <xf numFmtId="0" fontId="3" fillId="0" borderId="0" applyNumberFormat="0" applyFill="0" applyBorder="0" applyAlignment="0" applyProtection="0"/>
    <xf numFmtId="170" fontId="7" fillId="0" borderId="0" applyFont="0" applyFill="0" applyBorder="0">
      <alignment horizontal="left" vertical="top" wrapText="1"/>
      <protection locked="0"/>
    </xf>
  </cellStyleXfs>
  <cellXfs count="95">
    <xf numFmtId="0" fontId="0" fillId="0" borderId="0" xfId="0"/>
    <xf numFmtId="0" fontId="0" fillId="2" borderId="0" xfId="0" applyFill="1"/>
    <xf numFmtId="0" fontId="1" fillId="0" borderId="0" xfId="0" applyFont="1"/>
    <xf numFmtId="0" fontId="0" fillId="0" borderId="1" xfId="0" applyBorder="1"/>
    <xf numFmtId="0" fontId="0" fillId="3" borderId="1" xfId="0" applyFill="1" applyBorder="1" applyAlignment="1">
      <alignment horizontal="center"/>
    </xf>
    <xf numFmtId="0" fontId="0" fillId="3" borderId="2" xfId="0" applyFill="1" applyBorder="1" applyAlignment="1">
      <alignment horizontal="center"/>
    </xf>
    <xf numFmtId="0" fontId="0" fillId="0" borderId="0" xfId="0" applyAlignment="1">
      <alignment horizontal="left"/>
    </xf>
    <xf numFmtId="0" fontId="0" fillId="0" borderId="0" xfId="0" applyAlignment="1">
      <alignment vertical="center" wrapText="1"/>
    </xf>
    <xf numFmtId="0" fontId="0" fillId="0" borderId="0" xfId="0" applyAlignment="1">
      <alignment vertical="center"/>
    </xf>
    <xf numFmtId="0" fontId="0" fillId="3" borderId="1" xfId="0" applyFill="1" applyBorder="1"/>
    <xf numFmtId="0" fontId="0" fillId="4" borderId="0" xfId="0" applyFill="1"/>
    <xf numFmtId="0" fontId="0" fillId="4" borderId="0" xfId="0" applyFill="1" applyAlignment="1">
      <alignment vertical="center"/>
    </xf>
    <xf numFmtId="0" fontId="0" fillId="0" borderId="1" xfId="0" applyBorder="1" applyAlignment="1">
      <alignment vertical="center"/>
    </xf>
    <xf numFmtId="0" fontId="0" fillId="0" borderId="0" xfId="0" applyAlignment="1">
      <alignment horizontal="center"/>
    </xf>
    <xf numFmtId="0" fontId="0" fillId="5" borderId="0" xfId="0" applyFill="1"/>
    <xf numFmtId="0" fontId="0" fillId="5" borderId="0" xfId="0" applyFill="1" applyAlignment="1">
      <alignment horizontal="left"/>
    </xf>
    <xf numFmtId="0" fontId="0" fillId="5" borderId="0" xfId="0" applyFill="1" applyAlignment="1">
      <alignment vertical="center"/>
    </xf>
    <xf numFmtId="164" fontId="0" fillId="0" borderId="0" xfId="0" applyNumberFormat="1" applyAlignment="1">
      <alignment vertical="center" wrapText="1"/>
    </xf>
    <xf numFmtId="2" fontId="0" fillId="0" borderId="0" xfId="0" applyNumberFormat="1" applyAlignment="1">
      <alignment vertical="center" wrapText="1"/>
    </xf>
    <xf numFmtId="11" fontId="4" fillId="0" borderId="0" xfId="0" applyNumberFormat="1" applyFont="1" applyAlignment="1">
      <alignment vertical="center" wrapText="1"/>
    </xf>
    <xf numFmtId="2" fontId="4" fillId="0" borderId="0" xfId="0" applyNumberFormat="1" applyFont="1" applyAlignment="1">
      <alignment vertical="center" wrapText="1"/>
    </xf>
    <xf numFmtId="0" fontId="0" fillId="4" borderId="0" xfId="0" applyFill="1" applyAlignment="1">
      <alignment horizontal="center"/>
    </xf>
    <xf numFmtId="0" fontId="3" fillId="0" borderId="0" xfId="1" applyAlignment="1">
      <alignment vertical="center"/>
    </xf>
    <xf numFmtId="165" fontId="0" fillId="0" borderId="0" xfId="0" applyNumberFormat="1" applyAlignment="1">
      <alignment vertical="center"/>
    </xf>
    <xf numFmtId="167" fontId="0" fillId="0" borderId="0" xfId="0" applyNumberFormat="1" applyAlignment="1">
      <alignment vertical="center"/>
    </xf>
    <xf numFmtId="2" fontId="0" fillId="0" borderId="0" xfId="0" applyNumberFormat="1" applyAlignment="1">
      <alignment vertical="center"/>
    </xf>
    <xf numFmtId="164" fontId="4" fillId="0" borderId="0" xfId="0" applyNumberFormat="1" applyFont="1" applyAlignment="1">
      <alignment vertical="center" wrapText="1"/>
    </xf>
    <xf numFmtId="169" fontId="0" fillId="0" borderId="0" xfId="0" applyNumberFormat="1" applyAlignment="1">
      <alignment vertical="center" wrapText="1"/>
    </xf>
    <xf numFmtId="166" fontId="4" fillId="0" borderId="0" xfId="0" applyNumberFormat="1" applyFont="1" applyAlignment="1">
      <alignment vertical="center" wrapText="1"/>
    </xf>
    <xf numFmtId="166" fontId="0" fillId="0" borderId="0" xfId="0" applyNumberFormat="1" applyAlignment="1">
      <alignment vertical="center"/>
    </xf>
    <xf numFmtId="165" fontId="0" fillId="0" borderId="0" xfId="0" applyNumberFormat="1" applyAlignment="1">
      <alignment horizontal="center"/>
    </xf>
    <xf numFmtId="2" fontId="0" fillId="0" borderId="0" xfId="0" applyNumberFormat="1" applyAlignment="1">
      <alignment horizontal="center"/>
    </xf>
    <xf numFmtId="0" fontId="5" fillId="0" borderId="0" xfId="0" applyFont="1" applyAlignment="1">
      <alignment vertical="center"/>
    </xf>
    <xf numFmtId="0" fontId="5" fillId="0" borderId="0" xfId="0" applyFont="1"/>
    <xf numFmtId="2" fontId="4" fillId="0" borderId="1" xfId="0" applyNumberFormat="1" applyFont="1" applyBorder="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5" borderId="0" xfId="0" applyFill="1" applyAlignment="1">
      <alignment horizontal="left" vertical="top" wrapText="1"/>
    </xf>
    <xf numFmtId="0" fontId="0" fillId="0" borderId="0" xfId="0" applyAlignment="1">
      <alignment vertical="top"/>
    </xf>
    <xf numFmtId="0" fontId="0" fillId="0" borderId="0" xfId="0" applyAlignment="1">
      <alignment vertical="top" wrapText="1"/>
    </xf>
    <xf numFmtId="0" fontId="0" fillId="5" borderId="0" xfId="0" applyFill="1" applyAlignment="1">
      <alignment vertical="top"/>
    </xf>
    <xf numFmtId="0" fontId="5" fillId="0" borderId="0" xfId="0" applyFont="1" applyAlignment="1">
      <alignment horizontal="center"/>
    </xf>
    <xf numFmtId="0" fontId="0" fillId="4" borderId="0" xfId="0" applyFill="1" applyAlignment="1">
      <alignment horizontal="center" vertical="center"/>
    </xf>
    <xf numFmtId="0" fontId="0" fillId="4" borderId="0" xfId="0" applyFill="1" applyAlignment="1">
      <alignment horizontal="left"/>
    </xf>
    <xf numFmtId="0" fontId="0" fillId="5" borderId="0" xfId="0" applyFill="1" applyAlignment="1">
      <alignment horizontal="left" vertical="center"/>
    </xf>
    <xf numFmtId="0" fontId="1" fillId="0" borderId="0" xfId="0" applyFont="1" applyAlignment="1">
      <alignment horizontal="left"/>
    </xf>
    <xf numFmtId="170" fontId="6" fillId="0" borderId="0" xfId="2" applyFont="1" applyFill="1" applyAlignment="1">
      <alignment horizontal="center" vertical="center" wrapText="1"/>
      <protection locked="0"/>
    </xf>
    <xf numFmtId="0" fontId="8" fillId="0" borderId="0" xfId="0" applyFont="1" applyAlignment="1">
      <alignment horizontal="center"/>
    </xf>
    <xf numFmtId="0" fontId="0" fillId="0" borderId="0" xfId="0" applyAlignment="1">
      <alignment horizontal="left" vertical="center"/>
    </xf>
    <xf numFmtId="11" fontId="4" fillId="0" borderId="0" xfId="0" applyNumberFormat="1" applyFont="1" applyAlignment="1">
      <alignment horizontal="center" vertical="center" wrapText="1"/>
    </xf>
    <xf numFmtId="0" fontId="3" fillId="0" borderId="0" xfId="1" applyAlignment="1">
      <alignment horizontal="left"/>
    </xf>
    <xf numFmtId="164" fontId="0" fillId="0" borderId="0" xfId="0" applyNumberFormat="1" applyAlignment="1">
      <alignment vertical="center"/>
    </xf>
    <xf numFmtId="168" fontId="0" fillId="0" borderId="0" xfId="0" applyNumberFormat="1" applyAlignment="1">
      <alignment vertical="center"/>
    </xf>
    <xf numFmtId="0" fontId="0" fillId="0" borderId="0" xfId="0" applyAlignment="1">
      <alignment horizontal="right"/>
    </xf>
    <xf numFmtId="166" fontId="0" fillId="0" borderId="0" xfId="0" applyNumberFormat="1" applyAlignment="1">
      <alignment vertical="center" wrapText="1"/>
    </xf>
    <xf numFmtId="164" fontId="0" fillId="0" borderId="0" xfId="0" applyNumberFormat="1" applyAlignment="1">
      <alignment horizontal="center"/>
    </xf>
    <xf numFmtId="0" fontId="3" fillId="0" borderId="0" xfId="1" applyAlignment="1">
      <alignment horizontal="center"/>
    </xf>
    <xf numFmtId="166" fontId="0" fillId="0" borderId="0" xfId="0" applyNumberFormat="1" applyAlignment="1">
      <alignment horizontal="right"/>
    </xf>
    <xf numFmtId="166" fontId="0" fillId="0" borderId="0" xfId="0" applyNumberFormat="1" applyAlignment="1">
      <alignment horizontal="center"/>
    </xf>
    <xf numFmtId="2" fontId="0" fillId="0" borderId="0" xfId="0" applyNumberFormat="1"/>
    <xf numFmtId="165" fontId="0" fillId="0" borderId="0" xfId="0" applyNumberFormat="1"/>
    <xf numFmtId="164" fontId="8" fillId="0" borderId="0" xfId="0" applyNumberFormat="1" applyFont="1" applyAlignment="1">
      <alignment horizontal="center"/>
    </xf>
    <xf numFmtId="2" fontId="8" fillId="0" borderId="0" xfId="0" applyNumberFormat="1" applyFont="1" applyAlignment="1">
      <alignment horizontal="center"/>
    </xf>
    <xf numFmtId="165" fontId="8" fillId="0" borderId="0" xfId="0" applyNumberFormat="1" applyFont="1" applyAlignment="1">
      <alignment horizontal="center"/>
    </xf>
    <xf numFmtId="1" fontId="0" fillId="0" borderId="0" xfId="0" applyNumberFormat="1"/>
    <xf numFmtId="1" fontId="0" fillId="0" borderId="0" xfId="0" applyNumberFormat="1" applyAlignment="1">
      <alignment horizontal="center"/>
    </xf>
    <xf numFmtId="1" fontId="0" fillId="0" borderId="0" xfId="0" applyNumberFormat="1" applyAlignment="1">
      <alignment vertical="center"/>
    </xf>
    <xf numFmtId="1" fontId="0" fillId="0" borderId="0" xfId="0" applyNumberFormat="1" applyAlignment="1">
      <alignment horizontal="center" vertical="center"/>
    </xf>
    <xf numFmtId="165" fontId="0" fillId="0" borderId="0" xfId="0" applyNumberFormat="1" applyAlignment="1">
      <alignment horizontal="right"/>
    </xf>
    <xf numFmtId="1" fontId="4" fillId="0" borderId="0" xfId="0" applyNumberFormat="1" applyFont="1" applyAlignment="1">
      <alignment vertical="center" wrapText="1"/>
    </xf>
    <xf numFmtId="0" fontId="0" fillId="0" borderId="1" xfId="0" applyBorder="1" applyAlignment="1">
      <alignment horizontal="left" vertical="center"/>
    </xf>
    <xf numFmtId="0" fontId="3" fillId="0" borderId="1" xfId="1" applyBorder="1" applyAlignment="1">
      <alignment vertical="center"/>
    </xf>
    <xf numFmtId="0" fontId="0" fillId="6" borderId="0" xfId="0" applyFill="1" applyAlignment="1">
      <alignment horizontal="center" vertical="center"/>
    </xf>
    <xf numFmtId="166" fontId="8" fillId="0" borderId="0" xfId="0" applyNumberFormat="1" applyFont="1" applyAlignment="1">
      <alignment horizontal="center"/>
    </xf>
    <xf numFmtId="0" fontId="0" fillId="7" borderId="0" xfId="0" applyFill="1" applyAlignment="1">
      <alignment horizontal="center" vertical="center"/>
    </xf>
    <xf numFmtId="168" fontId="0" fillId="0" borderId="0" xfId="0" applyNumberFormat="1" applyAlignment="1">
      <alignment horizontal="center"/>
    </xf>
    <xf numFmtId="169" fontId="0" fillId="0" borderId="0" xfId="0" applyNumberFormat="1" applyAlignment="1">
      <alignment horizontal="center"/>
    </xf>
    <xf numFmtId="164" fontId="0" fillId="0" borderId="0" xfId="0" applyNumberFormat="1" applyAlignment="1">
      <alignment horizontal="center" vertical="center"/>
    </xf>
    <xf numFmtId="166" fontId="0" fillId="0" borderId="0" xfId="0" applyNumberFormat="1" applyAlignment="1">
      <alignment horizontal="center" vertical="center" wrapText="1"/>
    </xf>
    <xf numFmtId="0" fontId="10" fillId="0" borderId="0" xfId="0" applyFont="1"/>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0" fillId="6" borderId="0" xfId="0" applyFill="1" applyAlignment="1">
      <alignment horizontal="center" vertical="center"/>
    </xf>
    <xf numFmtId="0" fontId="0" fillId="0" borderId="1" xfId="0" applyBorder="1" applyAlignment="1">
      <alignment horizontal="center" vertical="center" wrapText="1"/>
    </xf>
    <xf numFmtId="0" fontId="0" fillId="5" borderId="0" xfId="0" applyFill="1" applyAlignment="1">
      <alignment horizontal="left" vertical="top"/>
    </xf>
    <xf numFmtId="0" fontId="0" fillId="0" borderId="0" xfId="0" applyAlignment="1">
      <alignment horizontal="left" vertical="top" wrapText="1"/>
    </xf>
    <xf numFmtId="0" fontId="0" fillId="5" borderId="0" xfId="0" applyFill="1" applyAlignment="1">
      <alignment horizontal="left" vertical="top" wrapText="1"/>
    </xf>
    <xf numFmtId="2" fontId="0" fillId="0" borderId="0" xfId="0" applyNumberFormat="1" applyAlignment="1">
      <alignment horizontal="center" vertical="center"/>
    </xf>
    <xf numFmtId="164" fontId="0" fillId="0" borderId="0" xfId="0" applyNumberFormat="1" applyAlignment="1">
      <alignment horizontal="center" vertical="center" wrapText="1"/>
    </xf>
    <xf numFmtId="164" fontId="0" fillId="0" borderId="0" xfId="0" applyNumberFormat="1" applyAlignment="1">
      <alignment horizontal="center" vertical="center"/>
    </xf>
    <xf numFmtId="0" fontId="0" fillId="6" borderId="0" xfId="0" applyFill="1" applyAlignment="1">
      <alignment horizontal="center" vertical="center" wrapText="1"/>
    </xf>
    <xf numFmtId="0" fontId="0" fillId="0" borderId="0" xfId="0" applyAlignment="1">
      <alignment horizontal="left" vertical="top"/>
    </xf>
    <xf numFmtId="0" fontId="0" fillId="5" borderId="1" xfId="0" applyFill="1" applyBorder="1" applyAlignment="1">
      <alignment horizontal="left" vertical="top"/>
    </xf>
    <xf numFmtId="170" fontId="6" fillId="0" borderId="0" xfId="2" applyFont="1" applyFill="1" applyAlignment="1">
      <alignment horizontal="center" vertical="center" wrapText="1"/>
      <protection locked="0"/>
    </xf>
  </cellXfs>
  <cellStyles count="3">
    <cellStyle name="Description" xfId="2" xr:uid="{96BAE537-FC51-45F1-B7DD-AD9CC780D0E1}"/>
    <cellStyle name="Hyperlink" xfId="1" builtinId="8"/>
    <cellStyle name="Normal" xfId="0" builtinId="0"/>
  </cellStyles>
  <dxfs count="2">
    <dxf>
      <fill>
        <patternFill patternType="lightDown"/>
      </fill>
    </dxf>
    <dxf>
      <fill>
        <patternFill patternType="lightDown"/>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127509</xdr:colOff>
      <xdr:row>457</xdr:row>
      <xdr:rowOff>160812</xdr:rowOff>
    </xdr:from>
    <xdr:to>
      <xdr:col>3</xdr:col>
      <xdr:colOff>2244776</xdr:colOff>
      <xdr:row>484</xdr:row>
      <xdr:rowOff>187001</xdr:rowOff>
    </xdr:to>
    <xdr:pic>
      <xdr:nvPicPr>
        <xdr:cNvPr id="16" name="Picture 15">
          <a:extLst>
            <a:ext uri="{FF2B5EF4-FFF2-40B4-BE49-F238E27FC236}">
              <a16:creationId xmlns:a16="http://schemas.microsoft.com/office/drawing/2014/main" id="{2610908C-2AEA-CF0E-C044-1C4EAA9FEA07}"/>
            </a:ext>
          </a:extLst>
        </xdr:cNvPr>
        <xdr:cNvPicPr>
          <a:picLocks noChangeAspect="1"/>
        </xdr:cNvPicPr>
      </xdr:nvPicPr>
      <xdr:blipFill>
        <a:blip xmlns:r="http://schemas.openxmlformats.org/officeDocument/2006/relationships" r:embed="rId1"/>
        <a:stretch>
          <a:fillRect/>
        </a:stretch>
      </xdr:blipFill>
      <xdr:spPr>
        <a:xfrm>
          <a:off x="1290301" y="152177338"/>
          <a:ext cx="5042308" cy="5020851"/>
        </a:xfrm>
        <a:prstGeom prst="rect">
          <a:avLst/>
        </a:prstGeom>
      </xdr:spPr>
    </xdr:pic>
    <xdr:clientData/>
  </xdr:twoCellAnchor>
  <xdr:twoCellAnchor editAs="oneCell">
    <xdr:from>
      <xdr:col>4</xdr:col>
      <xdr:colOff>49481</xdr:colOff>
      <xdr:row>458</xdr:row>
      <xdr:rowOff>98962</xdr:rowOff>
    </xdr:from>
    <xdr:to>
      <xdr:col>4</xdr:col>
      <xdr:colOff>2823783</xdr:colOff>
      <xdr:row>482</xdr:row>
      <xdr:rowOff>187247</xdr:rowOff>
    </xdr:to>
    <xdr:pic>
      <xdr:nvPicPr>
        <xdr:cNvPr id="30" name="Picture 29">
          <a:extLst>
            <a:ext uri="{FF2B5EF4-FFF2-40B4-BE49-F238E27FC236}">
              <a16:creationId xmlns:a16="http://schemas.microsoft.com/office/drawing/2014/main" id="{DD3C0E75-58B0-6553-08E3-D3F65013EA38}"/>
            </a:ext>
          </a:extLst>
        </xdr:cNvPr>
        <xdr:cNvPicPr>
          <a:picLocks noChangeAspect="1"/>
        </xdr:cNvPicPr>
      </xdr:nvPicPr>
      <xdr:blipFill>
        <a:blip xmlns:r="http://schemas.openxmlformats.org/officeDocument/2006/relationships" r:embed="rId2"/>
        <a:stretch>
          <a:fillRect/>
        </a:stretch>
      </xdr:blipFill>
      <xdr:spPr>
        <a:xfrm>
          <a:off x="8040585" y="152301040"/>
          <a:ext cx="2780017" cy="453581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hareddocs.com/hvac/docs/1005/Public/07/28B-3PD.pdf" TargetMode="External"/><Relationship Id="rId18" Type="http://schemas.openxmlformats.org/officeDocument/2006/relationships/hyperlink" Target="https://www.eng.buffalo.edu/mceer-reports/02/02-0002.pdf%20;%20Table%203-2%20HBSC%2011th%20edition" TargetMode="External"/><Relationship Id="rId26" Type="http://schemas.openxmlformats.org/officeDocument/2006/relationships/hyperlink" Target="https://www.homedepot.ca/product/lifeproof-champagne-beach-wood-12-01-inch-x-28-28-inch-chevron-luxury-vinyl-plank-flooring-18-87-sq-ft-case-/1001511014" TargetMode="External"/><Relationship Id="rId39" Type="http://schemas.openxmlformats.org/officeDocument/2006/relationships/hyperlink" Target="https://www.asc-es.com/resource/Ultra%20SprinkFlex%20Flexible%20Hose%20(Short)%20Submittal%20HB1%20;" TargetMode="External"/><Relationship Id="rId21" Type="http://schemas.openxmlformats.org/officeDocument/2006/relationships/hyperlink" Target="https://www.hollisterwhitney.com/wp-content/uploads/2019/04/Counterweight-Frames-Brochure.pdf" TargetMode="External"/><Relationship Id="rId34" Type="http://schemas.openxmlformats.org/officeDocument/2006/relationships/hyperlink" Target="https://link.springer.com/article/10.1007/s11367-019-01621-x%20;%20CSA%20W59%20&amp;%20CSA%20W48" TargetMode="External"/><Relationship Id="rId42" Type="http://schemas.openxmlformats.org/officeDocument/2006/relationships/hyperlink" Target="https://tahoeweb.daikinapplied.com/api/general/DownloadDocumentByName/media/Daikin_CAT_903-1_LR_Air_Terminal_Units_Catalog.pdf/%20;" TargetMode="External"/><Relationship Id="rId47" Type="http://schemas.openxmlformats.org/officeDocument/2006/relationships/hyperlink" Target="https://images.thdstatic.com/catalog/pdfImages/99/99148400-32ce-44d9-b170-4a56e48d735b.pdf%20;" TargetMode="External"/><Relationship Id="rId50" Type="http://schemas.openxmlformats.org/officeDocument/2006/relationships/hyperlink" Target="https://itsolution.lindab.com/lindabwebproductsdoc/assets/production/NGE0NGE3YjUtZmRjYi00Mzg0LWE0YTYtN2JmZDI2Yzc0NjE5/5249987968817733757/EPD_Lindab_s.r.o._Ceiling_diffusers_Integra__LCC,_LCP_and_LKP_HUB-0671_2023-09-13.pdf%20;" TargetMode="External"/><Relationship Id="rId55" Type="http://schemas.openxmlformats.org/officeDocument/2006/relationships/hyperlink" Target="https://www.trane.com/content/dam/Trane/Commercial/global/products-systems/equipment/chillers/water-cooled/101.1_EPD_TraneTechnologiesChiller.pdf%20;" TargetMode="External"/><Relationship Id="rId7" Type="http://schemas.openxmlformats.org/officeDocument/2006/relationships/hyperlink" Target="https://buildingtransparency.org/ec3/epds/ec3adnuj%20;" TargetMode="External"/><Relationship Id="rId2" Type="http://schemas.openxmlformats.org/officeDocument/2006/relationships/hyperlink" Target="https://images.homedepot.ca/pdf/BEHR%20DYNASTY%20INTERIOR%20EGGSHELL%20ENAMEL%20PAINT_TDS_Canada-pdf.pdf" TargetMode="External"/><Relationship Id="rId16" Type="http://schemas.openxmlformats.org/officeDocument/2006/relationships/hyperlink" Target="https://assets.victaulic.com/assets/uploads/literature/06.18.pdf%20;" TargetMode="External"/><Relationship Id="rId29" Type="http://schemas.openxmlformats.org/officeDocument/2006/relationships/hyperlink" Target="https://link.springer.com/article/10.1007/s11367-019-01621-x%20;%20CSA%20W59%20&amp;%20CSA%20W48" TargetMode="External"/><Relationship Id="rId11" Type="http://schemas.openxmlformats.org/officeDocument/2006/relationships/hyperlink" Target="https://www.lowes.com/pd/ELK-ELK-Aluminum-Foil-Tape-for-Metal-Repair-Air-Ducts-Insulated-Pipes-HVAC-Sealing-Ductwork-Vapor-Exhaust-and-Heat-Resistant-Safe-Professional-Grade-Insulation-Sealer-Silver-1-88-in-x-150-ft/1003237760" TargetMode="External"/><Relationship Id="rId24" Type="http://schemas.openxmlformats.org/officeDocument/2006/relationships/hyperlink" Target="https://www.mdpi.com/2071-1050/15/9/7273%20;" TargetMode="External"/><Relationship Id="rId32" Type="http://schemas.openxmlformats.org/officeDocument/2006/relationships/hyperlink" Target="https://link.springer.com/article/10.1007/s11367-019-01621-x%20;%20CSA%20W59%20&amp;%20CSA%20W48" TargetMode="External"/><Relationship Id="rId37" Type="http://schemas.openxmlformats.org/officeDocument/2006/relationships/hyperlink" Target="https://certainteed.widen.net/content/opoyh8dp5n/pdf/117.2-CertainTeed-Gypsum-EPD-TypeC-OneHalfInch-Gypsum-Board-MontrealQC.pdf?u=nwk4fd%20;" TargetMode="External"/><Relationship Id="rId40" Type="http://schemas.openxmlformats.org/officeDocument/2006/relationships/hyperlink" Target="https://novasteel.ca/wp-content/uploads/2022/12/ASTM-A795-Dec-14.pdf%20;" TargetMode="External"/><Relationship Id="rId45" Type="http://schemas.openxmlformats.org/officeDocument/2006/relationships/hyperlink" Target="https://www.sciencedirect.com/science/article/pii/S1876610218308300" TargetMode="External"/><Relationship Id="rId53" Type="http://schemas.openxmlformats.org/officeDocument/2006/relationships/hyperlink" Target="https://www.mdpi.com/2071-1050/15/9/7273%20;" TargetMode="External"/><Relationship Id="rId58" Type="http://schemas.openxmlformats.org/officeDocument/2006/relationships/printerSettings" Target="../printerSettings/printerSettings1.bin"/><Relationship Id="rId5" Type="http://schemas.openxmlformats.org/officeDocument/2006/relationships/hyperlink" Target="https://spot.ul.com/main-app/products/detail/5ad1f0dc55b0e82d946acf24?page_type=Products%20Catalog" TargetMode="External"/><Relationship Id="rId61" Type="http://schemas.openxmlformats.org/officeDocument/2006/relationships/comments" Target="../comments1.xml"/><Relationship Id="rId19" Type="http://schemas.openxmlformats.org/officeDocument/2006/relationships/hyperlink" Target="https://www.eng.buffalo.edu/mceer-reports/02/02-0002.pdf%20;%20Table%203-2%20HBSC%2011th%20edition" TargetMode="External"/><Relationship Id="rId14" Type="http://schemas.openxmlformats.org/officeDocument/2006/relationships/hyperlink" Target="https://www.asc-es.com/resource/Ultra%20SprinkFlex%20Flexible%20Hose%20(Short)%20Submittal%20HB1%20;" TargetMode="External"/><Relationship Id="rId22" Type="http://schemas.openxmlformats.org/officeDocument/2006/relationships/hyperlink" Target="https://www.lg.com/global/business/download/resources/sac/Catalogue_Absorption%20Chillers_ENG_F.pdf%20;%20Table%203-2%20HBSC%2011th%20edition" TargetMode="External"/><Relationship Id="rId27" Type="http://schemas.openxmlformats.org/officeDocument/2006/relationships/hyperlink" Target="https://www.homedepot.ca/product/lifeproof-champagne-beach-wood-12-01-inch-x-28-28-inch-chevron-luxury-vinyl-plank-flooring-18-87-sq-ft-case-/1001511014" TargetMode="External"/><Relationship Id="rId30" Type="http://schemas.openxmlformats.org/officeDocument/2006/relationships/hyperlink" Target="https://link.springer.com/article/10.1007/s11367-019-01621-x%20;%20CSA%20W59%20&amp;%20CSA%20W48" TargetMode="External"/><Relationship Id="rId35" Type="http://schemas.openxmlformats.org/officeDocument/2006/relationships/hyperlink" Target="https://link.springer.com/article/10.1007/s11367-019-01621-x%20;%20CSA%20W59%20&amp;%20CSA%20W48" TargetMode="External"/><Relationship Id="rId43" Type="http://schemas.openxmlformats.org/officeDocument/2006/relationships/hyperlink" Target="https://spot.ul.com/main-app/products/detail/5ad1f0dc55b0e82d946acf24?page_type=Products%20Catalog" TargetMode="External"/><Relationship Id="rId48" Type="http://schemas.openxmlformats.org/officeDocument/2006/relationships/hyperlink" Target="https://www.asc-es.com/resource/Ultra%20SprinkFlex%20Flexible%20Hose%20(Short)%20Submittal%20HB1%20;" TargetMode="External"/><Relationship Id="rId56" Type="http://schemas.openxmlformats.org/officeDocument/2006/relationships/hyperlink" Target="https://www.trane.com/content/dam/Trane/Commercial/global/products-systems/equipment/chillers/water-cooled/101.1_EPD_TraneTechnologiesChiller.pdf%20;" TargetMode="External"/><Relationship Id="rId8" Type="http://schemas.openxmlformats.org/officeDocument/2006/relationships/hyperlink" Target="https://www.lowes.com/pd/ELK-ELK-Aluminum-Foil-Tape-for-Metal-Repair-Air-Ducts-Insulated-Pipes-HVAC-Sealing-Ductwork-Vapor-Exhaust-and-Heat-Resistant-Safe-Professional-Grade-Insulation-Sealer-Silver-1-88-in-x-150-ft/1003237760" TargetMode="External"/><Relationship Id="rId51" Type="http://schemas.openxmlformats.org/officeDocument/2006/relationships/hyperlink" Target="https://tahoeweb.daikinapplied.com/api/general/DownloadDocumentByName/media/Daikin_CAT_903-1_LR_Air_Terminal_Units_Catalog.pdf/%20;" TargetMode="External"/><Relationship Id="rId3" Type="http://schemas.openxmlformats.org/officeDocument/2006/relationships/hyperlink" Target="https://images.homedepot.ca/pdf/BEHR%20DYNASTY%20INTERIOR%20EGGSHELL%20ENAMEL%20PAINT_TDS_Canada-pdf.pdf" TargetMode="External"/><Relationship Id="rId12" Type="http://schemas.openxmlformats.org/officeDocument/2006/relationships/hyperlink" Target="https://itsolution.lindab.com/lindabwebproductsdoc/assets/production/NGE0NGE3YjUtZmRjYi00Mzg0LWE0YTYtN2JmZDI2Yzc0NjE5/5249987968817733757/EPD_Lindab_s.r.o._Ceiling_diffusers_Integra__LCC,_LCP_and_LKP_HUB-0671_2023-09-13.pdf%20;" TargetMode="External"/><Relationship Id="rId17" Type="http://schemas.openxmlformats.org/officeDocument/2006/relationships/hyperlink" Target="https://novasteel.ca/wp-content/uploads/2022/12/ASTM-A795-Dec-14.pdf%20;" TargetMode="External"/><Relationship Id="rId25" Type="http://schemas.openxmlformats.org/officeDocument/2006/relationships/hyperlink" Target="https://cssbi.ca/assets/resources/Fact_Sheets/CSSBI-Facts10-12.pdf" TargetMode="External"/><Relationship Id="rId33" Type="http://schemas.openxmlformats.org/officeDocument/2006/relationships/hyperlink" Target="https://link.springer.com/article/10.1007/s11367-019-01621-x%20;%20CSA%20W59%20&amp;%20CSA%20W48" TargetMode="External"/><Relationship Id="rId38" Type="http://schemas.openxmlformats.org/officeDocument/2006/relationships/hyperlink" Target="https://images.thdstatic.com/catalog/pdfImages/99/99148400-32ce-44d9-b170-4a56e48d735b.pdf%20;" TargetMode="External"/><Relationship Id="rId46" Type="http://schemas.openxmlformats.org/officeDocument/2006/relationships/hyperlink" Target="https://certainteed.widen.net/content/opoyh8dp5n/pdf/117.2-CertainTeed-Gypsum-EPD-TypeC-OneHalfInch-Gypsum-Board-MontrealQC.pdf?u=nwk4fd%20;" TargetMode="External"/><Relationship Id="rId59" Type="http://schemas.openxmlformats.org/officeDocument/2006/relationships/drawing" Target="../drawings/drawing1.xml"/><Relationship Id="rId20" Type="http://schemas.openxmlformats.org/officeDocument/2006/relationships/hyperlink" Target="https://www.eng.buffalo.edu/mceer-reports/02/02-0002.pdf%20;%20Table%203-2%20HBSC%2011th%20edition" TargetMode="External"/><Relationship Id="rId41" Type="http://schemas.openxmlformats.org/officeDocument/2006/relationships/hyperlink" Target="https://itsolution.lindab.com/lindabwebproductsdoc/assets/production/NGE0NGE3YjUtZmRjYi00Mzg0LWE0YTYtN2JmZDI2Yzc0NjE5/5249987968817733757/EPD_Lindab_s.r.o._Ceiling_diffusers_Integra__LCC,_LCP_and_LKP_HUB-0671_2023-09-13.pdf%20;" TargetMode="External"/><Relationship Id="rId54" Type="http://schemas.openxmlformats.org/officeDocument/2006/relationships/hyperlink" Target="https://www.sciencedirect.com/science/article/pii/S1876610218308300" TargetMode="External"/><Relationship Id="rId1" Type="http://schemas.openxmlformats.org/officeDocument/2006/relationships/hyperlink" Target="https://images.homedepot.ca/pdf/BEHR%20DYNASTY%20INTERIOR%20EGGSHELL%20ENAMEL%20PAINT_TDS_Canada-pdf.pdf" TargetMode="External"/><Relationship Id="rId6" Type="http://schemas.openxmlformats.org/officeDocument/2006/relationships/hyperlink" Target="https://buildingtransparency.org/ec3/epds/ec3adnuj%20;" TargetMode="External"/><Relationship Id="rId15" Type="http://schemas.openxmlformats.org/officeDocument/2006/relationships/hyperlink" Target="https://www.asc-es.com/resource/Ultra%20SprinkFlex%20Flexible%20Hose%20(Short)%20Submittal%20HB1%20;" TargetMode="External"/><Relationship Id="rId23" Type="http://schemas.openxmlformats.org/officeDocument/2006/relationships/hyperlink" Target="https://www.mdpi.com/2071-1050/15/9/7273%20;" TargetMode="External"/><Relationship Id="rId28" Type="http://schemas.openxmlformats.org/officeDocument/2006/relationships/hyperlink" Target="https://www.homedepot.ca/product/lifeproof-champagne-beach-wood-12-01-inch-x-28-28-inch-chevron-luxury-vinyl-plank-flooring-18-87-sq-ft-case-/1001511014" TargetMode="External"/><Relationship Id="rId36" Type="http://schemas.openxmlformats.org/officeDocument/2006/relationships/hyperlink" Target="https://link.springer.com/article/10.1007/s11367-019-01621-x%20;%20CSA%20W59%20&amp;%20CSA%20W48" TargetMode="External"/><Relationship Id="rId49" Type="http://schemas.openxmlformats.org/officeDocument/2006/relationships/hyperlink" Target="https://novasteel.ca/wp-content/uploads/2022/12/ASTM-A795-Dec-14.pdf%20;" TargetMode="External"/><Relationship Id="rId57" Type="http://schemas.openxmlformats.org/officeDocument/2006/relationships/hyperlink" Target="https://www.trane.com/content/dam/Trane/Commercial/global/products-systems/equipment/chillers/water-cooled/101.1_EPD_TraneTechnologiesChiller.pdf%20;" TargetMode="External"/><Relationship Id="rId10" Type="http://schemas.openxmlformats.org/officeDocument/2006/relationships/hyperlink" Target="https://www.lowes.com/pd/ELK-ELK-Aluminum-Foil-Tape-for-Metal-Repair-Air-Ducts-Insulated-Pipes-HVAC-Sealing-Ductwork-Vapor-Exhaust-and-Heat-Resistant-Safe-Professional-Grade-Insulation-Sealer-Silver-1-88-in-x-150-ft/1003237760" TargetMode="External"/><Relationship Id="rId31" Type="http://schemas.openxmlformats.org/officeDocument/2006/relationships/hyperlink" Target="https://link.springer.com/article/10.1007/s11367-019-01621-x%20;%20CSA%20W59%20&amp;%20CSA%20W48" TargetMode="External"/><Relationship Id="rId44" Type="http://schemas.openxmlformats.org/officeDocument/2006/relationships/hyperlink" Target="https://www.mdpi.com/2071-1050/15/9/7273%20;" TargetMode="External"/><Relationship Id="rId52" Type="http://schemas.openxmlformats.org/officeDocument/2006/relationships/hyperlink" Target="https://spot.ul.com/main-app/products/detail/5ad1f0dc55b0e82d946acf24?page_type=Products%20Catalog" TargetMode="External"/><Relationship Id="rId60" Type="http://schemas.openxmlformats.org/officeDocument/2006/relationships/vmlDrawing" Target="../drawings/vmlDrawing1.vml"/><Relationship Id="rId4" Type="http://schemas.openxmlformats.org/officeDocument/2006/relationships/hyperlink" Target="https://www.homedepot.ca/product/bailey-metal-products-platinum-plus-3-5-8-inch-x-10-ft-galvanized-steel-wall-framing-stud/1000497128" TargetMode="External"/><Relationship Id="rId9" Type="http://schemas.openxmlformats.org/officeDocument/2006/relationships/hyperlink" Target="https://www.lowes.com/pd/ELK-ELK-Aluminum-Foil-Tape-for-Metal-Repair-Air-Ducts-Insulated-Pipes-HVAC-Sealing-Ductwork-Vapor-Exhaust-and-Heat-Resistant-Safe-Professional-Grade-Insulation-Sealer-Silver-1-88-in-x-150-ft/100323776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B6108-59CF-4C33-A39E-FB2FD4495E20}">
  <dimension ref="A2:AP545"/>
  <sheetViews>
    <sheetView tabSelected="1" zoomScaleNormal="100" workbookViewId="0">
      <pane xSplit="3" ySplit="7" topLeftCell="D8" activePane="bottomRight" state="frozen"/>
      <selection pane="topRight" activeCell="D1" sqref="D1"/>
      <selection pane="bottomLeft" activeCell="A8" sqref="A8"/>
      <selection pane="bottomRight" activeCell="B2" sqref="B2"/>
    </sheetView>
  </sheetViews>
  <sheetFormatPr defaultRowHeight="15" x14ac:dyDescent="0.25"/>
  <cols>
    <col min="1" max="1" width="17.42578125" customWidth="1"/>
    <col min="2" max="2" width="29.5703125" customWidth="1"/>
    <col min="3" max="3" width="14.5703125" bestFit="1" customWidth="1"/>
    <col min="4" max="4" width="58.28515625" customWidth="1"/>
    <col min="5" max="5" width="70.140625" customWidth="1"/>
    <col min="6" max="6" width="56.85546875" customWidth="1"/>
    <col min="7" max="7" width="65.7109375" customWidth="1"/>
    <col min="8" max="8" width="9.85546875" customWidth="1"/>
    <col min="9" max="9" width="12.5703125" customWidth="1"/>
    <col min="10" max="10" width="14.28515625" customWidth="1"/>
    <col min="11" max="11" width="14.42578125" customWidth="1"/>
    <col min="12" max="12" width="22.140625" customWidth="1"/>
    <col min="13" max="13" width="75.140625" customWidth="1"/>
    <col min="14" max="14" width="37.140625" customWidth="1"/>
    <col min="15" max="15" width="48.5703125" customWidth="1"/>
    <col min="16" max="16" width="14.42578125" customWidth="1"/>
    <col min="17" max="17" width="14" bestFit="1" customWidth="1"/>
    <col min="18" max="19" width="12.7109375" bestFit="1" customWidth="1"/>
    <col min="20" max="20" width="13.5703125" bestFit="1" customWidth="1"/>
    <col min="21" max="21" width="15.7109375" customWidth="1"/>
    <col min="22" max="22" width="13.42578125" customWidth="1"/>
    <col min="27" max="27" width="10" bestFit="1" customWidth="1"/>
    <col min="28" max="28" width="12" bestFit="1" customWidth="1"/>
    <col min="29" max="29" width="11" bestFit="1" customWidth="1"/>
    <col min="32" max="32" width="11" bestFit="1" customWidth="1"/>
    <col min="36" max="37" width="12.5703125" bestFit="1" customWidth="1"/>
    <col min="38" max="38" width="12.140625" bestFit="1" customWidth="1"/>
  </cols>
  <sheetData>
    <row r="2" spans="2:28" x14ac:dyDescent="0.25">
      <c r="B2" t="s">
        <v>74</v>
      </c>
    </row>
    <row r="3" spans="2:28" x14ac:dyDescent="0.25">
      <c r="B3" s="2" t="s">
        <v>1144</v>
      </c>
      <c r="L3" s="7"/>
      <c r="M3" s="8"/>
      <c r="N3" s="8"/>
      <c r="O3" s="8"/>
      <c r="P3" s="8"/>
      <c r="Q3" s="8"/>
      <c r="R3" s="8"/>
      <c r="S3" s="8"/>
      <c r="T3" s="8"/>
      <c r="U3" s="8"/>
      <c r="V3" s="8"/>
    </row>
    <row r="4" spans="2:28" x14ac:dyDescent="0.25">
      <c r="B4" t="s">
        <v>76</v>
      </c>
      <c r="L4" s="7"/>
      <c r="M4" s="8"/>
      <c r="N4" s="8"/>
      <c r="O4" s="8"/>
      <c r="P4" s="8"/>
      <c r="Q4" s="8"/>
      <c r="R4" s="8"/>
      <c r="S4" s="8"/>
      <c r="T4" s="8"/>
      <c r="U4" s="8"/>
      <c r="V4" s="8"/>
    </row>
    <row r="5" spans="2:28" x14ac:dyDescent="0.25">
      <c r="L5" s="7"/>
      <c r="M5" s="8"/>
      <c r="N5" s="8"/>
      <c r="O5" s="8"/>
      <c r="P5" s="8"/>
      <c r="Q5" s="8"/>
      <c r="R5" s="8"/>
      <c r="S5" s="8"/>
      <c r="T5" s="8"/>
      <c r="U5" s="8"/>
      <c r="V5" s="8"/>
    </row>
    <row r="6" spans="2:28" ht="15.75" thickBot="1" x14ac:dyDescent="0.3">
      <c r="B6" s="3"/>
      <c r="C6" s="3"/>
      <c r="D6" s="3"/>
      <c r="E6" s="3"/>
      <c r="F6" s="3"/>
      <c r="G6" s="3"/>
      <c r="H6" s="3"/>
      <c r="I6" s="3"/>
      <c r="J6" s="3"/>
      <c r="K6" s="3"/>
      <c r="L6" s="7"/>
      <c r="M6" s="8"/>
      <c r="N6" s="8"/>
      <c r="O6" s="8"/>
      <c r="P6" s="8"/>
      <c r="Q6" s="8"/>
      <c r="R6" s="8"/>
      <c r="S6" s="8"/>
      <c r="T6" s="8"/>
      <c r="U6" s="8"/>
      <c r="V6" s="8"/>
    </row>
    <row r="7" spans="2:28" ht="15.75" thickBot="1" x14ac:dyDescent="0.3">
      <c r="B7" s="4" t="s">
        <v>17</v>
      </c>
      <c r="C7" s="9" t="s">
        <v>18</v>
      </c>
      <c r="D7" s="5" t="s">
        <v>61</v>
      </c>
      <c r="E7" s="5" t="s">
        <v>60</v>
      </c>
      <c r="F7" s="5" t="s">
        <v>75</v>
      </c>
      <c r="G7" s="4" t="s">
        <v>2</v>
      </c>
      <c r="H7" s="4" t="s">
        <v>0</v>
      </c>
      <c r="I7" s="4" t="s">
        <v>3</v>
      </c>
      <c r="J7" s="4" t="s">
        <v>4</v>
      </c>
      <c r="K7" s="4" t="s">
        <v>6</v>
      </c>
      <c r="L7" s="5" t="s">
        <v>1</v>
      </c>
      <c r="M7" s="5" t="s">
        <v>764</v>
      </c>
      <c r="N7" s="5" t="s">
        <v>5</v>
      </c>
      <c r="O7" s="5" t="s">
        <v>107</v>
      </c>
    </row>
    <row r="8" spans="2:28" x14ac:dyDescent="0.25">
      <c r="B8" s="21" t="s">
        <v>299</v>
      </c>
      <c r="C8" s="21"/>
      <c r="D8" s="21"/>
      <c r="E8" s="21"/>
      <c r="F8" s="21"/>
      <c r="G8" s="21"/>
      <c r="H8" s="21"/>
      <c r="I8" s="21"/>
      <c r="J8" s="21"/>
      <c r="K8" s="21"/>
      <c r="L8" s="21"/>
      <c r="M8" s="21"/>
      <c r="N8" s="21"/>
      <c r="O8" s="21"/>
    </row>
    <row r="9" spans="2:28" x14ac:dyDescent="0.25">
      <c r="B9" s="82" t="s">
        <v>305</v>
      </c>
      <c r="C9" s="83">
        <v>1</v>
      </c>
      <c r="D9" s="82" t="s">
        <v>311</v>
      </c>
      <c r="E9" s="82" t="s">
        <v>315</v>
      </c>
      <c r="F9" s="15" t="s">
        <v>319</v>
      </c>
      <c r="G9" s="80">
        <v>1</v>
      </c>
      <c r="H9" s="80" t="s">
        <v>62</v>
      </c>
      <c r="I9" s="80" t="s">
        <v>110</v>
      </c>
      <c r="J9" s="80">
        <v>1</v>
      </c>
      <c r="K9" s="58">
        <f>(Q9+U9+0.7/76.2*(X9*0.3048))/1000</f>
        <v>3.7932400000000002E-3</v>
      </c>
      <c r="L9" s="83" t="s">
        <v>458</v>
      </c>
      <c r="M9" s="8" t="s">
        <v>723</v>
      </c>
      <c r="N9" s="8" t="s">
        <v>531</v>
      </c>
      <c r="O9" s="8" t="s">
        <v>532</v>
      </c>
      <c r="P9" s="25">
        <f t="shared" ref="P9" si="0">K9*1000</f>
        <v>3.7932400000000004</v>
      </c>
      <c r="Q9" s="8">
        <f>90/100*3</f>
        <v>2.7</v>
      </c>
      <c r="R9" s="8" t="s">
        <v>543</v>
      </c>
      <c r="S9" s="8"/>
      <c r="T9" s="8"/>
      <c r="U9" s="8">
        <v>1</v>
      </c>
      <c r="V9" s="8" t="s">
        <v>544</v>
      </c>
      <c r="W9" s="8"/>
      <c r="X9" s="8">
        <f>90/100*37</f>
        <v>33.300000000000004</v>
      </c>
      <c r="Y9" s="8" t="s">
        <v>115</v>
      </c>
      <c r="Z9" s="8"/>
      <c r="AA9" s="8">
        <f>X9*0.3048</f>
        <v>10.149840000000001</v>
      </c>
      <c r="AB9" s="8" t="s">
        <v>116</v>
      </c>
    </row>
    <row r="10" spans="2:28" x14ac:dyDescent="0.25">
      <c r="B10" s="82"/>
      <c r="C10" s="83"/>
      <c r="D10" s="82"/>
      <c r="E10" s="82"/>
      <c r="F10" s="85" t="s">
        <v>108</v>
      </c>
      <c r="G10" s="80"/>
      <c r="H10" s="80"/>
      <c r="I10" s="80"/>
      <c r="J10" s="80"/>
      <c r="K10" s="47">
        <f>K9*30</f>
        <v>0.1137972</v>
      </c>
      <c r="L10" s="83"/>
      <c r="M10" t="s">
        <v>727</v>
      </c>
      <c r="N10" s="8" t="s">
        <v>112</v>
      </c>
      <c r="O10" s="8"/>
      <c r="P10" s="8"/>
    </row>
    <row r="11" spans="2:28" x14ac:dyDescent="0.25">
      <c r="B11" s="82"/>
      <c r="C11" s="83"/>
      <c r="D11" s="82"/>
      <c r="E11" s="82"/>
      <c r="F11" s="85"/>
      <c r="G11" s="80"/>
      <c r="H11" s="80"/>
      <c r="I11" s="80"/>
      <c r="J11" s="80"/>
      <c r="K11" s="47">
        <f>K9*100</f>
        <v>0.37932400000000005</v>
      </c>
      <c r="L11" s="83"/>
      <c r="M11" t="s">
        <v>727</v>
      </c>
      <c r="N11" s="8" t="s">
        <v>111</v>
      </c>
      <c r="O11" s="8"/>
      <c r="P11" s="8"/>
    </row>
    <row r="12" spans="2:28" x14ac:dyDescent="0.25">
      <c r="B12" s="82"/>
      <c r="C12" s="83"/>
      <c r="D12" s="82"/>
      <c r="E12" s="82"/>
      <c r="F12" s="85"/>
      <c r="G12" s="80"/>
      <c r="H12" s="80"/>
      <c r="I12" s="80"/>
      <c r="J12" s="80"/>
      <c r="K12" s="47">
        <f>K9</f>
        <v>3.7932400000000002E-3</v>
      </c>
      <c r="L12" s="83"/>
      <c r="M12" t="s">
        <v>728</v>
      </c>
      <c r="N12" s="8" t="s">
        <v>113</v>
      </c>
      <c r="O12" s="8"/>
      <c r="P12" s="23">
        <f>K12*1000</f>
        <v>3.7932400000000004</v>
      </c>
    </row>
    <row r="13" spans="2:28" x14ac:dyDescent="0.25">
      <c r="B13" s="82"/>
      <c r="C13" s="83">
        <v>2</v>
      </c>
      <c r="D13" s="82" t="s">
        <v>312</v>
      </c>
      <c r="E13" s="82" t="s">
        <v>316</v>
      </c>
      <c r="F13" s="6" t="s">
        <v>319</v>
      </c>
      <c r="G13" s="80">
        <v>1</v>
      </c>
      <c r="H13" s="80" t="s">
        <v>62</v>
      </c>
      <c r="I13" s="80" t="s">
        <v>110</v>
      </c>
      <c r="J13" s="80">
        <v>1</v>
      </c>
      <c r="K13" s="58">
        <f>(Q13+U13+0.7/76.2*(X13*0.3048))/1000</f>
        <v>3.7932400000000002E-3</v>
      </c>
      <c r="L13" s="83" t="s">
        <v>459</v>
      </c>
      <c r="M13" s="8" t="s">
        <v>723</v>
      </c>
      <c r="N13" s="8" t="s">
        <v>531</v>
      </c>
      <c r="O13" s="8" t="s">
        <v>532</v>
      </c>
      <c r="P13" s="25">
        <f t="shared" ref="P13" si="1">K13*1000</f>
        <v>3.7932400000000004</v>
      </c>
      <c r="Q13" s="8">
        <f>90/100*3</f>
        <v>2.7</v>
      </c>
      <c r="R13" s="8" t="s">
        <v>543</v>
      </c>
      <c r="S13" s="8"/>
      <c r="T13" s="8"/>
      <c r="U13" s="8">
        <v>1</v>
      </c>
      <c r="V13" s="8" t="s">
        <v>544</v>
      </c>
      <c r="W13" s="8"/>
      <c r="X13" s="8">
        <f>90/100*37</f>
        <v>33.300000000000004</v>
      </c>
      <c r="Y13" s="8" t="s">
        <v>115</v>
      </c>
      <c r="Z13" s="8"/>
      <c r="AA13" s="8">
        <f>X13*0.3048</f>
        <v>10.149840000000001</v>
      </c>
      <c r="AB13" s="8" t="s">
        <v>116</v>
      </c>
    </row>
    <row r="14" spans="2:28" x14ac:dyDescent="0.25">
      <c r="B14" s="82"/>
      <c r="C14" s="83"/>
      <c r="D14" s="82"/>
      <c r="E14" s="82"/>
      <c r="F14" s="6" t="s">
        <v>320</v>
      </c>
      <c r="G14" s="80"/>
      <c r="H14" s="80"/>
      <c r="I14" s="80"/>
      <c r="J14" s="80"/>
      <c r="K14" s="58">
        <f>Q14*285/(1000^2)*W14/1000*7800/1000</f>
        <v>1.20042E-3</v>
      </c>
      <c r="L14" s="83"/>
      <c r="M14" s="6" t="s">
        <v>724</v>
      </c>
      <c r="N14" s="6" t="s">
        <v>535</v>
      </c>
      <c r="O14" s="6" t="s">
        <v>533</v>
      </c>
      <c r="P14" s="59">
        <f>K14*1000</f>
        <v>1.20042</v>
      </c>
      <c r="Q14">
        <f>3*3</f>
        <v>9</v>
      </c>
      <c r="R14" s="6" t="s">
        <v>545</v>
      </c>
      <c r="W14">
        <f>20+2*10+10+10</f>
        <v>60</v>
      </c>
      <c r="X14" t="s">
        <v>546</v>
      </c>
    </row>
    <row r="15" spans="2:28" x14ac:dyDescent="0.25">
      <c r="B15" s="82"/>
      <c r="C15" s="83"/>
      <c r="D15" s="82"/>
      <c r="E15" s="82"/>
      <c r="F15" s="92" t="s">
        <v>108</v>
      </c>
      <c r="G15" s="80"/>
      <c r="H15" s="80"/>
      <c r="I15" s="80"/>
      <c r="J15" s="80"/>
      <c r="K15" s="73">
        <f>SUM(K13:K14)</f>
        <v>4.9936600000000005E-3</v>
      </c>
      <c r="L15" s="83"/>
      <c r="M15" t="s">
        <v>727</v>
      </c>
      <c r="N15" s="8" t="s">
        <v>112</v>
      </c>
      <c r="O15" s="8"/>
      <c r="P15" s="8"/>
    </row>
    <row r="16" spans="2:28" x14ac:dyDescent="0.25">
      <c r="B16" s="82"/>
      <c r="C16" s="83"/>
      <c r="D16" s="82"/>
      <c r="E16" s="82"/>
      <c r="F16" s="92"/>
      <c r="G16" s="80"/>
      <c r="H16" s="80"/>
      <c r="I16" s="80"/>
      <c r="J16" s="80"/>
      <c r="K16" s="73">
        <f>SUM(K13:K14)*100</f>
        <v>0.49936600000000003</v>
      </c>
      <c r="L16" s="83"/>
      <c r="M16" t="s">
        <v>727</v>
      </c>
      <c r="N16" s="8" t="s">
        <v>111</v>
      </c>
      <c r="O16" s="8"/>
      <c r="P16" s="8"/>
    </row>
    <row r="17" spans="2:28" x14ac:dyDescent="0.25">
      <c r="B17" s="82"/>
      <c r="C17" s="83"/>
      <c r="D17" s="82"/>
      <c r="E17" s="82"/>
      <c r="F17" s="92"/>
      <c r="G17" s="80"/>
      <c r="H17" s="80"/>
      <c r="I17" s="80"/>
      <c r="J17" s="80"/>
      <c r="K17" s="73">
        <f>K13</f>
        <v>3.7932400000000002E-3</v>
      </c>
      <c r="L17" s="83"/>
      <c r="M17" t="s">
        <v>728</v>
      </c>
      <c r="N17" s="8" t="s">
        <v>547</v>
      </c>
      <c r="O17" s="8"/>
      <c r="P17" s="23">
        <f>K17*1000</f>
        <v>3.7932400000000004</v>
      </c>
    </row>
    <row r="18" spans="2:28" x14ac:dyDescent="0.25">
      <c r="B18" s="82"/>
      <c r="C18" s="83">
        <v>3</v>
      </c>
      <c r="D18" s="82" t="s">
        <v>313</v>
      </c>
      <c r="E18" s="82" t="s">
        <v>317</v>
      </c>
      <c r="F18" s="15" t="s">
        <v>319</v>
      </c>
      <c r="G18" s="80">
        <v>1</v>
      </c>
      <c r="H18" s="80" t="s">
        <v>62</v>
      </c>
      <c r="I18" s="80" t="s">
        <v>110</v>
      </c>
      <c r="J18" s="80">
        <v>1</v>
      </c>
      <c r="K18" s="58">
        <f>(Q18+U18+0.7/76.2*(X18*0.3048))/1000</f>
        <v>3.7932400000000002E-3</v>
      </c>
      <c r="L18" s="83" t="s">
        <v>460</v>
      </c>
      <c r="M18" s="8" t="s">
        <v>723</v>
      </c>
      <c r="N18" s="8" t="s">
        <v>531</v>
      </c>
      <c r="O18" s="8" t="s">
        <v>532</v>
      </c>
      <c r="P18" s="25">
        <f t="shared" ref="P18" si="2">K18*1000</f>
        <v>3.7932400000000004</v>
      </c>
      <c r="Q18" s="8">
        <f>90/100*3</f>
        <v>2.7</v>
      </c>
      <c r="R18" s="8" t="s">
        <v>543</v>
      </c>
      <c r="S18" s="8"/>
      <c r="T18" s="8"/>
      <c r="U18" s="8">
        <v>1</v>
      </c>
      <c r="V18" s="8" t="s">
        <v>544</v>
      </c>
      <c r="W18" s="8"/>
      <c r="X18" s="8">
        <f>90/100*37</f>
        <v>33.300000000000004</v>
      </c>
      <c r="Y18" s="8" t="s">
        <v>115</v>
      </c>
      <c r="Z18" s="8"/>
      <c r="AA18" s="8">
        <f>X18*0.3048</f>
        <v>10.149840000000001</v>
      </c>
      <c r="AB18" s="8" t="s">
        <v>116</v>
      </c>
    </row>
    <row r="19" spans="2:28" x14ac:dyDescent="0.25">
      <c r="B19" s="82"/>
      <c r="C19" s="83"/>
      <c r="D19" s="82"/>
      <c r="E19" s="82"/>
      <c r="F19" s="15" t="s">
        <v>323</v>
      </c>
      <c r="G19" s="80"/>
      <c r="H19" s="80"/>
      <c r="I19" s="80"/>
      <c r="J19" s="80"/>
      <c r="K19" s="58">
        <f>Q19*285/(1000^2)*W19/1000*7800/1000</f>
        <v>1.20042E-3</v>
      </c>
      <c r="L19" s="83"/>
      <c r="M19" s="6" t="s">
        <v>724</v>
      </c>
      <c r="N19" s="6" t="s">
        <v>535</v>
      </c>
      <c r="O19" s="6" t="s">
        <v>533</v>
      </c>
      <c r="Q19">
        <f>3*3</f>
        <v>9</v>
      </c>
      <c r="R19" s="6" t="s">
        <v>545</v>
      </c>
      <c r="W19">
        <f>20+2*10+10+10</f>
        <v>60</v>
      </c>
      <c r="X19" t="s">
        <v>546</v>
      </c>
    </row>
    <row r="20" spans="2:28" x14ac:dyDescent="0.25">
      <c r="B20" s="82"/>
      <c r="C20" s="83"/>
      <c r="D20" s="82"/>
      <c r="E20" s="82"/>
      <c r="F20" s="85" t="s">
        <v>108</v>
      </c>
      <c r="G20" s="80"/>
      <c r="H20" s="80"/>
      <c r="I20" s="80"/>
      <c r="J20" s="80"/>
      <c r="K20" s="61">
        <f>SUM(K18:K19)</f>
        <v>4.9936600000000005E-3</v>
      </c>
      <c r="L20" s="83"/>
      <c r="M20" t="s">
        <v>727</v>
      </c>
      <c r="N20" s="8" t="s">
        <v>112</v>
      </c>
      <c r="O20" s="8"/>
      <c r="P20" s="8"/>
    </row>
    <row r="21" spans="2:28" x14ac:dyDescent="0.25">
      <c r="B21" s="82"/>
      <c r="C21" s="83"/>
      <c r="D21" s="82"/>
      <c r="E21" s="82"/>
      <c r="F21" s="85"/>
      <c r="G21" s="80"/>
      <c r="H21" s="80"/>
      <c r="I21" s="80"/>
      <c r="J21" s="80"/>
      <c r="K21" s="61">
        <f>SUM(K18:K19)*100</f>
        <v>0.49936600000000003</v>
      </c>
      <c r="L21" s="83"/>
      <c r="M21" t="s">
        <v>727</v>
      </c>
      <c r="N21" s="8" t="s">
        <v>111</v>
      </c>
      <c r="O21" s="8"/>
      <c r="P21" s="8"/>
    </row>
    <row r="22" spans="2:28" x14ac:dyDescent="0.25">
      <c r="B22" s="82"/>
      <c r="C22" s="83"/>
      <c r="D22" s="82"/>
      <c r="E22" s="82"/>
      <c r="F22" s="85"/>
      <c r="G22" s="80"/>
      <c r="H22" s="80"/>
      <c r="I22" s="80"/>
      <c r="J22" s="80"/>
      <c r="K22" s="61">
        <f>K18</f>
        <v>3.7932400000000002E-3</v>
      </c>
      <c r="L22" s="83"/>
      <c r="M22" t="s">
        <v>728</v>
      </c>
      <c r="N22" s="8" t="s">
        <v>547</v>
      </c>
      <c r="O22" s="8"/>
      <c r="P22" s="23">
        <f>K22*1000</f>
        <v>3.7932400000000004</v>
      </c>
    </row>
    <row r="23" spans="2:28" x14ac:dyDescent="0.25">
      <c r="B23" s="82"/>
      <c r="C23" s="83">
        <v>4</v>
      </c>
      <c r="D23" s="82" t="s">
        <v>314</v>
      </c>
      <c r="E23" s="82" t="s">
        <v>318</v>
      </c>
      <c r="F23" s="6" t="s">
        <v>319</v>
      </c>
      <c r="G23" s="80">
        <v>1</v>
      </c>
      <c r="H23" s="80" t="s">
        <v>62</v>
      </c>
      <c r="I23" s="80" t="s">
        <v>110</v>
      </c>
      <c r="J23" s="80">
        <v>1</v>
      </c>
      <c r="K23" s="58">
        <f>(Q23+U23+0.7/76.2*(X23*0.3048))/1000</f>
        <v>3.7932400000000002E-3</v>
      </c>
      <c r="L23" s="83" t="s">
        <v>461</v>
      </c>
      <c r="M23" s="8" t="s">
        <v>723</v>
      </c>
      <c r="N23" s="8" t="s">
        <v>531</v>
      </c>
      <c r="O23" s="8" t="s">
        <v>532</v>
      </c>
      <c r="P23" s="25">
        <f t="shared" ref="P23" si="3">K23*1000</f>
        <v>3.7932400000000004</v>
      </c>
      <c r="Q23" s="8">
        <f>90/100*3</f>
        <v>2.7</v>
      </c>
      <c r="R23" s="8" t="s">
        <v>543</v>
      </c>
      <c r="S23" s="8"/>
      <c r="T23" s="8"/>
      <c r="U23" s="8">
        <v>1</v>
      </c>
      <c r="V23" s="8" t="s">
        <v>544</v>
      </c>
      <c r="W23" s="8"/>
      <c r="X23" s="8">
        <f>90/100*37</f>
        <v>33.300000000000004</v>
      </c>
      <c r="Y23" s="8" t="s">
        <v>115</v>
      </c>
      <c r="Z23" s="8"/>
      <c r="AA23" s="8">
        <f>X23*0.3048</f>
        <v>10.149840000000001</v>
      </c>
      <c r="AB23" s="8" t="s">
        <v>116</v>
      </c>
    </row>
    <row r="24" spans="2:28" x14ac:dyDescent="0.25">
      <c r="B24" s="82"/>
      <c r="C24" s="83"/>
      <c r="D24" s="82"/>
      <c r="E24" s="82"/>
      <c r="F24" s="6" t="s">
        <v>321</v>
      </c>
      <c r="G24" s="80"/>
      <c r="H24" s="80"/>
      <c r="I24" s="80"/>
      <c r="J24" s="80"/>
      <c r="K24" s="58">
        <f>Z24*10/1000*7800/1000</f>
        <v>6.3866399999999999E-3</v>
      </c>
      <c r="L24" s="83"/>
      <c r="M24" s="6" t="s">
        <v>725</v>
      </c>
      <c r="N24" s="13" t="s">
        <v>551</v>
      </c>
      <c r="O24" s="6" t="s">
        <v>533</v>
      </c>
      <c r="P24" s="59">
        <f>K24*1000</f>
        <v>6.3866399999999999</v>
      </c>
      <c r="R24" t="s">
        <v>548</v>
      </c>
      <c r="U24">
        <v>89</v>
      </c>
      <c r="V24" t="s">
        <v>549</v>
      </c>
      <c r="W24">
        <v>230</v>
      </c>
      <c r="X24" t="s">
        <v>550</v>
      </c>
      <c r="Z24">
        <f>(U24+U24)*W24/(1000^2)*2</f>
        <v>8.1879999999999994E-2</v>
      </c>
      <c r="AA24" t="s">
        <v>63</v>
      </c>
    </row>
    <row r="25" spans="2:28" x14ac:dyDescent="0.25">
      <c r="B25" s="82"/>
      <c r="C25" s="83"/>
      <c r="D25" s="82"/>
      <c r="E25" s="82"/>
      <c r="F25" s="6" t="s">
        <v>322</v>
      </c>
      <c r="G25" s="80"/>
      <c r="H25" s="80"/>
      <c r="I25" s="80"/>
      <c r="J25" s="80"/>
      <c r="K25" s="58">
        <f>Q25*285/(1000^2)*W25/1000*7800/1000</f>
        <v>1.20042E-3</v>
      </c>
      <c r="L25" s="83"/>
      <c r="M25" s="6" t="s">
        <v>724</v>
      </c>
      <c r="N25" s="6" t="s">
        <v>535</v>
      </c>
      <c r="O25" s="6" t="s">
        <v>533</v>
      </c>
      <c r="Q25">
        <f>3*3</f>
        <v>9</v>
      </c>
      <c r="R25" s="6" t="s">
        <v>545</v>
      </c>
      <c r="W25">
        <f>20+2*10+10+10</f>
        <v>60</v>
      </c>
      <c r="X25" t="s">
        <v>546</v>
      </c>
    </row>
    <row r="26" spans="2:28" x14ac:dyDescent="0.25">
      <c r="B26" s="82"/>
      <c r="C26" s="83"/>
      <c r="D26" s="82"/>
      <c r="E26" s="82"/>
      <c r="F26" s="92" t="s">
        <v>108</v>
      </c>
      <c r="G26" s="80"/>
      <c r="H26" s="80"/>
      <c r="I26" s="80"/>
      <c r="J26" s="80"/>
      <c r="K26" s="62">
        <f>SUM(K23:K25)</f>
        <v>1.1380300000000001E-2</v>
      </c>
      <c r="L26" s="83"/>
      <c r="M26" t="s">
        <v>727</v>
      </c>
      <c r="N26" s="8" t="s">
        <v>112</v>
      </c>
      <c r="O26" s="8"/>
      <c r="P26" s="8"/>
    </row>
    <row r="27" spans="2:28" x14ac:dyDescent="0.25">
      <c r="B27" s="82"/>
      <c r="C27" s="83"/>
      <c r="D27" s="82"/>
      <c r="E27" s="82"/>
      <c r="F27" s="92"/>
      <c r="G27" s="80"/>
      <c r="H27" s="80"/>
      <c r="I27" s="80"/>
      <c r="J27" s="80"/>
      <c r="K27" s="62">
        <f>SUM(K23:K25)*100</f>
        <v>1.1380300000000001</v>
      </c>
      <c r="L27" s="83"/>
      <c r="M27" t="s">
        <v>727</v>
      </c>
      <c r="N27" s="8" t="s">
        <v>111</v>
      </c>
      <c r="O27" s="8"/>
      <c r="P27" s="8"/>
    </row>
    <row r="28" spans="2:28" x14ac:dyDescent="0.25">
      <c r="B28" s="82"/>
      <c r="C28" s="83"/>
      <c r="D28" s="82"/>
      <c r="E28" s="82"/>
      <c r="F28" s="92"/>
      <c r="G28" s="80"/>
      <c r="H28" s="80"/>
      <c r="I28" s="80"/>
      <c r="J28" s="80"/>
      <c r="K28" s="62">
        <f>K23</f>
        <v>3.7932400000000002E-3</v>
      </c>
      <c r="L28" s="83"/>
      <c r="M28" t="s">
        <v>728</v>
      </c>
      <c r="N28" s="8" t="s">
        <v>547</v>
      </c>
      <c r="O28" s="8"/>
      <c r="P28" s="23">
        <f>K28*1000</f>
        <v>3.7932400000000004</v>
      </c>
    </row>
    <row r="29" spans="2:28" x14ac:dyDescent="0.25">
      <c r="B29" s="21" t="s">
        <v>300</v>
      </c>
      <c r="C29" s="10"/>
      <c r="D29" s="21"/>
      <c r="E29" s="21"/>
      <c r="F29" s="21"/>
      <c r="G29" s="21"/>
      <c r="H29" s="21"/>
      <c r="I29" s="21"/>
      <c r="J29" s="21"/>
      <c r="K29" s="21"/>
      <c r="L29" s="42"/>
      <c r="M29" s="21"/>
      <c r="N29" s="21"/>
      <c r="O29" s="21"/>
    </row>
    <row r="30" spans="2:28" x14ac:dyDescent="0.25">
      <c r="B30" s="82" t="s">
        <v>306</v>
      </c>
      <c r="C30" s="83">
        <v>1</v>
      </c>
      <c r="D30" s="82" t="s">
        <v>324</v>
      </c>
      <c r="E30" s="82" t="s">
        <v>328</v>
      </c>
      <c r="F30" s="15" t="s">
        <v>332</v>
      </c>
      <c r="G30" s="80">
        <v>1</v>
      </c>
      <c r="H30" s="80" t="s">
        <v>62</v>
      </c>
      <c r="I30" s="80" t="s">
        <v>110</v>
      </c>
      <c r="J30" s="80">
        <v>1</v>
      </c>
      <c r="K30" s="58">
        <f>(Q30+U30+0.7/76.2*(X30*0.3048))/1000</f>
        <v>8.5175600000000021E-3</v>
      </c>
      <c r="L30" s="83" t="s">
        <v>462</v>
      </c>
      <c r="M30" s="8" t="s">
        <v>723</v>
      </c>
      <c r="N30" s="8" t="s">
        <v>531</v>
      </c>
      <c r="O30" s="8" t="s">
        <v>532</v>
      </c>
      <c r="P30" s="25">
        <f t="shared" ref="P30" si="4">K30*1000</f>
        <v>8.5175600000000014</v>
      </c>
      <c r="Q30" s="8">
        <f>5+(8-5)/(300-200)*(210-200)</f>
        <v>5.3</v>
      </c>
      <c r="R30" s="8" t="s">
        <v>543</v>
      </c>
      <c r="S30" s="8"/>
      <c r="T30" s="8"/>
      <c r="U30" s="8">
        <v>3</v>
      </c>
      <c r="V30" s="8" t="s">
        <v>544</v>
      </c>
      <c r="W30" s="8"/>
      <c r="X30" s="8">
        <f>74+(111-74)/(300-200)*(210-200)</f>
        <v>77.7</v>
      </c>
      <c r="Y30" s="8" t="s">
        <v>115</v>
      </c>
      <c r="Z30" s="8"/>
      <c r="AA30" s="8">
        <f>X30*0.3048</f>
        <v>23.682960000000001</v>
      </c>
      <c r="AB30" s="8" t="s">
        <v>116</v>
      </c>
    </row>
    <row r="31" spans="2:28" x14ac:dyDescent="0.25">
      <c r="B31" s="82"/>
      <c r="C31" s="83"/>
      <c r="D31" s="82"/>
      <c r="E31" s="82"/>
      <c r="F31" s="87" t="s">
        <v>108</v>
      </c>
      <c r="G31" s="80"/>
      <c r="H31" s="80"/>
      <c r="I31" s="80"/>
      <c r="J31" s="80"/>
      <c r="K31" s="62">
        <f>K30*30</f>
        <v>0.25552680000000005</v>
      </c>
      <c r="L31" s="83"/>
      <c r="M31" t="s">
        <v>727</v>
      </c>
      <c r="N31" s="8" t="s">
        <v>112</v>
      </c>
      <c r="O31" s="8"/>
      <c r="P31" s="8"/>
    </row>
    <row r="32" spans="2:28" x14ac:dyDescent="0.25">
      <c r="B32" s="82"/>
      <c r="C32" s="83"/>
      <c r="D32" s="82"/>
      <c r="E32" s="82"/>
      <c r="F32" s="87"/>
      <c r="G32" s="80"/>
      <c r="H32" s="80"/>
      <c r="I32" s="80"/>
      <c r="J32" s="80"/>
      <c r="K32" s="62">
        <f>K30*100</f>
        <v>0.85175600000000018</v>
      </c>
      <c r="L32" s="83"/>
      <c r="M32" t="s">
        <v>727</v>
      </c>
      <c r="N32" s="8" t="s">
        <v>111</v>
      </c>
      <c r="O32" s="8"/>
      <c r="P32" s="8"/>
    </row>
    <row r="33" spans="2:28" x14ac:dyDescent="0.25">
      <c r="B33" s="82"/>
      <c r="C33" s="83"/>
      <c r="D33" s="82"/>
      <c r="E33" s="82"/>
      <c r="F33" s="87"/>
      <c r="G33" s="80"/>
      <c r="H33" s="80"/>
      <c r="I33" s="80"/>
      <c r="J33" s="80"/>
      <c r="K33" s="62">
        <f>K30</f>
        <v>8.5175600000000021E-3</v>
      </c>
      <c r="L33" s="83"/>
      <c r="M33" t="s">
        <v>728</v>
      </c>
      <c r="N33" s="8" t="s">
        <v>113</v>
      </c>
      <c r="O33" s="8"/>
      <c r="P33" s="51"/>
    </row>
    <row r="34" spans="2:28" x14ac:dyDescent="0.25">
      <c r="B34" s="82"/>
      <c r="C34" s="83">
        <v>2</v>
      </c>
      <c r="D34" s="82" t="s">
        <v>325</v>
      </c>
      <c r="E34" s="82" t="s">
        <v>329</v>
      </c>
      <c r="F34" s="6" t="s">
        <v>332</v>
      </c>
      <c r="G34" s="80">
        <v>1</v>
      </c>
      <c r="H34" s="80" t="s">
        <v>62</v>
      </c>
      <c r="I34" s="80" t="s">
        <v>110</v>
      </c>
      <c r="J34" s="80">
        <v>1</v>
      </c>
      <c r="K34" s="58">
        <f>(Q34+U34+0.7/76.2*(X34*0.3048))/1000</f>
        <v>8.5175600000000021E-3</v>
      </c>
      <c r="L34" s="83" t="s">
        <v>463</v>
      </c>
      <c r="M34" s="8" t="s">
        <v>723</v>
      </c>
      <c r="N34" s="8" t="s">
        <v>531</v>
      </c>
      <c r="O34" s="8" t="s">
        <v>532</v>
      </c>
      <c r="P34" s="25">
        <f t="shared" ref="P34" si="5">K34*1000</f>
        <v>8.5175600000000014</v>
      </c>
      <c r="Q34" s="8">
        <f>5+(8-5)/(300-200)*(210-200)</f>
        <v>5.3</v>
      </c>
      <c r="R34" s="8" t="s">
        <v>543</v>
      </c>
      <c r="S34" s="8"/>
      <c r="T34" s="8"/>
      <c r="U34" s="8">
        <v>3</v>
      </c>
      <c r="V34" s="8" t="s">
        <v>544</v>
      </c>
      <c r="W34" s="8"/>
      <c r="X34" s="8">
        <f>74+(111-74)/(300-200)*(210-200)</f>
        <v>77.7</v>
      </c>
      <c r="Y34" s="8" t="s">
        <v>115</v>
      </c>
      <c r="Z34" s="8"/>
      <c r="AA34" s="8">
        <f>X34*0.3048</f>
        <v>23.682960000000001</v>
      </c>
      <c r="AB34" s="8" t="s">
        <v>116</v>
      </c>
    </row>
    <row r="35" spans="2:28" x14ac:dyDescent="0.25">
      <c r="B35" s="82"/>
      <c r="C35" s="83"/>
      <c r="D35" s="82"/>
      <c r="E35" s="82"/>
      <c r="F35" t="s">
        <v>333</v>
      </c>
      <c r="G35" s="80"/>
      <c r="H35" s="80"/>
      <c r="I35" s="80"/>
      <c r="J35" s="80"/>
      <c r="K35" s="31">
        <f>(U35*Q35*2310+X35*U35)/1000</f>
        <v>9.8464140723932747</v>
      </c>
      <c r="L35" s="83"/>
      <c r="M35" s="8" t="s">
        <v>726</v>
      </c>
      <c r="N35" s="8" t="s">
        <v>553</v>
      </c>
      <c r="O35" s="22" t="s">
        <v>528</v>
      </c>
      <c r="P35">
        <f>K35*1000</f>
        <v>9846.4140723932742</v>
      </c>
      <c r="Q35">
        <v>0.2</v>
      </c>
      <c r="R35" t="s">
        <v>552</v>
      </c>
      <c r="U35" s="60">
        <f>210*0.3048^2</f>
        <v>19.5096384</v>
      </c>
      <c r="V35" t="s">
        <v>63</v>
      </c>
      <c r="X35">
        <f>34.83*(2.2)/(18.87*0.3084^2)</f>
        <v>42.694852386053121</v>
      </c>
      <c r="Y35" t="s">
        <v>554</v>
      </c>
    </row>
    <row r="36" spans="2:28" x14ac:dyDescent="0.25">
      <c r="B36" s="82"/>
      <c r="C36" s="83"/>
      <c r="D36" s="82"/>
      <c r="E36" s="82"/>
      <c r="F36" s="86" t="s">
        <v>108</v>
      </c>
      <c r="G36" s="80"/>
      <c r="H36" s="80"/>
      <c r="I36" s="80"/>
      <c r="J36" s="80"/>
      <c r="K36" s="62">
        <f>SUM(K34:K35)*30</f>
        <v>295.6479489717982</v>
      </c>
      <c r="L36" s="83"/>
      <c r="M36" t="s">
        <v>727</v>
      </c>
      <c r="N36" s="8" t="s">
        <v>112</v>
      </c>
      <c r="O36" s="8"/>
      <c r="P36" s="8"/>
    </row>
    <row r="37" spans="2:28" x14ac:dyDescent="0.25">
      <c r="B37" s="82"/>
      <c r="C37" s="83"/>
      <c r="D37" s="82"/>
      <c r="E37" s="82"/>
      <c r="F37" s="86"/>
      <c r="G37" s="80"/>
      <c r="H37" s="80"/>
      <c r="I37" s="80"/>
      <c r="J37" s="80"/>
      <c r="K37" s="62">
        <f>SUM(K34:K35)*100</f>
        <v>985.49316323932749</v>
      </c>
      <c r="L37" s="83"/>
      <c r="M37" t="s">
        <v>727</v>
      </c>
      <c r="N37" s="8" t="s">
        <v>111</v>
      </c>
      <c r="O37" s="8"/>
      <c r="P37" s="8"/>
    </row>
    <row r="38" spans="2:28" x14ac:dyDescent="0.25">
      <c r="B38" s="82"/>
      <c r="C38" s="83"/>
      <c r="D38" s="82"/>
      <c r="E38" s="82"/>
      <c r="F38" s="86"/>
      <c r="G38" s="80"/>
      <c r="H38" s="80"/>
      <c r="I38" s="80"/>
      <c r="J38" s="80"/>
      <c r="K38" s="62">
        <f>SUM(K34:K35)</f>
        <v>9.8549316323932743</v>
      </c>
      <c r="L38" s="83"/>
      <c r="M38" t="s">
        <v>728</v>
      </c>
      <c r="N38" s="8" t="s">
        <v>113</v>
      </c>
      <c r="O38" s="8"/>
      <c r="P38" s="23">
        <f>K38*1000</f>
        <v>9854.9316323932744</v>
      </c>
    </row>
    <row r="39" spans="2:28" x14ac:dyDescent="0.25">
      <c r="B39" s="82"/>
      <c r="C39" s="91">
        <v>3</v>
      </c>
      <c r="D39" s="82" t="s">
        <v>326</v>
      </c>
      <c r="E39" s="82" t="s">
        <v>330</v>
      </c>
      <c r="F39" s="40" t="s">
        <v>332</v>
      </c>
      <c r="G39" s="80">
        <v>1</v>
      </c>
      <c r="H39" s="80" t="s">
        <v>62</v>
      </c>
      <c r="I39" s="80" t="s">
        <v>110</v>
      </c>
      <c r="J39" s="80">
        <v>1</v>
      </c>
      <c r="K39" s="58">
        <f>(Q39+U39+0.7/76.2*(X39*0.3048))/1000</f>
        <v>8.5175600000000021E-3</v>
      </c>
      <c r="L39" s="83" t="s">
        <v>464</v>
      </c>
      <c r="M39" s="8" t="s">
        <v>723</v>
      </c>
      <c r="N39" s="8" t="s">
        <v>531</v>
      </c>
      <c r="O39" s="8" t="s">
        <v>532</v>
      </c>
      <c r="P39" s="25">
        <f t="shared" ref="P39" si="6">K39*1000</f>
        <v>8.5175600000000014</v>
      </c>
      <c r="Q39" s="8">
        <f>5+(8-5)/(300-200)*(210-200)</f>
        <v>5.3</v>
      </c>
      <c r="R39" s="8" t="s">
        <v>543</v>
      </c>
      <c r="S39" s="8"/>
      <c r="T39" s="8"/>
      <c r="U39" s="8">
        <v>3</v>
      </c>
      <c r="V39" s="8" t="s">
        <v>544</v>
      </c>
      <c r="W39" s="8"/>
      <c r="X39" s="8">
        <f>74+(111-74)/(300-200)*(210-200)</f>
        <v>77.7</v>
      </c>
      <c r="Y39" s="8" t="s">
        <v>115</v>
      </c>
      <c r="Z39" s="8"/>
      <c r="AA39" s="8">
        <f>X39*0.3048</f>
        <v>23.682960000000001</v>
      </c>
      <c r="AB39" s="8" t="s">
        <v>116</v>
      </c>
    </row>
    <row r="40" spans="2:28" x14ac:dyDescent="0.25">
      <c r="B40" s="82"/>
      <c r="C40" s="91"/>
      <c r="D40" s="82"/>
      <c r="E40" s="82"/>
      <c r="F40" s="40" t="s">
        <v>333</v>
      </c>
      <c r="G40" s="80"/>
      <c r="H40" s="80"/>
      <c r="I40" s="80"/>
      <c r="J40" s="80"/>
      <c r="K40" s="31">
        <f>(U40*Q40*2310+X40*U40)/1000</f>
        <v>9.8464140723932747</v>
      </c>
      <c r="L40" s="83"/>
      <c r="M40" s="8" t="s">
        <v>726</v>
      </c>
      <c r="N40" s="8" t="s">
        <v>553</v>
      </c>
      <c r="O40" s="22" t="s">
        <v>528</v>
      </c>
      <c r="P40">
        <f>K40*1000</f>
        <v>9846.4140723932742</v>
      </c>
      <c r="Q40">
        <v>0.2</v>
      </c>
      <c r="R40" t="s">
        <v>552</v>
      </c>
      <c r="U40" s="60">
        <f>210*0.3048^2</f>
        <v>19.5096384</v>
      </c>
      <c r="V40" t="s">
        <v>63</v>
      </c>
      <c r="X40">
        <f>34.83*(2.2)/(18.87*0.3084^2)</f>
        <v>42.694852386053121</v>
      </c>
      <c r="Y40" t="s">
        <v>554</v>
      </c>
    </row>
    <row r="41" spans="2:28" x14ac:dyDescent="0.25">
      <c r="B41" s="82"/>
      <c r="C41" s="91"/>
      <c r="D41" s="82"/>
      <c r="E41" s="82"/>
      <c r="F41" s="40" t="s">
        <v>334</v>
      </c>
      <c r="G41" s="80"/>
      <c r="H41" s="80"/>
      <c r="I41" s="80"/>
      <c r="J41" s="80"/>
      <c r="K41" s="13">
        <f>Q41*U41*U41/1000^3*7800/1000</f>
        <v>6.2399999999999997E-2</v>
      </c>
      <c r="L41" s="83"/>
      <c r="M41" s="6" t="s">
        <v>729</v>
      </c>
      <c r="N41" s="13" t="s">
        <v>555</v>
      </c>
      <c r="O41" s="6" t="s">
        <v>533</v>
      </c>
      <c r="P41">
        <f>K41*1000</f>
        <v>62.4</v>
      </c>
      <c r="Q41">
        <v>50</v>
      </c>
      <c r="R41" t="s">
        <v>556</v>
      </c>
      <c r="U41">
        <v>400</v>
      </c>
      <c r="V41" t="s">
        <v>557</v>
      </c>
    </row>
    <row r="42" spans="2:28" x14ac:dyDescent="0.25">
      <c r="B42" s="82"/>
      <c r="C42" s="91"/>
      <c r="D42" s="82"/>
      <c r="E42" s="82"/>
      <c r="F42" s="87" t="s">
        <v>108</v>
      </c>
      <c r="G42" s="80"/>
      <c r="H42" s="80"/>
      <c r="I42" s="80"/>
      <c r="J42" s="80"/>
      <c r="K42" s="62">
        <f>SUM(K39:K41)</f>
        <v>9.9173316323932745</v>
      </c>
      <c r="L42" s="83"/>
      <c r="M42" t="s">
        <v>727</v>
      </c>
      <c r="N42" s="8" t="s">
        <v>112</v>
      </c>
      <c r="O42" s="8"/>
      <c r="P42" s="8"/>
    </row>
    <row r="43" spans="2:28" x14ac:dyDescent="0.25">
      <c r="B43" s="82"/>
      <c r="C43" s="91"/>
      <c r="D43" s="82"/>
      <c r="E43" s="82"/>
      <c r="F43" s="87"/>
      <c r="G43" s="80"/>
      <c r="H43" s="80"/>
      <c r="I43" s="80"/>
      <c r="J43" s="80"/>
      <c r="K43" s="62">
        <f>SUM(K39:K41)*100</f>
        <v>991.7331632393275</v>
      </c>
      <c r="L43" s="83"/>
      <c r="M43" t="s">
        <v>727</v>
      </c>
      <c r="N43" s="8" t="s">
        <v>111</v>
      </c>
      <c r="O43" s="8"/>
      <c r="P43" s="8"/>
    </row>
    <row r="44" spans="2:28" x14ac:dyDescent="0.25">
      <c r="B44" s="82"/>
      <c r="C44" s="91"/>
      <c r="D44" s="82"/>
      <c r="E44" s="82"/>
      <c r="F44" s="87"/>
      <c r="G44" s="80"/>
      <c r="H44" s="80"/>
      <c r="I44" s="80"/>
      <c r="J44" s="80"/>
      <c r="K44" s="62">
        <f>(K39+K40)</f>
        <v>9.8549316323932743</v>
      </c>
      <c r="L44" s="83"/>
      <c r="M44" t="s">
        <v>728</v>
      </c>
      <c r="N44" s="8" t="s">
        <v>547</v>
      </c>
      <c r="O44" s="8"/>
      <c r="P44" s="23">
        <f>K44*1000</f>
        <v>9854.9316323932744</v>
      </c>
    </row>
    <row r="45" spans="2:28" x14ac:dyDescent="0.25">
      <c r="B45" s="82"/>
      <c r="C45" s="83">
        <v>4</v>
      </c>
      <c r="D45" s="82" t="s">
        <v>327</v>
      </c>
      <c r="E45" s="82" t="s">
        <v>331</v>
      </c>
      <c r="F45" s="38" t="s">
        <v>332</v>
      </c>
      <c r="G45" s="80">
        <v>1</v>
      </c>
      <c r="H45" s="80" t="s">
        <v>62</v>
      </c>
      <c r="I45" s="80" t="s">
        <v>110</v>
      </c>
      <c r="J45" s="80">
        <v>1</v>
      </c>
      <c r="K45" s="58">
        <f>(Q45+U45+0.7/76.2*(X45*0.3048))/1000</f>
        <v>8.5175600000000021E-3</v>
      </c>
      <c r="L45" s="83" t="s">
        <v>465</v>
      </c>
      <c r="M45" s="8" t="s">
        <v>723</v>
      </c>
      <c r="N45" s="8" t="s">
        <v>531</v>
      </c>
      <c r="O45" s="8" t="s">
        <v>532</v>
      </c>
      <c r="P45" s="25">
        <f t="shared" ref="P45" si="7">K45*1000</f>
        <v>8.5175600000000014</v>
      </c>
      <c r="Q45" s="8">
        <f>5+(8-5)/(300-200)*(210-200)</f>
        <v>5.3</v>
      </c>
      <c r="R45" s="8" t="s">
        <v>543</v>
      </c>
      <c r="S45" s="8"/>
      <c r="T45" s="8"/>
      <c r="U45" s="8">
        <v>3</v>
      </c>
      <c r="V45" s="8" t="s">
        <v>544</v>
      </c>
      <c r="W45" s="8"/>
      <c r="X45" s="8">
        <f>74+(111-74)/(300-200)*(210-200)</f>
        <v>77.7</v>
      </c>
      <c r="Y45" s="8" t="s">
        <v>115</v>
      </c>
      <c r="Z45" s="8"/>
      <c r="AA45" s="8">
        <f>X45*0.3048</f>
        <v>23.682960000000001</v>
      </c>
      <c r="AB45" s="8" t="s">
        <v>116</v>
      </c>
    </row>
    <row r="46" spans="2:28" x14ac:dyDescent="0.25">
      <c r="B46" s="82"/>
      <c r="C46" s="83"/>
      <c r="D46" s="82"/>
      <c r="E46" s="82"/>
      <c r="F46" s="38" t="s">
        <v>333</v>
      </c>
      <c r="G46" s="80"/>
      <c r="H46" s="80"/>
      <c r="I46" s="80"/>
      <c r="J46" s="80"/>
      <c r="K46" s="31">
        <f>(U46*Q46*2310+X46*U46)/1000</f>
        <v>9.8464140723932747</v>
      </c>
      <c r="L46" s="83"/>
      <c r="M46" s="8" t="s">
        <v>726</v>
      </c>
      <c r="N46" s="8" t="s">
        <v>553</v>
      </c>
      <c r="O46" s="22" t="s">
        <v>528</v>
      </c>
      <c r="P46">
        <f>K46*1000</f>
        <v>9846.4140723932742</v>
      </c>
      <c r="Q46">
        <v>0.2</v>
      </c>
      <c r="R46" t="s">
        <v>552</v>
      </c>
      <c r="U46" s="60">
        <f>210*0.3048^2</f>
        <v>19.5096384</v>
      </c>
      <c r="V46" t="s">
        <v>63</v>
      </c>
      <c r="X46">
        <f>34.83*(2.2)/(18.87*0.3084^2)</f>
        <v>42.694852386053121</v>
      </c>
      <c r="Y46" t="s">
        <v>554</v>
      </c>
    </row>
    <row r="47" spans="2:28" x14ac:dyDescent="0.25">
      <c r="B47" s="82"/>
      <c r="C47" s="83"/>
      <c r="D47" s="82"/>
      <c r="E47" s="82"/>
      <c r="F47" s="38" t="s">
        <v>334</v>
      </c>
      <c r="G47" s="80"/>
      <c r="H47" s="80"/>
      <c r="I47" s="80"/>
      <c r="J47" s="80"/>
      <c r="K47" s="13">
        <f>Q47*U47*U47/1000^3*7800/1000</f>
        <v>6.2399999999999997E-2</v>
      </c>
      <c r="L47" s="83"/>
      <c r="M47" s="6" t="s">
        <v>729</v>
      </c>
      <c r="N47" s="13" t="s">
        <v>555</v>
      </c>
      <c r="O47" s="6" t="s">
        <v>533</v>
      </c>
      <c r="P47">
        <f>K47*1000</f>
        <v>62.4</v>
      </c>
      <c r="Q47">
        <v>50</v>
      </c>
      <c r="R47" t="s">
        <v>556</v>
      </c>
      <c r="U47">
        <v>400</v>
      </c>
      <c r="V47" t="s">
        <v>557</v>
      </c>
    </row>
    <row r="48" spans="2:28" x14ac:dyDescent="0.25">
      <c r="B48" s="82"/>
      <c r="C48" s="83"/>
      <c r="D48" s="82"/>
      <c r="E48" s="82"/>
      <c r="F48" s="39" t="s">
        <v>335</v>
      </c>
      <c r="G48" s="80"/>
      <c r="H48" s="80"/>
      <c r="I48" s="80"/>
      <c r="J48" s="80"/>
      <c r="K48" s="13">
        <v>0.9</v>
      </c>
      <c r="L48" s="83"/>
      <c r="M48" s="6" t="s">
        <v>730</v>
      </c>
      <c r="N48" s="13"/>
      <c r="O48" s="6" t="s">
        <v>533</v>
      </c>
      <c r="P48">
        <f>K48*1000</f>
        <v>900</v>
      </c>
    </row>
    <row r="49" spans="2:34" x14ac:dyDescent="0.25">
      <c r="B49" s="82"/>
      <c r="C49" s="83"/>
      <c r="D49" s="82"/>
      <c r="E49" s="82"/>
      <c r="F49" s="86" t="s">
        <v>108</v>
      </c>
      <c r="G49" s="80"/>
      <c r="H49" s="80"/>
      <c r="I49" s="80"/>
      <c r="J49" s="80"/>
      <c r="K49" s="63">
        <f>SUM(K45:K48)*30</f>
        <v>324.51994897179827</v>
      </c>
      <c r="L49" s="83"/>
      <c r="M49" t="s">
        <v>727</v>
      </c>
      <c r="N49" s="8" t="s">
        <v>112</v>
      </c>
      <c r="O49" s="8"/>
      <c r="P49" s="8"/>
    </row>
    <row r="50" spans="2:34" x14ac:dyDescent="0.25">
      <c r="B50" s="82"/>
      <c r="C50" s="83"/>
      <c r="D50" s="82"/>
      <c r="E50" s="82"/>
      <c r="F50" s="86"/>
      <c r="G50" s="80"/>
      <c r="H50" s="80"/>
      <c r="I50" s="80"/>
      <c r="J50" s="80"/>
      <c r="K50" s="63">
        <f>SUM(K45:K48)*100</f>
        <v>1081.7331632393275</v>
      </c>
      <c r="L50" s="83"/>
      <c r="M50" t="s">
        <v>727</v>
      </c>
      <c r="N50" s="8" t="s">
        <v>111</v>
      </c>
      <c r="O50" s="8"/>
      <c r="P50" s="8"/>
    </row>
    <row r="51" spans="2:34" x14ac:dyDescent="0.25">
      <c r="B51" s="82"/>
      <c r="C51" s="83"/>
      <c r="D51" s="82"/>
      <c r="E51" s="82"/>
      <c r="F51" s="86"/>
      <c r="G51" s="80"/>
      <c r="H51" s="80"/>
      <c r="I51" s="80"/>
      <c r="J51" s="80"/>
      <c r="K51" s="63">
        <f>SUM(K45:K46)</f>
        <v>9.8549316323932743</v>
      </c>
      <c r="L51" s="83"/>
      <c r="M51" t="s">
        <v>728</v>
      </c>
      <c r="N51" s="8" t="s">
        <v>547</v>
      </c>
      <c r="O51" s="8"/>
      <c r="P51" s="23">
        <f>K51*1000</f>
        <v>9854.9316323932744</v>
      </c>
    </row>
    <row r="52" spans="2:34" x14ac:dyDescent="0.25">
      <c r="B52" s="21" t="s">
        <v>301</v>
      </c>
      <c r="C52" s="10"/>
      <c r="D52" s="21"/>
      <c r="E52" s="21"/>
      <c r="F52" s="21"/>
      <c r="G52" s="21"/>
      <c r="H52" s="21"/>
      <c r="I52" s="21"/>
      <c r="J52" s="21"/>
      <c r="K52" s="21"/>
      <c r="L52" s="42"/>
      <c r="M52" s="21"/>
      <c r="N52" s="21"/>
      <c r="O52" s="21"/>
    </row>
    <row r="53" spans="2:34" x14ac:dyDescent="0.25">
      <c r="B53" s="82" t="s">
        <v>307</v>
      </c>
      <c r="C53" s="83">
        <v>1</v>
      </c>
      <c r="D53" s="80" t="s">
        <v>339</v>
      </c>
      <c r="E53" s="82" t="s">
        <v>336</v>
      </c>
      <c r="F53" s="6" t="s">
        <v>342</v>
      </c>
      <c r="G53" s="80">
        <v>1</v>
      </c>
      <c r="H53" s="80" t="s">
        <v>62</v>
      </c>
      <c r="I53" s="80" t="s">
        <v>110</v>
      </c>
      <c r="J53" s="80">
        <v>1</v>
      </c>
      <c r="K53" s="58">
        <f>(Q53+U53+0.7/76.2*(X53*0.3048))/1000</f>
        <v>1.7466200000000001E-2</v>
      </c>
      <c r="L53" s="83" t="s">
        <v>466</v>
      </c>
      <c r="M53" s="8" t="s">
        <v>723</v>
      </c>
      <c r="N53" s="8" t="s">
        <v>531</v>
      </c>
      <c r="O53" s="8" t="s">
        <v>532</v>
      </c>
      <c r="P53" s="25">
        <f t="shared" ref="P53" si="8">K53*1000</f>
        <v>17.466200000000001</v>
      </c>
      <c r="Q53" s="8">
        <f>10+(12-10)/(500-400)*(450-400)</f>
        <v>11</v>
      </c>
      <c r="R53" s="8" t="s">
        <v>543</v>
      </c>
      <c r="S53" s="8"/>
      <c r="T53" s="8"/>
      <c r="U53" s="8">
        <f>5+(7-5)/(500-400)*(450-400)</f>
        <v>6</v>
      </c>
      <c r="V53" s="8" t="s">
        <v>544</v>
      </c>
      <c r="W53" s="8"/>
      <c r="X53" s="8">
        <f>148+(185-148)/(500-400)*(450-400)</f>
        <v>166.5</v>
      </c>
      <c r="Y53" s="8" t="s">
        <v>115</v>
      </c>
      <c r="Z53" s="8"/>
      <c r="AA53" s="8">
        <f>X53*0.3048</f>
        <v>50.749200000000002</v>
      </c>
      <c r="AB53" s="8" t="s">
        <v>116</v>
      </c>
    </row>
    <row r="54" spans="2:34" x14ac:dyDescent="0.25">
      <c r="B54" s="82"/>
      <c r="C54" s="83"/>
      <c r="D54" s="80"/>
      <c r="E54" s="82"/>
      <c r="F54" s="6" t="s">
        <v>349</v>
      </c>
      <c r="G54" s="80"/>
      <c r="H54" s="80"/>
      <c r="I54" s="80"/>
      <c r="J54" s="80"/>
      <c r="K54" s="13">
        <f>((1.1416*U54)+(1.17*Q54))/1000</f>
        <v>5.5839999999999996</v>
      </c>
      <c r="L54" s="83"/>
      <c r="M54" s="6" t="s">
        <v>731</v>
      </c>
      <c r="N54" s="6" t="s">
        <v>577</v>
      </c>
      <c r="O54" s="6" t="s">
        <v>576</v>
      </c>
      <c r="Q54" s="60">
        <f>5/60*10*2800</f>
        <v>2333.333333333333</v>
      </c>
      <c r="R54" s="6" t="s">
        <v>574</v>
      </c>
      <c r="U54">
        <f>5/60*10*3000</f>
        <v>2500</v>
      </c>
      <c r="V54" t="s">
        <v>575</v>
      </c>
      <c r="Y54" t="s">
        <v>578</v>
      </c>
      <c r="AB54" t="s">
        <v>579</v>
      </c>
    </row>
    <row r="55" spans="2:34" x14ac:dyDescent="0.25">
      <c r="B55" s="82"/>
      <c r="C55" s="83"/>
      <c r="D55" s="80"/>
      <c r="E55" s="82"/>
      <c r="F55" s="86" t="s">
        <v>108</v>
      </c>
      <c r="G55" s="80"/>
      <c r="H55" s="80"/>
      <c r="I55" s="80"/>
      <c r="J55" s="80"/>
      <c r="K55" s="63">
        <f>SUM(K53)*30</f>
        <v>0.52398600000000006</v>
      </c>
      <c r="L55" s="83"/>
      <c r="M55" t="s">
        <v>727</v>
      </c>
      <c r="N55" s="8" t="s">
        <v>112</v>
      </c>
      <c r="O55" s="8"/>
      <c r="P55" s="8"/>
    </row>
    <row r="56" spans="2:34" x14ac:dyDescent="0.25">
      <c r="B56" s="82"/>
      <c r="C56" s="83"/>
      <c r="D56" s="80"/>
      <c r="E56" s="82"/>
      <c r="F56" s="86"/>
      <c r="G56" s="80"/>
      <c r="H56" s="80"/>
      <c r="I56" s="80"/>
      <c r="J56" s="80"/>
      <c r="K56" s="63">
        <f>SUM(K53:K54)*100</f>
        <v>560.14661999999998</v>
      </c>
      <c r="L56" s="83"/>
      <c r="M56" t="s">
        <v>727</v>
      </c>
      <c r="N56" s="8" t="s">
        <v>111</v>
      </c>
      <c r="O56" s="8"/>
      <c r="P56" s="8"/>
    </row>
    <row r="57" spans="2:34" x14ac:dyDescent="0.25">
      <c r="B57" s="82"/>
      <c r="C57" s="83"/>
      <c r="D57" s="80"/>
      <c r="E57" s="82"/>
      <c r="F57" s="86"/>
      <c r="G57" s="80"/>
      <c r="H57" s="80"/>
      <c r="I57" s="80"/>
      <c r="J57" s="80"/>
      <c r="K57" s="62">
        <f>SUM(K53)</f>
        <v>1.7466200000000001E-2</v>
      </c>
      <c r="L57" s="83"/>
      <c r="M57" t="s">
        <v>728</v>
      </c>
      <c r="N57" s="8" t="s">
        <v>113</v>
      </c>
      <c r="O57" s="8"/>
      <c r="P57" s="23">
        <f>K57*1000</f>
        <v>17.466200000000001</v>
      </c>
    </row>
    <row r="58" spans="2:34" x14ac:dyDescent="0.25">
      <c r="B58" s="82"/>
      <c r="C58" s="83">
        <v>2</v>
      </c>
      <c r="D58" s="82" t="s">
        <v>340</v>
      </c>
      <c r="E58" s="82" t="s">
        <v>337</v>
      </c>
      <c r="F58" s="15" t="s">
        <v>342</v>
      </c>
      <c r="G58" s="80">
        <v>1</v>
      </c>
      <c r="H58" s="80" t="s">
        <v>62</v>
      </c>
      <c r="I58" s="80" t="s">
        <v>110</v>
      </c>
      <c r="J58" s="80">
        <v>1</v>
      </c>
      <c r="K58" s="58">
        <f>(Q58+U58+0.7/76.2*(X58*0.3048))/1000</f>
        <v>1.7466200000000001E-2</v>
      </c>
      <c r="L58" s="83" t="s">
        <v>467</v>
      </c>
      <c r="M58" s="8" t="s">
        <v>723</v>
      </c>
      <c r="N58" s="8" t="s">
        <v>531</v>
      </c>
      <c r="O58" s="8" t="s">
        <v>532</v>
      </c>
      <c r="P58" s="25">
        <f t="shared" ref="P58" si="9">K58*1000</f>
        <v>17.466200000000001</v>
      </c>
      <c r="Q58" s="8">
        <f>10+(12-10)/(500-400)*(450-400)</f>
        <v>11</v>
      </c>
      <c r="R58" s="8" t="s">
        <v>543</v>
      </c>
      <c r="S58" s="8"/>
      <c r="T58" s="8"/>
      <c r="U58" s="8">
        <f>5+(7-5)/(500-400)*(450-400)</f>
        <v>6</v>
      </c>
      <c r="V58" s="8" t="s">
        <v>544</v>
      </c>
      <c r="W58" s="8"/>
      <c r="X58" s="8">
        <f>148+(185-148)/(500-400)*(450-400)</f>
        <v>166.5</v>
      </c>
      <c r="Y58" s="8" t="s">
        <v>115</v>
      </c>
      <c r="Z58" s="8"/>
      <c r="AA58" s="8">
        <f>X58*0.3048</f>
        <v>50.749200000000002</v>
      </c>
      <c r="AB58" s="8" t="s">
        <v>116</v>
      </c>
    </row>
    <row r="59" spans="2:34" x14ac:dyDescent="0.25">
      <c r="B59" s="82"/>
      <c r="C59" s="83"/>
      <c r="D59" s="82"/>
      <c r="E59" s="82"/>
      <c r="F59" s="15" t="s">
        <v>343</v>
      </c>
      <c r="G59" s="80"/>
      <c r="H59" s="80"/>
      <c r="I59" s="80"/>
      <c r="J59" s="80"/>
      <c r="K59" s="55">
        <f>(Q59+X59+U59*2350)/1000</f>
        <v>0.61144321582080008</v>
      </c>
      <c r="L59" s="83"/>
      <c r="M59" s="6" t="s">
        <v>732</v>
      </c>
      <c r="N59" s="13" t="s">
        <v>563</v>
      </c>
      <c r="O59" s="6" t="s">
        <v>533</v>
      </c>
      <c r="Q59" s="59">
        <f>9.76*40*(0.3048^2)</f>
        <v>36.269346816000002</v>
      </c>
      <c r="R59" t="s">
        <v>573</v>
      </c>
      <c r="U59" s="59">
        <f>40*(0.3048^2)*0.065</f>
        <v>0.24154790400000001</v>
      </c>
      <c r="V59" t="s">
        <v>281</v>
      </c>
      <c r="X59" s="59">
        <f>0.002*(1*1*0.065)*2*7800*(40*(0.3048^2))</f>
        <v>7.5362946048000001</v>
      </c>
      <c r="Y59" t="s">
        <v>558</v>
      </c>
      <c r="AA59" t="s">
        <v>564</v>
      </c>
    </row>
    <row r="60" spans="2:34" x14ac:dyDescent="0.25">
      <c r="B60" s="82"/>
      <c r="C60" s="83"/>
      <c r="D60" s="82"/>
      <c r="E60" s="82"/>
      <c r="F60" s="15" t="s">
        <v>344</v>
      </c>
      <c r="G60" s="80"/>
      <c r="H60" s="80"/>
      <c r="I60" s="80"/>
      <c r="J60" s="80"/>
      <c r="K60" s="13">
        <v>1.6</v>
      </c>
      <c r="L60" s="83"/>
      <c r="M60" s="6" t="s">
        <v>730</v>
      </c>
      <c r="N60" s="13"/>
      <c r="O60" s="6" t="s">
        <v>533</v>
      </c>
    </row>
    <row r="61" spans="2:34" x14ac:dyDescent="0.25">
      <c r="B61" s="82"/>
      <c r="C61" s="83"/>
      <c r="D61" s="82"/>
      <c r="E61" s="82"/>
      <c r="F61" s="15" t="s">
        <v>345</v>
      </c>
      <c r="G61" s="80"/>
      <c r="H61" s="80"/>
      <c r="I61" s="80"/>
      <c r="J61" s="80"/>
      <c r="K61" s="13">
        <v>0</v>
      </c>
      <c r="L61" s="83"/>
      <c r="M61" s="6" t="s">
        <v>80</v>
      </c>
      <c r="N61" s="6" t="s">
        <v>534</v>
      </c>
      <c r="O61" s="13"/>
    </row>
    <row r="62" spans="2:34" x14ac:dyDescent="0.25">
      <c r="B62" s="82"/>
      <c r="C62" s="83"/>
      <c r="D62" s="82"/>
      <c r="E62" s="82"/>
      <c r="F62" s="15" t="s">
        <v>346</v>
      </c>
      <c r="G62" s="80"/>
      <c r="H62" s="80"/>
      <c r="I62" s="80"/>
      <c r="J62" s="80"/>
      <c r="K62" s="55">
        <f>V62/1000</f>
        <v>1.0388700000000001E-2</v>
      </c>
      <c r="L62" s="83"/>
      <c r="M62" s="6" t="s">
        <v>733</v>
      </c>
      <c r="N62" s="13" t="s">
        <v>565</v>
      </c>
      <c r="O62" s="56" t="s">
        <v>568</v>
      </c>
      <c r="Q62">
        <f>(304*2+144*4+863*2)/1000</f>
        <v>2.91</v>
      </c>
      <c r="R62" t="s">
        <v>566</v>
      </c>
      <c r="T62">
        <f>11.7*Q62</f>
        <v>34.046999999999997</v>
      </c>
      <c r="U62" t="s">
        <v>567</v>
      </c>
      <c r="V62">
        <f>3.57*Q62</f>
        <v>10.3887</v>
      </c>
      <c r="W62" t="s">
        <v>569</v>
      </c>
      <c r="AB62">
        <f>0.000065*Q62/1000</f>
        <v>1.8915E-7</v>
      </c>
      <c r="AC62" t="s">
        <v>570</v>
      </c>
      <c r="AG62">
        <f>Q62*1.43</f>
        <v>4.1612999999999998</v>
      </c>
      <c r="AH62" t="s">
        <v>571</v>
      </c>
    </row>
    <row r="63" spans="2:34" x14ac:dyDescent="0.25">
      <c r="B63" s="82"/>
      <c r="C63" s="83"/>
      <c r="D63" s="82"/>
      <c r="E63" s="82"/>
      <c r="F63" s="87" t="s">
        <v>108</v>
      </c>
      <c r="G63" s="80"/>
      <c r="H63" s="80"/>
      <c r="I63" s="80"/>
      <c r="J63" s="80"/>
      <c r="K63" s="63">
        <f>SUM(K58:K61)*30</f>
        <v>66.867282474624005</v>
      </c>
      <c r="L63" s="83"/>
      <c r="M63" t="s">
        <v>727</v>
      </c>
      <c r="N63" s="8" t="s">
        <v>112</v>
      </c>
      <c r="O63" s="8"/>
      <c r="P63" s="8"/>
    </row>
    <row r="64" spans="2:34" x14ac:dyDescent="0.25">
      <c r="B64" s="82"/>
      <c r="C64" s="83"/>
      <c r="D64" s="82"/>
      <c r="E64" s="82"/>
      <c r="F64" s="87"/>
      <c r="G64" s="80"/>
      <c r="H64" s="80"/>
      <c r="I64" s="80"/>
      <c r="J64" s="80"/>
      <c r="K64" s="63">
        <f>SUM(K58:K62)*100</f>
        <v>223.92981158208002</v>
      </c>
      <c r="L64" s="83"/>
      <c r="M64" t="s">
        <v>727</v>
      </c>
      <c r="N64" s="8" t="s">
        <v>111</v>
      </c>
      <c r="O64" s="8"/>
      <c r="P64" s="8"/>
    </row>
    <row r="65" spans="2:34" x14ac:dyDescent="0.25">
      <c r="B65" s="82"/>
      <c r="C65" s="83"/>
      <c r="D65" s="82"/>
      <c r="E65" s="82"/>
      <c r="F65" s="87"/>
      <c r="G65" s="80"/>
      <c r="H65" s="80"/>
      <c r="I65" s="80"/>
      <c r="J65" s="80"/>
      <c r="K65" s="63">
        <f>SUM(K58:K61)-K60</f>
        <v>0.62890941582080018</v>
      </c>
      <c r="L65" s="83"/>
      <c r="M65" t="s">
        <v>728</v>
      </c>
      <c r="N65" s="8" t="s">
        <v>547</v>
      </c>
      <c r="O65" s="8"/>
      <c r="P65" s="23">
        <f>K65*1000</f>
        <v>628.90941582080018</v>
      </c>
    </row>
    <row r="66" spans="2:34" x14ac:dyDescent="0.25">
      <c r="B66" s="82"/>
      <c r="C66" s="83">
        <v>3</v>
      </c>
      <c r="D66" s="82" t="s">
        <v>341</v>
      </c>
      <c r="E66" s="82" t="s">
        <v>338</v>
      </c>
      <c r="F66" s="6" t="s">
        <v>342</v>
      </c>
      <c r="G66" s="80">
        <v>1</v>
      </c>
      <c r="H66" s="80" t="s">
        <v>62</v>
      </c>
      <c r="I66" s="80" t="s">
        <v>110</v>
      </c>
      <c r="J66" s="80">
        <v>1</v>
      </c>
      <c r="K66" s="58">
        <f>(Q66+U66+0.7/76.2*(X66*0.3048))/1000</f>
        <v>1.7466200000000001E-2</v>
      </c>
      <c r="L66" s="83" t="s">
        <v>468</v>
      </c>
      <c r="M66" s="8" t="s">
        <v>723</v>
      </c>
      <c r="N66" s="8" t="s">
        <v>531</v>
      </c>
      <c r="O66" s="8" t="s">
        <v>532</v>
      </c>
      <c r="P66" s="25">
        <f t="shared" ref="P66" si="10">K66*1000</f>
        <v>17.466200000000001</v>
      </c>
      <c r="Q66" s="8">
        <f>10+(12-10)/(500-400)*(450-400)</f>
        <v>11</v>
      </c>
      <c r="R66" s="8" t="s">
        <v>543</v>
      </c>
      <c r="S66" s="8"/>
      <c r="T66" s="8"/>
      <c r="U66" s="8">
        <f>5+(7-5)/(500-400)*(450-400)</f>
        <v>6</v>
      </c>
      <c r="V66" s="8" t="s">
        <v>544</v>
      </c>
      <c r="W66" s="8"/>
      <c r="X66" s="8">
        <f>148+(185-148)/(500-400)*(450-400)</f>
        <v>166.5</v>
      </c>
      <c r="Y66" s="8" t="s">
        <v>115</v>
      </c>
      <c r="Z66" s="8"/>
      <c r="AA66" s="8">
        <f>X66*0.3048</f>
        <v>50.749200000000002</v>
      </c>
      <c r="AB66" s="8" t="s">
        <v>116</v>
      </c>
    </row>
    <row r="67" spans="2:34" x14ac:dyDescent="0.25">
      <c r="B67" s="82"/>
      <c r="C67" s="83"/>
      <c r="D67" s="82"/>
      <c r="E67" s="82"/>
      <c r="F67" s="6" t="s">
        <v>343</v>
      </c>
      <c r="G67" s="80"/>
      <c r="H67" s="80"/>
      <c r="I67" s="80"/>
      <c r="J67" s="80"/>
      <c r="K67" s="55">
        <f>(Q67+X67+U67*2350)/1000</f>
        <v>0.61144321582080008</v>
      </c>
      <c r="L67" s="83"/>
      <c r="M67" s="6" t="s">
        <v>732</v>
      </c>
      <c r="N67" s="13" t="s">
        <v>563</v>
      </c>
      <c r="O67" s="6" t="s">
        <v>533</v>
      </c>
      <c r="Q67" s="59">
        <f>9.76*40*(0.3048^2)</f>
        <v>36.269346816000002</v>
      </c>
      <c r="R67" t="s">
        <v>573</v>
      </c>
      <c r="U67" s="59">
        <f>40*(0.3048^2)*0.065</f>
        <v>0.24154790400000001</v>
      </c>
      <c r="V67" t="s">
        <v>281</v>
      </c>
      <c r="X67" s="59">
        <f>0.002*(1*1*0.065)*2*7800*(40*(0.3048^2))</f>
        <v>7.5362946048000001</v>
      </c>
      <c r="Y67" t="s">
        <v>558</v>
      </c>
      <c r="AA67" t="s">
        <v>564</v>
      </c>
    </row>
    <row r="68" spans="2:34" x14ac:dyDescent="0.25">
      <c r="B68" s="82"/>
      <c r="C68" s="83"/>
      <c r="D68" s="82"/>
      <c r="E68" s="82"/>
      <c r="F68" s="6" t="s">
        <v>345</v>
      </c>
      <c r="G68" s="80"/>
      <c r="H68" s="80"/>
      <c r="I68" s="80"/>
      <c r="J68" s="80"/>
      <c r="K68" s="13">
        <v>0</v>
      </c>
      <c r="L68" s="83"/>
      <c r="M68" s="6" t="s">
        <v>80</v>
      </c>
      <c r="N68" s="6" t="s">
        <v>534</v>
      </c>
      <c r="O68" s="13"/>
    </row>
    <row r="69" spans="2:34" x14ac:dyDescent="0.25">
      <c r="B69" s="82"/>
      <c r="C69" s="83"/>
      <c r="D69" s="82"/>
      <c r="E69" s="82"/>
      <c r="F69" s="6" t="s">
        <v>346</v>
      </c>
      <c r="G69" s="80"/>
      <c r="H69" s="80"/>
      <c r="I69" s="80"/>
      <c r="J69" s="80"/>
      <c r="K69" s="55">
        <f>V69/1000</f>
        <v>1.0388700000000001E-2</v>
      </c>
      <c r="L69" s="83"/>
      <c r="M69" s="6" t="s">
        <v>733</v>
      </c>
      <c r="N69" s="13" t="s">
        <v>565</v>
      </c>
      <c r="O69" s="56" t="s">
        <v>568</v>
      </c>
      <c r="Q69">
        <f>(304*2+144*4+863*2)/1000</f>
        <v>2.91</v>
      </c>
      <c r="R69" t="s">
        <v>566</v>
      </c>
      <c r="T69">
        <f>11.7*Q69</f>
        <v>34.046999999999997</v>
      </c>
      <c r="U69" t="s">
        <v>567</v>
      </c>
      <c r="V69">
        <f>3.57*Q69</f>
        <v>10.3887</v>
      </c>
      <c r="W69" t="s">
        <v>569</v>
      </c>
      <c r="AB69">
        <f>0.000065*Q69/1000</f>
        <v>1.8915E-7</v>
      </c>
      <c r="AC69" t="s">
        <v>570</v>
      </c>
      <c r="AG69">
        <f>Q69*1.43</f>
        <v>4.1612999999999998</v>
      </c>
      <c r="AH69" t="s">
        <v>571</v>
      </c>
    </row>
    <row r="70" spans="2:34" x14ac:dyDescent="0.25">
      <c r="B70" s="82"/>
      <c r="C70" s="83"/>
      <c r="D70" s="82"/>
      <c r="E70" s="82"/>
      <c r="F70" s="6" t="s">
        <v>344</v>
      </c>
      <c r="G70" s="80"/>
      <c r="H70" s="80"/>
      <c r="I70" s="80"/>
      <c r="J70" s="80"/>
      <c r="K70" s="13">
        <v>1.6</v>
      </c>
      <c r="L70" s="83"/>
      <c r="M70" s="6" t="s">
        <v>730</v>
      </c>
      <c r="N70" s="13"/>
      <c r="O70" s="13"/>
    </row>
    <row r="71" spans="2:34" x14ac:dyDescent="0.25">
      <c r="B71" s="82"/>
      <c r="C71" s="83"/>
      <c r="D71" s="82"/>
      <c r="E71" s="82"/>
      <c r="F71" s="86" t="s">
        <v>108</v>
      </c>
      <c r="G71" s="80"/>
      <c r="H71" s="80"/>
      <c r="I71" s="80"/>
      <c r="J71" s="80"/>
      <c r="K71" s="63">
        <f>(SUM(K66:K70)-K69)*30</f>
        <v>66.867282474624005</v>
      </c>
      <c r="L71" s="83"/>
      <c r="M71" t="s">
        <v>727</v>
      </c>
      <c r="N71" s="8" t="s">
        <v>112</v>
      </c>
      <c r="O71" s="8"/>
      <c r="P71" s="8"/>
    </row>
    <row r="72" spans="2:34" x14ac:dyDescent="0.25">
      <c r="B72" s="82"/>
      <c r="C72" s="83"/>
      <c r="D72" s="82"/>
      <c r="E72" s="82"/>
      <c r="F72" s="86"/>
      <c r="G72" s="80"/>
      <c r="H72" s="80"/>
      <c r="I72" s="80"/>
      <c r="J72" s="80"/>
      <c r="K72" s="63">
        <f>SUM(K66:K70)*100</f>
        <v>223.92981158208002</v>
      </c>
      <c r="L72" s="83"/>
      <c r="M72" t="s">
        <v>727</v>
      </c>
      <c r="N72" s="8" t="s">
        <v>111</v>
      </c>
      <c r="O72" s="8"/>
      <c r="P72" s="8"/>
    </row>
    <row r="73" spans="2:34" x14ac:dyDescent="0.25">
      <c r="B73" s="82"/>
      <c r="C73" s="83"/>
      <c r="D73" s="82"/>
      <c r="E73" s="82"/>
      <c r="F73" s="86"/>
      <c r="G73" s="80"/>
      <c r="H73" s="80"/>
      <c r="I73" s="80"/>
      <c r="J73" s="80"/>
      <c r="K73" s="63">
        <f>SUM(K66:K69)-K69</f>
        <v>0.62890941582080007</v>
      </c>
      <c r="L73" s="83"/>
      <c r="M73" t="s">
        <v>728</v>
      </c>
      <c r="N73" s="8" t="s">
        <v>547</v>
      </c>
      <c r="O73" s="8"/>
      <c r="P73" s="23">
        <f>K73*1000</f>
        <v>628.90941582080006</v>
      </c>
    </row>
    <row r="74" spans="2:34" x14ac:dyDescent="0.25">
      <c r="B74" s="21" t="s">
        <v>302</v>
      </c>
      <c r="C74" s="10"/>
      <c r="D74" s="21"/>
      <c r="E74" s="21"/>
      <c r="F74" s="21"/>
      <c r="G74" s="21"/>
      <c r="H74" s="21"/>
      <c r="I74" s="21"/>
      <c r="J74" s="21"/>
      <c r="K74" s="21"/>
      <c r="L74" s="42"/>
      <c r="M74" s="21"/>
      <c r="N74" s="21"/>
      <c r="O74" s="21"/>
    </row>
    <row r="75" spans="2:34" x14ac:dyDescent="0.25">
      <c r="B75" s="82" t="s">
        <v>308</v>
      </c>
      <c r="C75" s="83">
        <v>1</v>
      </c>
      <c r="D75" s="80" t="s">
        <v>339</v>
      </c>
      <c r="E75" s="82" t="s">
        <v>336</v>
      </c>
      <c r="F75" s="6" t="s">
        <v>347</v>
      </c>
      <c r="G75" s="80">
        <v>1</v>
      </c>
      <c r="H75" s="80" t="s">
        <v>62</v>
      </c>
      <c r="I75" s="80" t="s">
        <v>110</v>
      </c>
      <c r="J75" s="80">
        <v>1</v>
      </c>
      <c r="K75" s="58">
        <f>(Q75+U75+0.7/76.2*(X75*0.3048))/1000</f>
        <v>8.9831000000000008E-3</v>
      </c>
      <c r="L75" s="83" t="s">
        <v>469</v>
      </c>
      <c r="M75" s="8" t="s">
        <v>723</v>
      </c>
      <c r="N75" s="8" t="s">
        <v>531</v>
      </c>
      <c r="O75" s="48" t="s">
        <v>532</v>
      </c>
      <c r="P75" s="25">
        <f t="shared" ref="P75" si="11">K75*1000</f>
        <v>8.9831000000000003</v>
      </c>
      <c r="Q75" s="8">
        <f>5+(8-5)/(300-200)*(225-200)</f>
        <v>5.75</v>
      </c>
      <c r="R75" s="8" t="s">
        <v>543</v>
      </c>
      <c r="S75" s="8"/>
      <c r="T75" s="8"/>
      <c r="U75" s="8">
        <v>3</v>
      </c>
      <c r="V75" s="8" t="s">
        <v>544</v>
      </c>
      <c r="W75" s="8"/>
      <c r="X75" s="8">
        <f>74+(111-74)/(300-200)*(225-200)</f>
        <v>83.25</v>
      </c>
      <c r="Y75" s="8" t="s">
        <v>115</v>
      </c>
      <c r="Z75" s="8"/>
      <c r="AA75" s="8">
        <f>X75*0.3048</f>
        <v>25.374600000000001</v>
      </c>
      <c r="AB75" s="8" t="s">
        <v>116</v>
      </c>
    </row>
    <row r="76" spans="2:34" x14ac:dyDescent="0.25">
      <c r="B76" s="82"/>
      <c r="C76" s="83"/>
      <c r="D76" s="80"/>
      <c r="E76" s="82"/>
      <c r="F76" s="6" t="s">
        <v>348</v>
      </c>
      <c r="G76" s="80"/>
      <c r="H76" s="80"/>
      <c r="I76" s="80"/>
      <c r="J76" s="80"/>
      <c r="K76" s="13">
        <f>((1.1416*U76)+(1.17*Q76))/1000</f>
        <v>5.5839999999999996</v>
      </c>
      <c r="L76" s="83"/>
      <c r="M76" s="6" t="s">
        <v>731</v>
      </c>
      <c r="N76" s="6" t="s">
        <v>577</v>
      </c>
      <c r="O76" s="6" t="s">
        <v>576</v>
      </c>
      <c r="Q76" s="60">
        <f>5/60*10*2800</f>
        <v>2333.333333333333</v>
      </c>
      <c r="R76" s="6" t="s">
        <v>574</v>
      </c>
      <c r="U76">
        <f>5/60*10*3000</f>
        <v>2500</v>
      </c>
      <c r="V76" t="s">
        <v>575</v>
      </c>
      <c r="Y76" t="s">
        <v>578</v>
      </c>
      <c r="AB76" t="s">
        <v>579</v>
      </c>
    </row>
    <row r="77" spans="2:34" x14ac:dyDescent="0.25">
      <c r="B77" s="82"/>
      <c r="C77" s="83"/>
      <c r="D77" s="80"/>
      <c r="E77" s="82"/>
      <c r="F77" s="86" t="s">
        <v>108</v>
      </c>
      <c r="G77" s="80"/>
      <c r="H77" s="80"/>
      <c r="I77" s="80"/>
      <c r="J77" s="80"/>
      <c r="K77" s="63">
        <f>SUM(K75:K76)*30</f>
        <v>167.78949299999999</v>
      </c>
      <c r="L77" s="83"/>
      <c r="M77" t="s">
        <v>727</v>
      </c>
      <c r="N77" s="8" t="s">
        <v>112</v>
      </c>
      <c r="O77" s="8"/>
      <c r="P77" s="8"/>
    </row>
    <row r="78" spans="2:34" x14ac:dyDescent="0.25">
      <c r="B78" s="82"/>
      <c r="C78" s="83"/>
      <c r="D78" s="80"/>
      <c r="E78" s="82"/>
      <c r="F78" s="86"/>
      <c r="G78" s="80"/>
      <c r="H78" s="80"/>
      <c r="I78" s="80"/>
      <c r="J78" s="80"/>
      <c r="K78" s="63">
        <f>SUM(K75:K76)*100</f>
        <v>559.29831000000001</v>
      </c>
      <c r="L78" s="83"/>
      <c r="M78" t="s">
        <v>727</v>
      </c>
      <c r="N78" s="8" t="s">
        <v>111</v>
      </c>
      <c r="O78" s="8"/>
      <c r="P78" s="8"/>
    </row>
    <row r="79" spans="2:34" x14ac:dyDescent="0.25">
      <c r="B79" s="82"/>
      <c r="C79" s="83"/>
      <c r="D79" s="80"/>
      <c r="E79" s="82"/>
      <c r="F79" s="86"/>
      <c r="G79" s="80"/>
      <c r="H79" s="80"/>
      <c r="I79" s="80"/>
      <c r="J79" s="80"/>
      <c r="K79" s="62">
        <f>SUM(K75)</f>
        <v>8.9831000000000008E-3</v>
      </c>
      <c r="L79" s="83"/>
      <c r="M79" t="s">
        <v>728</v>
      </c>
      <c r="N79" s="8" t="s">
        <v>113</v>
      </c>
      <c r="O79" s="8"/>
      <c r="P79" s="23">
        <f>K79*1000</f>
        <v>8.9831000000000003</v>
      </c>
    </row>
    <row r="80" spans="2:34" x14ac:dyDescent="0.25">
      <c r="B80" s="82"/>
      <c r="C80" s="83">
        <v>2</v>
      </c>
      <c r="D80" s="82" t="s">
        <v>340</v>
      </c>
      <c r="E80" s="82" t="s">
        <v>337</v>
      </c>
      <c r="F80" s="15" t="s">
        <v>347</v>
      </c>
      <c r="G80" s="80">
        <v>1</v>
      </c>
      <c r="H80" s="80" t="s">
        <v>62</v>
      </c>
      <c r="I80" s="80" t="s">
        <v>110</v>
      </c>
      <c r="J80" s="80">
        <v>1</v>
      </c>
      <c r="K80" s="58">
        <f>(Q80+U80+0.7/76.2*(X80*0.3048))/1000</f>
        <v>8.9831000000000008E-3</v>
      </c>
      <c r="L80" s="83" t="s">
        <v>470</v>
      </c>
      <c r="M80" s="8" t="s">
        <v>723</v>
      </c>
      <c r="N80" s="8" t="s">
        <v>531</v>
      </c>
      <c r="O80" s="8" t="s">
        <v>532</v>
      </c>
      <c r="P80" s="25">
        <f t="shared" ref="P80" si="12">K80*1000</f>
        <v>8.9831000000000003</v>
      </c>
      <c r="Q80" s="8">
        <f>5+(8-5)/(300-200)*(225-200)</f>
        <v>5.75</v>
      </c>
      <c r="R80" s="8" t="s">
        <v>543</v>
      </c>
      <c r="S80" s="8"/>
      <c r="T80" s="8"/>
      <c r="U80" s="8">
        <v>3</v>
      </c>
      <c r="V80" s="8" t="s">
        <v>544</v>
      </c>
      <c r="W80" s="8"/>
      <c r="X80" s="8">
        <f>74+(111-74)/(300-200)*(225-200)</f>
        <v>83.25</v>
      </c>
      <c r="Y80" s="8" t="s">
        <v>115</v>
      </c>
      <c r="Z80" s="8"/>
      <c r="AA80" s="8">
        <f>X80*0.3048</f>
        <v>25.374600000000001</v>
      </c>
      <c r="AB80" s="8" t="s">
        <v>116</v>
      </c>
    </row>
    <row r="81" spans="2:34" x14ac:dyDescent="0.25">
      <c r="B81" s="82"/>
      <c r="C81" s="83"/>
      <c r="D81" s="82"/>
      <c r="E81" s="82"/>
      <c r="F81" s="15" t="s">
        <v>350</v>
      </c>
      <c r="G81" s="80"/>
      <c r="H81" s="80"/>
      <c r="I81" s="80"/>
      <c r="J81" s="80"/>
      <c r="K81" s="55">
        <f>(Q81+X81+U81*2350)/1000</f>
        <v>0.30572160791040004</v>
      </c>
      <c r="L81" s="83"/>
      <c r="M81" s="6" t="s">
        <v>732</v>
      </c>
      <c r="N81" s="13" t="s">
        <v>563</v>
      </c>
      <c r="O81" s="6" t="s">
        <v>533</v>
      </c>
      <c r="Q81" s="59">
        <f>9.76*20*(0.3048^2)</f>
        <v>18.134673408000001</v>
      </c>
      <c r="R81" t="s">
        <v>573</v>
      </c>
      <c r="U81" s="59">
        <f>20*(0.3048^2)*0.065</f>
        <v>0.120773952</v>
      </c>
      <c r="V81" t="s">
        <v>281</v>
      </c>
      <c r="X81" s="59">
        <f>0.002*(1*1*0.065)*2*7800*(20*(0.3048^2))</f>
        <v>3.7681473024000001</v>
      </c>
      <c r="Y81" t="s">
        <v>558</v>
      </c>
      <c r="AA81" t="s">
        <v>564</v>
      </c>
    </row>
    <row r="82" spans="2:34" x14ac:dyDescent="0.25">
      <c r="B82" s="82"/>
      <c r="C82" s="83"/>
      <c r="D82" s="82"/>
      <c r="E82" s="82"/>
      <c r="F82" s="15" t="s">
        <v>351</v>
      </c>
      <c r="G82" s="80"/>
      <c r="H82" s="80"/>
      <c r="I82" s="80"/>
      <c r="J82" s="80"/>
      <c r="K82" s="13">
        <v>0.8</v>
      </c>
      <c r="L82" s="83"/>
      <c r="M82" s="6" t="s">
        <v>730</v>
      </c>
      <c r="N82" s="13"/>
      <c r="O82" s="6" t="s">
        <v>533</v>
      </c>
    </row>
    <row r="83" spans="2:34" x14ac:dyDescent="0.25">
      <c r="B83" s="82"/>
      <c r="C83" s="83"/>
      <c r="D83" s="82"/>
      <c r="E83" s="82"/>
      <c r="F83" s="15" t="s">
        <v>345</v>
      </c>
      <c r="G83" s="80"/>
      <c r="H83" s="80"/>
      <c r="I83" s="80"/>
      <c r="J83" s="80"/>
      <c r="K83" s="13">
        <v>0</v>
      </c>
      <c r="L83" s="83"/>
      <c r="M83" s="6" t="s">
        <v>80</v>
      </c>
      <c r="N83" s="6" t="s">
        <v>534</v>
      </c>
      <c r="O83" s="13"/>
    </row>
    <row r="84" spans="2:34" x14ac:dyDescent="0.25">
      <c r="B84" s="82"/>
      <c r="C84" s="83"/>
      <c r="D84" s="82"/>
      <c r="E84" s="82"/>
      <c r="F84" s="15" t="s">
        <v>346</v>
      </c>
      <c r="G84" s="80"/>
      <c r="H84" s="80"/>
      <c r="I84" s="80"/>
      <c r="J84" s="80"/>
      <c r="K84" s="55">
        <f>V84/1000</f>
        <v>1.0388700000000001E-2</v>
      </c>
      <c r="L84" s="83"/>
      <c r="M84" s="6" t="s">
        <v>733</v>
      </c>
      <c r="N84" s="13" t="s">
        <v>565</v>
      </c>
      <c r="O84" s="56" t="s">
        <v>568</v>
      </c>
      <c r="Q84">
        <f>(304*2+144*4+863*2)/1000</f>
        <v>2.91</v>
      </c>
      <c r="R84" t="s">
        <v>566</v>
      </c>
      <c r="T84">
        <f>11.7*Q84</f>
        <v>34.046999999999997</v>
      </c>
      <c r="U84" t="s">
        <v>567</v>
      </c>
      <c r="V84">
        <f>3.57*Q84</f>
        <v>10.3887</v>
      </c>
      <c r="W84" t="s">
        <v>569</v>
      </c>
      <c r="AB84">
        <f>0.000065*Q84/1000</f>
        <v>1.8915E-7</v>
      </c>
      <c r="AC84" t="s">
        <v>570</v>
      </c>
      <c r="AG84">
        <f>Q84*1.43</f>
        <v>4.1612999999999998</v>
      </c>
      <c r="AH84" t="s">
        <v>571</v>
      </c>
    </row>
    <row r="85" spans="2:34" x14ac:dyDescent="0.25">
      <c r="B85" s="82"/>
      <c r="C85" s="83"/>
      <c r="D85" s="82"/>
      <c r="E85" s="82"/>
      <c r="F85" s="87" t="s">
        <v>108</v>
      </c>
      <c r="G85" s="80"/>
      <c r="H85" s="80"/>
      <c r="I85" s="80"/>
      <c r="J85" s="80"/>
      <c r="K85" s="63">
        <f>SUM(K80:K83)*30</f>
        <v>33.44114123731201</v>
      </c>
      <c r="L85" s="83"/>
      <c r="M85" t="s">
        <v>727</v>
      </c>
      <c r="N85" s="8" t="s">
        <v>112</v>
      </c>
      <c r="O85" s="8"/>
      <c r="P85" s="8"/>
    </row>
    <row r="86" spans="2:34" x14ac:dyDescent="0.25">
      <c r="B86" s="82"/>
      <c r="C86" s="83"/>
      <c r="D86" s="82"/>
      <c r="E86" s="82"/>
      <c r="F86" s="87"/>
      <c r="G86" s="80"/>
      <c r="H86" s="80"/>
      <c r="I86" s="80"/>
      <c r="J86" s="80"/>
      <c r="K86" s="63">
        <f>SUM(K80:K84)*100</f>
        <v>112.50934079104002</v>
      </c>
      <c r="L86" s="83"/>
      <c r="M86" t="s">
        <v>727</v>
      </c>
      <c r="N86" s="8" t="s">
        <v>111</v>
      </c>
      <c r="O86" s="8"/>
      <c r="P86" s="8"/>
    </row>
    <row r="87" spans="2:34" x14ac:dyDescent="0.25">
      <c r="B87" s="82"/>
      <c r="C87" s="83"/>
      <c r="D87" s="82"/>
      <c r="E87" s="82"/>
      <c r="F87" s="87"/>
      <c r="G87" s="80"/>
      <c r="H87" s="80"/>
      <c r="I87" s="80"/>
      <c r="J87" s="80"/>
      <c r="K87" s="63">
        <f>SUM(K80:K83)-K82</f>
        <v>0.31470470791040017</v>
      </c>
      <c r="L87" s="83"/>
      <c r="M87" t="s">
        <v>728</v>
      </c>
      <c r="N87" s="8" t="s">
        <v>547</v>
      </c>
      <c r="O87" s="8"/>
      <c r="P87" s="23">
        <f>K87*1000</f>
        <v>314.70470791040015</v>
      </c>
    </row>
    <row r="88" spans="2:34" x14ac:dyDescent="0.25">
      <c r="B88" s="82"/>
      <c r="C88" s="83">
        <v>3</v>
      </c>
      <c r="D88" s="82" t="s">
        <v>341</v>
      </c>
      <c r="E88" s="82" t="s">
        <v>338</v>
      </c>
      <c r="F88" s="6" t="s">
        <v>347</v>
      </c>
      <c r="G88" s="80">
        <v>1</v>
      </c>
      <c r="H88" s="80" t="s">
        <v>62</v>
      </c>
      <c r="I88" s="80" t="s">
        <v>110</v>
      </c>
      <c r="J88" s="80">
        <v>1</v>
      </c>
      <c r="K88" s="58">
        <f>(Q88+U88+0.7/76.2*(X88*0.3048))/1000</f>
        <v>8.9831000000000008E-3</v>
      </c>
      <c r="L88" s="83" t="s">
        <v>471</v>
      </c>
      <c r="M88" s="8" t="s">
        <v>723</v>
      </c>
      <c r="N88" s="8" t="s">
        <v>531</v>
      </c>
      <c r="O88" s="8" t="s">
        <v>532</v>
      </c>
      <c r="P88" s="25">
        <f t="shared" ref="P88" si="13">K88*1000</f>
        <v>8.9831000000000003</v>
      </c>
      <c r="Q88" s="8">
        <f>5+(8-5)/(300-200)*(225-200)</f>
        <v>5.75</v>
      </c>
      <c r="R88" s="8" t="s">
        <v>543</v>
      </c>
      <c r="S88" s="8"/>
      <c r="T88" s="8"/>
      <c r="U88" s="8">
        <v>3</v>
      </c>
      <c r="V88" s="8" t="s">
        <v>544</v>
      </c>
      <c r="W88" s="8"/>
      <c r="X88" s="8">
        <f>74+(111-74)/(300-200)*(225-200)</f>
        <v>83.25</v>
      </c>
      <c r="Y88" s="8" t="s">
        <v>115</v>
      </c>
      <c r="Z88" s="8"/>
      <c r="AA88" s="8">
        <f>X88*0.3048</f>
        <v>25.374600000000001</v>
      </c>
      <c r="AB88" s="8" t="s">
        <v>116</v>
      </c>
    </row>
    <row r="89" spans="2:34" x14ac:dyDescent="0.25">
      <c r="B89" s="82"/>
      <c r="C89" s="83"/>
      <c r="D89" s="82"/>
      <c r="E89" s="82"/>
      <c r="F89" s="6" t="s">
        <v>350</v>
      </c>
      <c r="G89" s="80"/>
      <c r="H89" s="80"/>
      <c r="I89" s="80"/>
      <c r="J89" s="80"/>
      <c r="K89" s="55">
        <f>(Q89+X89+U89*2350)/1000</f>
        <v>0.30572160791040004</v>
      </c>
      <c r="L89" s="83"/>
      <c r="M89" s="6" t="s">
        <v>732</v>
      </c>
      <c r="N89" s="13" t="s">
        <v>563</v>
      </c>
      <c r="O89" s="6" t="s">
        <v>533</v>
      </c>
      <c r="Q89" s="59">
        <f>9.76*20*(0.3048^2)</f>
        <v>18.134673408000001</v>
      </c>
      <c r="R89" t="s">
        <v>573</v>
      </c>
      <c r="U89" s="59">
        <f>20*(0.3048^2)*0.065</f>
        <v>0.120773952</v>
      </c>
      <c r="V89" t="s">
        <v>281</v>
      </c>
      <c r="X89" s="59">
        <f>0.002*(1*1*0.065)*2*7800*(20*(0.3048^2))</f>
        <v>3.7681473024000001</v>
      </c>
      <c r="Y89" t="s">
        <v>558</v>
      </c>
      <c r="AA89" t="s">
        <v>564</v>
      </c>
    </row>
    <row r="90" spans="2:34" x14ac:dyDescent="0.25">
      <c r="B90" s="82"/>
      <c r="C90" s="83"/>
      <c r="D90" s="82"/>
      <c r="E90" s="82"/>
      <c r="F90" s="6" t="s">
        <v>345</v>
      </c>
      <c r="G90" s="80"/>
      <c r="H90" s="80"/>
      <c r="I90" s="80"/>
      <c r="J90" s="80"/>
      <c r="K90" s="13">
        <v>0</v>
      </c>
      <c r="L90" s="83"/>
      <c r="M90" s="6" t="s">
        <v>80</v>
      </c>
      <c r="N90" s="6" t="s">
        <v>534</v>
      </c>
      <c r="O90" s="13"/>
    </row>
    <row r="91" spans="2:34" x14ac:dyDescent="0.25">
      <c r="B91" s="82"/>
      <c r="C91" s="83"/>
      <c r="D91" s="82"/>
      <c r="E91" s="82"/>
      <c r="F91" s="6" t="s">
        <v>346</v>
      </c>
      <c r="G91" s="80"/>
      <c r="H91" s="80"/>
      <c r="I91" s="80"/>
      <c r="J91" s="80"/>
      <c r="K91" s="55">
        <f>V91/1000</f>
        <v>1.0388700000000001E-2</v>
      </c>
      <c r="L91" s="83"/>
      <c r="M91" s="6" t="s">
        <v>733</v>
      </c>
      <c r="N91" s="13" t="s">
        <v>565</v>
      </c>
      <c r="O91" s="56" t="s">
        <v>568</v>
      </c>
      <c r="Q91">
        <f>(304*2+144*4+863*2)/1000</f>
        <v>2.91</v>
      </c>
      <c r="R91" t="s">
        <v>566</v>
      </c>
      <c r="T91">
        <f>11.7*Q91</f>
        <v>34.046999999999997</v>
      </c>
      <c r="U91" t="s">
        <v>567</v>
      </c>
      <c r="V91">
        <f>3.57*Q91</f>
        <v>10.3887</v>
      </c>
      <c r="W91" t="s">
        <v>569</v>
      </c>
      <c r="AB91">
        <f>0.000065*Q91/1000</f>
        <v>1.8915E-7</v>
      </c>
      <c r="AC91" t="s">
        <v>570</v>
      </c>
      <c r="AG91">
        <f>Q91*1.43</f>
        <v>4.1612999999999998</v>
      </c>
      <c r="AH91" t="s">
        <v>571</v>
      </c>
    </row>
    <row r="92" spans="2:34" x14ac:dyDescent="0.25">
      <c r="B92" s="82"/>
      <c r="C92" s="83"/>
      <c r="D92" s="82"/>
      <c r="E92" s="82"/>
      <c r="F92" s="6" t="s">
        <v>351</v>
      </c>
      <c r="G92" s="80"/>
      <c r="H92" s="80"/>
      <c r="I92" s="80"/>
      <c r="J92" s="80"/>
      <c r="K92" s="13">
        <v>0.8</v>
      </c>
      <c r="L92" s="83"/>
      <c r="M92" s="6" t="s">
        <v>730</v>
      </c>
      <c r="N92" s="13"/>
      <c r="O92" s="6" t="s">
        <v>533</v>
      </c>
    </row>
    <row r="93" spans="2:34" x14ac:dyDescent="0.25">
      <c r="B93" s="82"/>
      <c r="C93" s="83"/>
      <c r="D93" s="82"/>
      <c r="E93" s="82"/>
      <c r="F93" s="86" t="s">
        <v>108</v>
      </c>
      <c r="G93" s="80"/>
      <c r="H93" s="80"/>
      <c r="I93" s="80"/>
      <c r="J93" s="80"/>
      <c r="K93" s="63">
        <f>(SUM(K88:K92)-K91)*30</f>
        <v>33.44114123731201</v>
      </c>
      <c r="L93" s="83"/>
      <c r="M93" t="s">
        <v>727</v>
      </c>
      <c r="N93" s="8" t="s">
        <v>112</v>
      </c>
      <c r="O93" s="8"/>
      <c r="P93" s="8"/>
    </row>
    <row r="94" spans="2:34" x14ac:dyDescent="0.25">
      <c r="B94" s="82"/>
      <c r="C94" s="83"/>
      <c r="D94" s="82"/>
      <c r="E94" s="82"/>
      <c r="F94" s="86"/>
      <c r="G94" s="80"/>
      <c r="H94" s="80"/>
      <c r="I94" s="80"/>
      <c r="J94" s="80"/>
      <c r="K94" s="63">
        <f>SUM(K88:K92)*100</f>
        <v>112.50934079104002</v>
      </c>
      <c r="L94" s="83"/>
      <c r="M94" t="s">
        <v>727</v>
      </c>
      <c r="N94" s="8" t="s">
        <v>111</v>
      </c>
      <c r="O94" s="8"/>
      <c r="P94" s="8"/>
    </row>
    <row r="95" spans="2:34" x14ac:dyDescent="0.25">
      <c r="B95" s="82"/>
      <c r="C95" s="83"/>
      <c r="D95" s="82"/>
      <c r="E95" s="82"/>
      <c r="F95" s="86"/>
      <c r="G95" s="80"/>
      <c r="H95" s="80"/>
      <c r="I95" s="80"/>
      <c r="J95" s="80"/>
      <c r="K95" s="63">
        <f>SUM(K88:K90)</f>
        <v>0.31470470791040006</v>
      </c>
      <c r="L95" s="83"/>
      <c r="M95" t="s">
        <v>728</v>
      </c>
      <c r="N95" s="8" t="s">
        <v>547</v>
      </c>
      <c r="O95" s="8"/>
      <c r="P95" s="23">
        <f>K95*1000</f>
        <v>314.70470791040009</v>
      </c>
    </row>
    <row r="96" spans="2:34" x14ac:dyDescent="0.25">
      <c r="B96" s="21" t="s">
        <v>303</v>
      </c>
      <c r="C96" s="10"/>
      <c r="D96" s="21"/>
      <c r="E96" s="21"/>
      <c r="F96" s="21"/>
      <c r="G96" s="21"/>
      <c r="H96" s="21"/>
      <c r="I96" s="21"/>
      <c r="J96" s="21"/>
      <c r="K96" s="21"/>
      <c r="L96" s="42"/>
      <c r="M96" s="21"/>
      <c r="N96" s="21"/>
      <c r="O96" s="21"/>
    </row>
    <row r="97" spans="2:34" x14ac:dyDescent="0.25">
      <c r="B97" s="82" t="s">
        <v>309</v>
      </c>
      <c r="C97" s="83">
        <v>1</v>
      </c>
      <c r="D97" s="82" t="s">
        <v>339</v>
      </c>
      <c r="E97" s="82" t="s">
        <v>336</v>
      </c>
      <c r="F97" s="6" t="s">
        <v>342</v>
      </c>
      <c r="G97" s="80">
        <v>1</v>
      </c>
      <c r="H97" s="80" t="s">
        <v>62</v>
      </c>
      <c r="I97" s="80" t="s">
        <v>110</v>
      </c>
      <c r="J97" s="80">
        <v>1</v>
      </c>
      <c r="K97" s="58">
        <f>(Q97+U97+0.7/76.2*(X97*0.3048))/1000</f>
        <v>1.7466200000000001E-2</v>
      </c>
      <c r="L97" s="83" t="s">
        <v>472</v>
      </c>
      <c r="M97" s="8" t="s">
        <v>723</v>
      </c>
      <c r="N97" s="8" t="s">
        <v>531</v>
      </c>
      <c r="O97" s="8" t="s">
        <v>532</v>
      </c>
      <c r="P97" s="25">
        <f t="shared" ref="P97" si="14">K97*1000</f>
        <v>17.466200000000001</v>
      </c>
      <c r="Q97" s="8">
        <f>10+(12-10)/(500-400)*(450-400)</f>
        <v>11</v>
      </c>
      <c r="R97" s="8" t="s">
        <v>543</v>
      </c>
      <c r="S97" s="8"/>
      <c r="T97" s="8"/>
      <c r="U97" s="8">
        <f>5+(7-5)/(500-400)*(450-400)</f>
        <v>6</v>
      </c>
      <c r="V97" s="8" t="s">
        <v>544</v>
      </c>
      <c r="W97" s="8"/>
      <c r="X97" s="8">
        <f>148+(185-148)/(500-400)*(450-400)</f>
        <v>166.5</v>
      </c>
      <c r="Y97" s="8" t="s">
        <v>115</v>
      </c>
      <c r="Z97" s="8"/>
      <c r="AA97" s="8">
        <f>X97*0.3048</f>
        <v>50.749200000000002</v>
      </c>
      <c r="AB97" s="8" t="s">
        <v>116</v>
      </c>
    </row>
    <row r="98" spans="2:34" x14ac:dyDescent="0.25">
      <c r="B98" s="82"/>
      <c r="C98" s="83"/>
      <c r="D98" s="82"/>
      <c r="E98" s="82"/>
      <c r="F98" s="6" t="s">
        <v>349</v>
      </c>
      <c r="G98" s="80"/>
      <c r="H98" s="80"/>
      <c r="I98" s="80"/>
      <c r="J98" s="80"/>
      <c r="K98" s="13">
        <f>((1.1416*U98)+(1.17*Q98))/1000</f>
        <v>5.5839999999999996</v>
      </c>
      <c r="L98" s="83"/>
      <c r="M98" s="6" t="s">
        <v>731</v>
      </c>
      <c r="N98" s="6" t="s">
        <v>577</v>
      </c>
      <c r="O98" s="6" t="s">
        <v>576</v>
      </c>
      <c r="Q98" s="60">
        <f>5/60*10*2800</f>
        <v>2333.333333333333</v>
      </c>
      <c r="R98" s="6" t="s">
        <v>574</v>
      </c>
      <c r="U98">
        <f>5/60*10*3000</f>
        <v>2500</v>
      </c>
      <c r="V98" t="s">
        <v>575</v>
      </c>
      <c r="Y98" t="s">
        <v>578</v>
      </c>
      <c r="AB98" t="s">
        <v>579</v>
      </c>
    </row>
    <row r="99" spans="2:34" x14ac:dyDescent="0.25">
      <c r="B99" s="82"/>
      <c r="C99" s="83"/>
      <c r="D99" s="82"/>
      <c r="E99" s="82"/>
      <c r="F99" s="86" t="s">
        <v>108</v>
      </c>
      <c r="G99" s="80"/>
      <c r="H99" s="80"/>
      <c r="I99" s="80"/>
      <c r="J99" s="80"/>
      <c r="K99" s="63">
        <f>SUM(K97:K98)*30</f>
        <v>168.04398599999999</v>
      </c>
      <c r="L99" s="83"/>
      <c r="M99" t="s">
        <v>727</v>
      </c>
      <c r="N99" s="8" t="s">
        <v>112</v>
      </c>
      <c r="O99" s="8"/>
      <c r="P99" s="8"/>
    </row>
    <row r="100" spans="2:34" x14ac:dyDescent="0.25">
      <c r="B100" s="82"/>
      <c r="C100" s="83"/>
      <c r="D100" s="82"/>
      <c r="E100" s="82"/>
      <c r="F100" s="86"/>
      <c r="G100" s="80"/>
      <c r="H100" s="80"/>
      <c r="I100" s="80"/>
      <c r="J100" s="80"/>
      <c r="K100" s="63">
        <f>SUM(K97:K98)*100</f>
        <v>560.14661999999998</v>
      </c>
      <c r="L100" s="83"/>
      <c r="M100" t="s">
        <v>727</v>
      </c>
      <c r="N100" s="8" t="s">
        <v>111</v>
      </c>
      <c r="O100" s="8"/>
      <c r="P100" s="8"/>
    </row>
    <row r="101" spans="2:34" x14ac:dyDescent="0.25">
      <c r="B101" s="82"/>
      <c r="C101" s="83"/>
      <c r="D101" s="82"/>
      <c r="E101" s="82"/>
      <c r="F101" s="86"/>
      <c r="G101" s="80"/>
      <c r="H101" s="80"/>
      <c r="I101" s="80"/>
      <c r="J101" s="80"/>
      <c r="K101" s="62">
        <f>SUM(K97)</f>
        <v>1.7466200000000001E-2</v>
      </c>
      <c r="L101" s="83"/>
      <c r="M101" t="s">
        <v>728</v>
      </c>
      <c r="N101" s="8" t="s">
        <v>113</v>
      </c>
      <c r="O101" s="8"/>
      <c r="P101" s="23">
        <f>K101*1000</f>
        <v>17.466200000000001</v>
      </c>
    </row>
    <row r="102" spans="2:34" x14ac:dyDescent="0.25">
      <c r="B102" s="82"/>
      <c r="C102" s="83">
        <v>2</v>
      </c>
      <c r="D102" s="82" t="s">
        <v>340</v>
      </c>
      <c r="E102" s="82" t="s">
        <v>337</v>
      </c>
      <c r="F102" s="15" t="s">
        <v>342</v>
      </c>
      <c r="G102" s="80">
        <v>1</v>
      </c>
      <c r="H102" s="80" t="s">
        <v>62</v>
      </c>
      <c r="I102" s="80" t="s">
        <v>110</v>
      </c>
      <c r="J102" s="80">
        <v>1</v>
      </c>
      <c r="K102" s="58">
        <f>(Q102+U102+0.7/76.2*(X102*0.3048))/1000</f>
        <v>1.7466200000000001E-2</v>
      </c>
      <c r="L102" s="83" t="s">
        <v>473</v>
      </c>
      <c r="M102" s="8" t="s">
        <v>723</v>
      </c>
      <c r="N102" s="8" t="s">
        <v>531</v>
      </c>
      <c r="O102" s="8" t="s">
        <v>532</v>
      </c>
      <c r="P102" s="25">
        <f t="shared" ref="P102" si="15">K102*1000</f>
        <v>17.466200000000001</v>
      </c>
      <c r="Q102" s="8">
        <f>10+(12-10)/(500-400)*(450-400)</f>
        <v>11</v>
      </c>
      <c r="R102" s="8" t="s">
        <v>543</v>
      </c>
      <c r="S102" s="8"/>
      <c r="T102" s="8"/>
      <c r="U102" s="8">
        <f>5+(7-5)/(500-400)*(450-400)</f>
        <v>6</v>
      </c>
      <c r="V102" s="8" t="s">
        <v>544</v>
      </c>
      <c r="W102" s="8"/>
      <c r="X102" s="8">
        <f>148+(185-148)/(500-400)*(450-400)</f>
        <v>166.5</v>
      </c>
      <c r="Y102" s="8" t="s">
        <v>115</v>
      </c>
      <c r="Z102" s="8"/>
      <c r="AA102" s="8">
        <f>X102*0.3048</f>
        <v>50.749200000000002</v>
      </c>
      <c r="AB102" s="8" t="s">
        <v>116</v>
      </c>
    </row>
    <row r="103" spans="2:34" x14ac:dyDescent="0.25">
      <c r="B103" s="82"/>
      <c r="C103" s="83"/>
      <c r="D103" s="82"/>
      <c r="E103" s="82"/>
      <c r="F103" s="15" t="s">
        <v>343</v>
      </c>
      <c r="G103" s="80"/>
      <c r="H103" s="80"/>
      <c r="I103" s="80"/>
      <c r="J103" s="80"/>
      <c r="K103" s="55">
        <f>(Q103+X103+U103*2350)/1000</f>
        <v>0.61144321582080008</v>
      </c>
      <c r="L103" s="83"/>
      <c r="M103" s="6" t="s">
        <v>732</v>
      </c>
      <c r="N103" s="13" t="s">
        <v>563</v>
      </c>
      <c r="O103" s="6" t="s">
        <v>533</v>
      </c>
      <c r="Q103" s="59">
        <f>9.76*40*(0.3048^2)</f>
        <v>36.269346816000002</v>
      </c>
      <c r="R103" t="s">
        <v>573</v>
      </c>
      <c r="U103" s="59">
        <f>40*(0.3048^2)*0.065</f>
        <v>0.24154790400000001</v>
      </c>
      <c r="V103" t="s">
        <v>281</v>
      </c>
      <c r="X103" s="59">
        <f>0.002*(1*1*0.065)*2*7800*(40*(0.3048^2))</f>
        <v>7.5362946048000001</v>
      </c>
      <c r="Y103" t="s">
        <v>558</v>
      </c>
      <c r="AA103" t="s">
        <v>564</v>
      </c>
    </row>
    <row r="104" spans="2:34" x14ac:dyDescent="0.25">
      <c r="B104" s="82"/>
      <c r="C104" s="83"/>
      <c r="D104" s="82"/>
      <c r="E104" s="82"/>
      <c r="F104" s="15" t="s">
        <v>352</v>
      </c>
      <c r="G104" s="80"/>
      <c r="H104" s="80"/>
      <c r="I104" s="80"/>
      <c r="J104" s="80"/>
      <c r="K104" s="13">
        <v>1</v>
      </c>
      <c r="L104" s="83"/>
      <c r="M104" s="6" t="s">
        <v>730</v>
      </c>
      <c r="N104" s="13"/>
      <c r="O104" s="6" t="s">
        <v>533</v>
      </c>
    </row>
    <row r="105" spans="2:34" x14ac:dyDescent="0.25">
      <c r="B105" s="82"/>
      <c r="C105" s="83"/>
      <c r="D105" s="82"/>
      <c r="E105" s="82"/>
      <c r="F105" s="15" t="s">
        <v>345</v>
      </c>
      <c r="G105" s="80"/>
      <c r="H105" s="80"/>
      <c r="I105" s="80"/>
      <c r="J105" s="80"/>
      <c r="K105" s="13">
        <v>0</v>
      </c>
      <c r="L105" s="83"/>
      <c r="M105" s="6" t="s">
        <v>80</v>
      </c>
      <c r="N105" s="6" t="s">
        <v>534</v>
      </c>
      <c r="O105" s="13"/>
    </row>
    <row r="106" spans="2:34" x14ac:dyDescent="0.25">
      <c r="B106" s="82"/>
      <c r="C106" s="83"/>
      <c r="D106" s="82"/>
      <c r="E106" s="82"/>
      <c r="F106" s="15" t="s">
        <v>346</v>
      </c>
      <c r="G106" s="80"/>
      <c r="H106" s="80"/>
      <c r="I106" s="80"/>
      <c r="J106" s="80"/>
      <c r="K106" s="55">
        <f>V106/1000</f>
        <v>8.168159999999999E-3</v>
      </c>
      <c r="L106" s="83"/>
      <c r="M106" s="6" t="s">
        <v>733</v>
      </c>
      <c r="N106" s="13" t="s">
        <v>572</v>
      </c>
      <c r="O106" s="56" t="s">
        <v>568</v>
      </c>
      <c r="Q106">
        <f>(256*2+121*4+646*2)/1000</f>
        <v>2.2879999999999998</v>
      </c>
      <c r="R106" t="s">
        <v>566</v>
      </c>
      <c r="T106">
        <f>11.7*Q106</f>
        <v>26.769599999999997</v>
      </c>
      <c r="U106" t="s">
        <v>567</v>
      </c>
      <c r="V106">
        <f>3.57*Q106</f>
        <v>8.1681599999999985</v>
      </c>
      <c r="W106" t="s">
        <v>569</v>
      </c>
      <c r="AB106">
        <f>0.000065*Q106/1000</f>
        <v>1.4871999999999997E-7</v>
      </c>
      <c r="AC106" t="s">
        <v>570</v>
      </c>
      <c r="AG106">
        <f>Q106*1.43</f>
        <v>3.2718399999999996</v>
      </c>
      <c r="AH106" t="s">
        <v>571</v>
      </c>
    </row>
    <row r="107" spans="2:34" x14ac:dyDescent="0.25">
      <c r="B107" s="82"/>
      <c r="C107" s="83"/>
      <c r="D107" s="82"/>
      <c r="E107" s="82"/>
      <c r="F107" s="87" t="s">
        <v>108</v>
      </c>
      <c r="G107" s="80"/>
      <c r="H107" s="80"/>
      <c r="I107" s="80"/>
      <c r="J107" s="80"/>
      <c r="K107" s="63">
        <f>SUM(K102:K105)*30</f>
        <v>48.867282474624005</v>
      </c>
      <c r="L107" s="83"/>
      <c r="M107" t="s">
        <v>727</v>
      </c>
      <c r="N107" s="8" t="s">
        <v>112</v>
      </c>
      <c r="O107" s="8"/>
      <c r="P107" s="8"/>
    </row>
    <row r="108" spans="2:34" x14ac:dyDescent="0.25">
      <c r="B108" s="82"/>
      <c r="C108" s="83"/>
      <c r="D108" s="82"/>
      <c r="E108" s="82"/>
      <c r="F108" s="87"/>
      <c r="G108" s="80"/>
      <c r="H108" s="80"/>
      <c r="I108" s="80"/>
      <c r="J108" s="80"/>
      <c r="K108" s="63">
        <f>SUM(K102:K106)*100</f>
        <v>163.70775758208003</v>
      </c>
      <c r="L108" s="83"/>
      <c r="M108" t="s">
        <v>727</v>
      </c>
      <c r="N108" s="8" t="s">
        <v>111</v>
      </c>
      <c r="O108" s="8"/>
      <c r="P108" s="8"/>
    </row>
    <row r="109" spans="2:34" x14ac:dyDescent="0.25">
      <c r="B109" s="82"/>
      <c r="C109" s="83"/>
      <c r="D109" s="82"/>
      <c r="E109" s="82"/>
      <c r="F109" s="87"/>
      <c r="G109" s="80"/>
      <c r="H109" s="80"/>
      <c r="I109" s="80"/>
      <c r="J109" s="80"/>
      <c r="K109" s="63">
        <f>SUM(K102:K105)-K104</f>
        <v>0.62890941582080018</v>
      </c>
      <c r="L109" s="83"/>
      <c r="M109" t="s">
        <v>728</v>
      </c>
      <c r="N109" s="8" t="s">
        <v>547</v>
      </c>
      <c r="O109" s="8"/>
      <c r="P109" s="23">
        <f>K109*1000</f>
        <v>628.90941582080018</v>
      </c>
    </row>
    <row r="110" spans="2:34" x14ac:dyDescent="0.25">
      <c r="B110" s="82"/>
      <c r="C110" s="83">
        <v>3</v>
      </c>
      <c r="D110" s="82" t="s">
        <v>341</v>
      </c>
      <c r="E110" s="82" t="s">
        <v>338</v>
      </c>
      <c r="F110" s="6" t="s">
        <v>342</v>
      </c>
      <c r="G110" s="80">
        <v>1</v>
      </c>
      <c r="H110" s="80" t="s">
        <v>62</v>
      </c>
      <c r="I110" s="80" t="s">
        <v>110</v>
      </c>
      <c r="J110" s="80">
        <v>1</v>
      </c>
      <c r="K110" s="58">
        <f>(Q110+U110+0.7/76.2*(X110*0.3048))/1000</f>
        <v>1.7466200000000001E-2</v>
      </c>
      <c r="L110" s="83" t="s">
        <v>474</v>
      </c>
      <c r="M110" s="8" t="s">
        <v>723</v>
      </c>
      <c r="N110" s="8" t="s">
        <v>531</v>
      </c>
      <c r="O110" s="8" t="s">
        <v>532</v>
      </c>
      <c r="P110" s="25">
        <f t="shared" ref="P110" si="16">K110*1000</f>
        <v>17.466200000000001</v>
      </c>
      <c r="Q110" s="8">
        <f>10+(12-10)/(500-400)*(450-400)</f>
        <v>11</v>
      </c>
      <c r="R110" s="8" t="s">
        <v>543</v>
      </c>
      <c r="S110" s="8"/>
      <c r="T110" s="8"/>
      <c r="U110" s="8">
        <f>5+(7-5)/(500-400)*(450-400)</f>
        <v>6</v>
      </c>
      <c r="V110" s="8" t="s">
        <v>544</v>
      </c>
      <c r="W110" s="8"/>
      <c r="X110" s="8">
        <f>148+(185-148)/(500-400)*(450-400)</f>
        <v>166.5</v>
      </c>
      <c r="Y110" s="8" t="s">
        <v>115</v>
      </c>
      <c r="Z110" s="8"/>
      <c r="AA110" s="8">
        <f>X110*0.3048</f>
        <v>50.749200000000002</v>
      </c>
      <c r="AB110" s="8" t="s">
        <v>116</v>
      </c>
    </row>
    <row r="111" spans="2:34" x14ac:dyDescent="0.25">
      <c r="B111" s="82"/>
      <c r="C111" s="83"/>
      <c r="D111" s="82"/>
      <c r="E111" s="82"/>
      <c r="F111" s="6" t="s">
        <v>343</v>
      </c>
      <c r="G111" s="80"/>
      <c r="H111" s="80"/>
      <c r="I111" s="80"/>
      <c r="J111" s="80"/>
      <c r="K111" s="55">
        <f>(Q111+X111+U111*2350)/1000</f>
        <v>0.61144321582080008</v>
      </c>
      <c r="L111" s="83"/>
      <c r="M111" s="6" t="s">
        <v>732</v>
      </c>
      <c r="N111" s="13" t="s">
        <v>563</v>
      </c>
      <c r="O111" s="6" t="s">
        <v>533</v>
      </c>
      <c r="Q111" s="59">
        <f>9.76*40*(0.3048^2)</f>
        <v>36.269346816000002</v>
      </c>
      <c r="R111" t="s">
        <v>573</v>
      </c>
      <c r="U111" s="59">
        <f>40*(0.3048^2)*0.065</f>
        <v>0.24154790400000001</v>
      </c>
      <c r="V111" t="s">
        <v>281</v>
      </c>
      <c r="X111" s="59">
        <f>0.002*(1*1*0.065)*2*7800*(40*(0.3048^2))</f>
        <v>7.5362946048000001</v>
      </c>
      <c r="Y111" t="s">
        <v>558</v>
      </c>
      <c r="AA111" t="s">
        <v>564</v>
      </c>
    </row>
    <row r="112" spans="2:34" x14ac:dyDescent="0.25">
      <c r="B112" s="82"/>
      <c r="C112" s="83"/>
      <c r="D112" s="82"/>
      <c r="E112" s="82"/>
      <c r="F112" s="6" t="s">
        <v>352</v>
      </c>
      <c r="G112" s="80"/>
      <c r="H112" s="80"/>
      <c r="I112" s="80"/>
      <c r="J112" s="80"/>
      <c r="K112" s="13">
        <v>1</v>
      </c>
      <c r="L112" s="83"/>
      <c r="M112" s="6" t="s">
        <v>730</v>
      </c>
      <c r="N112" s="13"/>
      <c r="O112" s="6" t="s">
        <v>533</v>
      </c>
    </row>
    <row r="113" spans="2:34" x14ac:dyDescent="0.25">
      <c r="B113" s="82"/>
      <c r="C113" s="83"/>
      <c r="D113" s="82"/>
      <c r="E113" s="82"/>
      <c r="F113" s="6" t="s">
        <v>345</v>
      </c>
      <c r="G113" s="80"/>
      <c r="H113" s="80"/>
      <c r="I113" s="80"/>
      <c r="J113" s="80"/>
      <c r="K113" s="13">
        <v>0</v>
      </c>
      <c r="L113" s="83"/>
      <c r="M113" s="6" t="s">
        <v>80</v>
      </c>
      <c r="N113" s="6" t="s">
        <v>534</v>
      </c>
      <c r="O113" s="13"/>
    </row>
    <row r="114" spans="2:34" x14ac:dyDescent="0.25">
      <c r="B114" s="82"/>
      <c r="C114" s="83"/>
      <c r="D114" s="82"/>
      <c r="E114" s="82"/>
      <c r="F114" s="6" t="s">
        <v>346</v>
      </c>
      <c r="G114" s="80"/>
      <c r="H114" s="80"/>
      <c r="I114" s="80"/>
      <c r="J114" s="80"/>
      <c r="K114" s="55">
        <f>V114/1000</f>
        <v>8.168159999999999E-3</v>
      </c>
      <c r="L114" s="83"/>
      <c r="M114" s="6" t="s">
        <v>733</v>
      </c>
      <c r="N114" s="13" t="s">
        <v>572</v>
      </c>
      <c r="O114" s="56" t="s">
        <v>568</v>
      </c>
      <c r="Q114">
        <f>(256*2+121*4+646*2)/1000</f>
        <v>2.2879999999999998</v>
      </c>
      <c r="R114" t="s">
        <v>566</v>
      </c>
      <c r="T114">
        <f>11.7*Q114</f>
        <v>26.769599999999997</v>
      </c>
      <c r="U114" t="s">
        <v>567</v>
      </c>
      <c r="V114">
        <f>3.57*Q114</f>
        <v>8.1681599999999985</v>
      </c>
      <c r="W114" t="s">
        <v>569</v>
      </c>
      <c r="AB114">
        <f>0.000065*Q114/1000</f>
        <v>1.4871999999999997E-7</v>
      </c>
      <c r="AC114" t="s">
        <v>570</v>
      </c>
      <c r="AG114">
        <f>Q114*1.43</f>
        <v>3.2718399999999996</v>
      </c>
      <c r="AH114" t="s">
        <v>571</v>
      </c>
    </row>
    <row r="115" spans="2:34" x14ac:dyDescent="0.25">
      <c r="B115" s="82"/>
      <c r="C115" s="83"/>
      <c r="D115" s="82"/>
      <c r="E115" s="82"/>
      <c r="F115" s="86" t="s">
        <v>108</v>
      </c>
      <c r="G115" s="80"/>
      <c r="H115" s="80"/>
      <c r="I115" s="80"/>
      <c r="J115" s="80"/>
      <c r="K115" s="63">
        <f>SUM(K110:K113)*30</f>
        <v>48.867282474624005</v>
      </c>
      <c r="L115" s="83"/>
      <c r="M115" t="s">
        <v>727</v>
      </c>
      <c r="N115" s="8" t="s">
        <v>112</v>
      </c>
      <c r="O115" s="8"/>
      <c r="P115" s="8"/>
    </row>
    <row r="116" spans="2:34" x14ac:dyDescent="0.25">
      <c r="B116" s="82"/>
      <c r="C116" s="83"/>
      <c r="D116" s="82"/>
      <c r="E116" s="82"/>
      <c r="F116" s="86"/>
      <c r="G116" s="80"/>
      <c r="H116" s="80"/>
      <c r="I116" s="80"/>
      <c r="J116" s="80"/>
      <c r="K116" s="63">
        <f>SUM(K110:K114)*100</f>
        <v>163.70775758208003</v>
      </c>
      <c r="L116" s="83"/>
      <c r="M116" t="s">
        <v>727</v>
      </c>
      <c r="N116" s="8" t="s">
        <v>111</v>
      </c>
      <c r="O116" s="8"/>
      <c r="P116" s="8"/>
    </row>
    <row r="117" spans="2:34" x14ac:dyDescent="0.25">
      <c r="B117" s="82"/>
      <c r="C117" s="83"/>
      <c r="D117" s="82"/>
      <c r="E117" s="82"/>
      <c r="F117" s="86"/>
      <c r="G117" s="80"/>
      <c r="H117" s="80"/>
      <c r="I117" s="80"/>
      <c r="J117" s="80"/>
      <c r="K117" s="63">
        <f>SUM(K110:K111)</f>
        <v>0.62890941582080007</v>
      </c>
      <c r="L117" s="83"/>
      <c r="M117" t="s">
        <v>728</v>
      </c>
      <c r="N117" s="8" t="s">
        <v>547</v>
      </c>
      <c r="O117" s="8"/>
      <c r="P117" s="23">
        <f>K117*1000</f>
        <v>628.90941582080006</v>
      </c>
    </row>
    <row r="118" spans="2:34" x14ac:dyDescent="0.25">
      <c r="B118" s="21" t="s">
        <v>304</v>
      </c>
      <c r="C118" s="10"/>
      <c r="D118" s="21"/>
      <c r="E118" s="21"/>
      <c r="F118" s="21"/>
      <c r="G118" s="21"/>
      <c r="H118" s="21"/>
      <c r="I118" s="21"/>
      <c r="J118" s="21"/>
      <c r="K118" s="21"/>
      <c r="L118" s="42"/>
      <c r="M118" s="21"/>
      <c r="N118" s="21"/>
      <c r="O118" s="21"/>
    </row>
    <row r="119" spans="2:34" x14ac:dyDescent="0.25">
      <c r="B119" s="82" t="s">
        <v>310</v>
      </c>
      <c r="C119" s="83">
        <v>1</v>
      </c>
      <c r="D119" s="82" t="s">
        <v>339</v>
      </c>
      <c r="E119" s="82" t="s">
        <v>336</v>
      </c>
      <c r="F119" s="6" t="s">
        <v>347</v>
      </c>
      <c r="G119" s="80">
        <v>1</v>
      </c>
      <c r="H119" s="80" t="s">
        <v>62</v>
      </c>
      <c r="I119" s="80" t="s">
        <v>110</v>
      </c>
      <c r="J119" s="80">
        <v>1</v>
      </c>
      <c r="K119" s="58">
        <f>(Q119+U119+0.7/76.2*(X119*0.3048))/1000</f>
        <v>8.9831000000000008E-3</v>
      </c>
      <c r="L119" s="83" t="s">
        <v>475</v>
      </c>
      <c r="M119" s="8" t="s">
        <v>723</v>
      </c>
      <c r="N119" s="8" t="s">
        <v>531</v>
      </c>
      <c r="O119" s="8" t="s">
        <v>532</v>
      </c>
      <c r="P119" s="25">
        <f t="shared" ref="P119" si="17">K119*1000</f>
        <v>8.9831000000000003</v>
      </c>
      <c r="Q119" s="8">
        <f>5+(8-5)/(300-200)*(225-200)</f>
        <v>5.75</v>
      </c>
      <c r="R119" s="8" t="s">
        <v>543</v>
      </c>
      <c r="S119" s="8"/>
      <c r="T119" s="8"/>
      <c r="U119" s="8">
        <v>3</v>
      </c>
      <c r="V119" s="8" t="s">
        <v>544</v>
      </c>
      <c r="W119" s="8"/>
      <c r="X119" s="8">
        <f>74+(111-74)/(300-200)*(225-200)</f>
        <v>83.25</v>
      </c>
      <c r="Y119" s="8" t="s">
        <v>115</v>
      </c>
      <c r="Z119" s="8"/>
      <c r="AA119" s="8">
        <f>X119*0.3048</f>
        <v>25.374600000000001</v>
      </c>
      <c r="AB119" s="8" t="s">
        <v>116</v>
      </c>
    </row>
    <row r="120" spans="2:34" x14ac:dyDescent="0.25">
      <c r="B120" s="82"/>
      <c r="C120" s="83"/>
      <c r="D120" s="82"/>
      <c r="E120" s="82"/>
      <c r="F120" s="6" t="s">
        <v>348</v>
      </c>
      <c r="G120" s="80"/>
      <c r="H120" s="80"/>
      <c r="I120" s="80"/>
      <c r="J120" s="80"/>
      <c r="K120" s="13">
        <f>((1.1416*U120)+(1.17*Q120))/1000</f>
        <v>5.5839999999999996</v>
      </c>
      <c r="L120" s="83"/>
      <c r="M120" s="6" t="s">
        <v>731</v>
      </c>
      <c r="N120" s="6" t="s">
        <v>577</v>
      </c>
      <c r="O120" s="6" t="s">
        <v>576</v>
      </c>
      <c r="Q120" s="60">
        <f>5/60*10*2800</f>
        <v>2333.333333333333</v>
      </c>
      <c r="R120" s="6" t="s">
        <v>574</v>
      </c>
      <c r="U120">
        <f>5/60*10*3000</f>
        <v>2500</v>
      </c>
      <c r="V120" t="s">
        <v>575</v>
      </c>
      <c r="Y120" t="s">
        <v>578</v>
      </c>
      <c r="AB120" t="s">
        <v>579</v>
      </c>
    </row>
    <row r="121" spans="2:34" x14ac:dyDescent="0.25">
      <c r="B121" s="82"/>
      <c r="C121" s="83"/>
      <c r="D121" s="82"/>
      <c r="E121" s="82"/>
      <c r="F121" s="86" t="s">
        <v>108</v>
      </c>
      <c r="G121" s="80"/>
      <c r="H121" s="80"/>
      <c r="I121" s="80"/>
      <c r="J121" s="80"/>
      <c r="K121" s="63">
        <f>SUM(K119:K120)*30</f>
        <v>167.78949299999999</v>
      </c>
      <c r="L121" s="83"/>
      <c r="M121" t="s">
        <v>727</v>
      </c>
      <c r="N121" s="8" t="s">
        <v>112</v>
      </c>
      <c r="O121" s="8"/>
      <c r="P121" s="8"/>
    </row>
    <row r="122" spans="2:34" x14ac:dyDescent="0.25">
      <c r="B122" s="82"/>
      <c r="C122" s="83"/>
      <c r="D122" s="82"/>
      <c r="E122" s="82"/>
      <c r="F122" s="86"/>
      <c r="G122" s="80"/>
      <c r="H122" s="80"/>
      <c r="I122" s="80"/>
      <c r="J122" s="80"/>
      <c r="K122" s="63">
        <f>SUM(K119:K120)*100</f>
        <v>559.29831000000001</v>
      </c>
      <c r="L122" s="83"/>
      <c r="M122" t="s">
        <v>727</v>
      </c>
      <c r="N122" s="8" t="s">
        <v>111</v>
      </c>
      <c r="O122" s="8"/>
      <c r="P122" s="8"/>
    </row>
    <row r="123" spans="2:34" x14ac:dyDescent="0.25">
      <c r="B123" s="82"/>
      <c r="C123" s="83"/>
      <c r="D123" s="82"/>
      <c r="E123" s="82"/>
      <c r="F123" s="86"/>
      <c r="G123" s="80"/>
      <c r="H123" s="80"/>
      <c r="I123" s="80"/>
      <c r="J123" s="80"/>
      <c r="K123" s="62">
        <f>SUM(K119)</f>
        <v>8.9831000000000008E-3</v>
      </c>
      <c r="L123" s="83"/>
      <c r="M123" t="s">
        <v>728</v>
      </c>
      <c r="N123" s="8" t="s">
        <v>113</v>
      </c>
      <c r="O123" s="8"/>
      <c r="P123" s="25">
        <f>K123*1000</f>
        <v>8.9831000000000003</v>
      </c>
    </row>
    <row r="124" spans="2:34" x14ac:dyDescent="0.25">
      <c r="B124" s="82"/>
      <c r="C124" s="83">
        <v>2</v>
      </c>
      <c r="D124" s="82" t="s">
        <v>340</v>
      </c>
      <c r="E124" s="82" t="s">
        <v>337</v>
      </c>
      <c r="F124" s="15" t="s">
        <v>347</v>
      </c>
      <c r="G124" s="80">
        <v>1</v>
      </c>
      <c r="H124" s="80" t="s">
        <v>62</v>
      </c>
      <c r="I124" s="80" t="s">
        <v>110</v>
      </c>
      <c r="J124" s="80">
        <v>1</v>
      </c>
      <c r="K124" s="75">
        <f>(Q124+U124+0.7/76.2*(X124*0.3048))/1000</f>
        <v>8.9831000000000008E-3</v>
      </c>
      <c r="L124" s="83" t="s">
        <v>476</v>
      </c>
      <c r="M124" s="8" t="s">
        <v>723</v>
      </c>
      <c r="N124" s="8" t="s">
        <v>531</v>
      </c>
      <c r="O124" s="8" t="s">
        <v>532</v>
      </c>
      <c r="P124" s="25">
        <f t="shared" ref="P124" si="18">K124*1000</f>
        <v>8.9831000000000003</v>
      </c>
      <c r="Q124" s="8">
        <f>5+(8-5)/(300-200)*(225-200)</f>
        <v>5.75</v>
      </c>
      <c r="R124" s="8" t="s">
        <v>543</v>
      </c>
      <c r="S124" s="8"/>
      <c r="T124" s="8"/>
      <c r="U124" s="8">
        <v>3</v>
      </c>
      <c r="V124" s="8" t="s">
        <v>544</v>
      </c>
      <c r="W124" s="8"/>
      <c r="X124" s="8">
        <f>74+(111-74)/(300-200)*(225-200)</f>
        <v>83.25</v>
      </c>
      <c r="Y124" s="8" t="s">
        <v>115</v>
      </c>
      <c r="Z124" s="8"/>
      <c r="AA124" s="8">
        <f>X124*0.3048</f>
        <v>25.374600000000001</v>
      </c>
      <c r="AB124" s="8" t="s">
        <v>116</v>
      </c>
    </row>
    <row r="125" spans="2:34" x14ac:dyDescent="0.25">
      <c r="B125" s="82"/>
      <c r="C125" s="83"/>
      <c r="D125" s="82"/>
      <c r="E125" s="82"/>
      <c r="F125" s="15" t="s">
        <v>350</v>
      </c>
      <c r="G125" s="80"/>
      <c r="H125" s="80"/>
      <c r="I125" s="80"/>
      <c r="J125" s="80"/>
      <c r="K125" s="76">
        <f>(Q125+X125+U125*2350)/1000</f>
        <v>0.30572160791040004</v>
      </c>
      <c r="L125" s="83"/>
      <c r="M125" s="6" t="s">
        <v>732</v>
      </c>
      <c r="N125" s="13" t="s">
        <v>563</v>
      </c>
      <c r="O125" s="6" t="s">
        <v>533</v>
      </c>
      <c r="Q125" s="59">
        <f>9.76*20*(0.3048^2)</f>
        <v>18.134673408000001</v>
      </c>
      <c r="R125" t="s">
        <v>573</v>
      </c>
      <c r="U125" s="59">
        <f>20*(0.3048^2)*0.065</f>
        <v>0.120773952</v>
      </c>
      <c r="V125" t="s">
        <v>281</v>
      </c>
      <c r="X125" s="59">
        <f>0.002*(1*1*0.065)*2*7800*(20*(0.3048^2))</f>
        <v>3.7681473024000001</v>
      </c>
      <c r="Y125" t="s">
        <v>558</v>
      </c>
      <c r="AA125" t="s">
        <v>564</v>
      </c>
    </row>
    <row r="126" spans="2:34" x14ac:dyDescent="0.25">
      <c r="B126" s="82"/>
      <c r="C126" s="83"/>
      <c r="D126" s="82"/>
      <c r="E126" s="82"/>
      <c r="F126" s="15" t="s">
        <v>353</v>
      </c>
      <c r="G126" s="80"/>
      <c r="H126" s="80"/>
      <c r="I126" s="80"/>
      <c r="J126" s="80"/>
      <c r="K126" s="13">
        <v>0.5</v>
      </c>
      <c r="L126" s="83"/>
      <c r="M126" s="6" t="s">
        <v>730</v>
      </c>
      <c r="N126" s="13"/>
      <c r="O126" s="6" t="s">
        <v>533</v>
      </c>
    </row>
    <row r="127" spans="2:34" x14ac:dyDescent="0.25">
      <c r="B127" s="82"/>
      <c r="C127" s="83"/>
      <c r="D127" s="82"/>
      <c r="E127" s="82"/>
      <c r="F127" s="15" t="s">
        <v>345</v>
      </c>
      <c r="G127" s="80"/>
      <c r="H127" s="80"/>
      <c r="I127" s="80"/>
      <c r="J127" s="80"/>
      <c r="K127" s="13">
        <v>0</v>
      </c>
      <c r="L127" s="83"/>
      <c r="M127" s="6" t="s">
        <v>80</v>
      </c>
      <c r="N127" s="6" t="s">
        <v>534</v>
      </c>
      <c r="O127" s="13"/>
    </row>
    <row r="128" spans="2:34" x14ac:dyDescent="0.25">
      <c r="B128" s="82"/>
      <c r="C128" s="83"/>
      <c r="D128" s="82"/>
      <c r="E128" s="82"/>
      <c r="F128" s="15" t="s">
        <v>346</v>
      </c>
      <c r="G128" s="80"/>
      <c r="H128" s="80"/>
      <c r="I128" s="80"/>
      <c r="J128" s="80"/>
      <c r="K128" s="55">
        <f>V128/1000</f>
        <v>8.168159999999999E-3</v>
      </c>
      <c r="L128" s="83"/>
      <c r="M128" s="6" t="s">
        <v>733</v>
      </c>
      <c r="N128" s="13" t="s">
        <v>572</v>
      </c>
      <c r="O128" s="56" t="s">
        <v>568</v>
      </c>
      <c r="Q128">
        <f>(256*2+121*4+646*2)/1000</f>
        <v>2.2879999999999998</v>
      </c>
      <c r="R128" t="s">
        <v>566</v>
      </c>
      <c r="T128">
        <f>11.7*Q128</f>
        <v>26.769599999999997</v>
      </c>
      <c r="U128" t="s">
        <v>567</v>
      </c>
      <c r="V128">
        <f>3.57*Q128</f>
        <v>8.1681599999999985</v>
      </c>
      <c r="W128" t="s">
        <v>569</v>
      </c>
      <c r="AB128">
        <f>0.000065*Q128/1000</f>
        <v>1.4871999999999997E-7</v>
      </c>
      <c r="AC128" t="s">
        <v>570</v>
      </c>
      <c r="AG128">
        <f>Q128*1.43</f>
        <v>3.2718399999999996</v>
      </c>
      <c r="AH128" t="s">
        <v>571</v>
      </c>
    </row>
    <row r="129" spans="2:34" x14ac:dyDescent="0.25">
      <c r="B129" s="82"/>
      <c r="C129" s="83"/>
      <c r="D129" s="82"/>
      <c r="E129" s="82"/>
      <c r="F129" s="87" t="s">
        <v>108</v>
      </c>
      <c r="G129" s="80"/>
      <c r="H129" s="80"/>
      <c r="I129" s="80"/>
      <c r="J129" s="80"/>
      <c r="K129" s="63">
        <f>SUM(K124:K127)*30</f>
        <v>24.441141237312003</v>
      </c>
      <c r="L129" s="83"/>
      <c r="M129" t="s">
        <v>727</v>
      </c>
      <c r="N129" s="8" t="s">
        <v>112</v>
      </c>
      <c r="O129" s="8"/>
      <c r="P129" s="8"/>
    </row>
    <row r="130" spans="2:34" x14ac:dyDescent="0.25">
      <c r="B130" s="82"/>
      <c r="C130" s="83"/>
      <c r="D130" s="82"/>
      <c r="E130" s="82"/>
      <c r="F130" s="87"/>
      <c r="G130" s="80"/>
      <c r="H130" s="80"/>
      <c r="I130" s="80"/>
      <c r="J130" s="80"/>
      <c r="K130" s="63">
        <f>SUM(K124:K127)*100</f>
        <v>81.47047079104</v>
      </c>
      <c r="L130" s="83"/>
      <c r="M130" t="s">
        <v>727</v>
      </c>
      <c r="N130" s="8" t="s">
        <v>111</v>
      </c>
      <c r="O130" s="8"/>
      <c r="P130" s="8"/>
    </row>
    <row r="131" spans="2:34" x14ac:dyDescent="0.25">
      <c r="B131" s="82"/>
      <c r="C131" s="83"/>
      <c r="D131" s="82"/>
      <c r="E131" s="82"/>
      <c r="F131" s="87"/>
      <c r="G131" s="80"/>
      <c r="H131" s="80"/>
      <c r="I131" s="80"/>
      <c r="J131" s="80"/>
      <c r="K131" s="63">
        <f>SUM(K124:K125)</f>
        <v>0.31470470791040006</v>
      </c>
      <c r="L131" s="83"/>
      <c r="M131" t="s">
        <v>728</v>
      </c>
      <c r="N131" s="8" t="s">
        <v>547</v>
      </c>
      <c r="O131" s="8"/>
      <c r="P131" s="23">
        <f>K131*1000</f>
        <v>314.70470791040009</v>
      </c>
    </row>
    <row r="132" spans="2:34" x14ac:dyDescent="0.25">
      <c r="B132" s="82"/>
      <c r="C132" s="83">
        <v>3</v>
      </c>
      <c r="D132" s="80" t="s">
        <v>341</v>
      </c>
      <c r="E132" s="82" t="s">
        <v>338</v>
      </c>
      <c r="F132" s="6" t="s">
        <v>347</v>
      </c>
      <c r="G132" s="80">
        <v>1</v>
      </c>
      <c r="H132" s="80" t="s">
        <v>62</v>
      </c>
      <c r="I132" s="80" t="s">
        <v>110</v>
      </c>
      <c r="J132" s="80">
        <v>1</v>
      </c>
      <c r="K132" s="55">
        <f>(Q132+U132+0.7/76.2*(X132*0.3048))/1000</f>
        <v>8.9831000000000008E-3</v>
      </c>
      <c r="L132" s="83" t="s">
        <v>477</v>
      </c>
      <c r="M132" s="8" t="s">
        <v>723</v>
      </c>
      <c r="N132" s="8" t="s">
        <v>531</v>
      </c>
      <c r="O132" s="8" t="s">
        <v>532</v>
      </c>
      <c r="P132" s="25">
        <f t="shared" ref="P132" si="19">K132*1000</f>
        <v>8.9831000000000003</v>
      </c>
      <c r="Q132" s="8">
        <f>5+(8-5)/(300-200)*(225-200)</f>
        <v>5.75</v>
      </c>
      <c r="R132" s="8" t="s">
        <v>543</v>
      </c>
      <c r="S132" s="8"/>
      <c r="T132" s="8"/>
      <c r="U132" s="8">
        <v>3</v>
      </c>
      <c r="V132" s="8" t="s">
        <v>544</v>
      </c>
      <c r="W132" s="8"/>
      <c r="X132" s="8">
        <f>74+(111-74)/(300-200)*(225-200)</f>
        <v>83.25</v>
      </c>
      <c r="Y132" s="8" t="s">
        <v>115</v>
      </c>
      <c r="Z132" s="8"/>
      <c r="AA132" s="8">
        <f>X132*0.3048</f>
        <v>25.374600000000001</v>
      </c>
      <c r="AB132" s="8" t="s">
        <v>116</v>
      </c>
    </row>
    <row r="133" spans="2:34" x14ac:dyDescent="0.25">
      <c r="B133" s="82"/>
      <c r="C133" s="83"/>
      <c r="D133" s="80"/>
      <c r="E133" s="82"/>
      <c r="F133" s="6" t="s">
        <v>350</v>
      </c>
      <c r="G133" s="80"/>
      <c r="H133" s="80"/>
      <c r="I133" s="80"/>
      <c r="J133" s="80"/>
      <c r="K133" s="55">
        <f>(Q133+X133+U133*2350)/1000</f>
        <v>0.30572160791040004</v>
      </c>
      <c r="L133" s="83"/>
      <c r="M133" s="6" t="s">
        <v>732</v>
      </c>
      <c r="N133" s="13" t="s">
        <v>563</v>
      </c>
      <c r="O133" s="6" t="s">
        <v>533</v>
      </c>
      <c r="Q133" s="59">
        <f>9.76*20*(0.3048^2)</f>
        <v>18.134673408000001</v>
      </c>
      <c r="R133" t="s">
        <v>573</v>
      </c>
      <c r="U133" s="59">
        <f>20*(0.3048^2)*0.065</f>
        <v>0.120773952</v>
      </c>
      <c r="V133" t="s">
        <v>281</v>
      </c>
      <c r="X133" s="59">
        <f>0.002*(1*1*0.065)*2*7800*(20*(0.3048^2))</f>
        <v>3.7681473024000001</v>
      </c>
      <c r="Y133" t="s">
        <v>558</v>
      </c>
      <c r="AA133" t="s">
        <v>564</v>
      </c>
    </row>
    <row r="134" spans="2:34" x14ac:dyDescent="0.25">
      <c r="B134" s="82"/>
      <c r="C134" s="83"/>
      <c r="D134" s="80"/>
      <c r="E134" s="82"/>
      <c r="F134" s="6" t="s">
        <v>353</v>
      </c>
      <c r="G134" s="80"/>
      <c r="H134" s="80"/>
      <c r="I134" s="80"/>
      <c r="J134" s="80"/>
      <c r="K134" s="13">
        <v>0.5</v>
      </c>
      <c r="L134" s="83"/>
      <c r="M134" s="6" t="s">
        <v>730</v>
      </c>
      <c r="N134" s="13"/>
      <c r="O134" s="6" t="s">
        <v>533</v>
      </c>
    </row>
    <row r="135" spans="2:34" x14ac:dyDescent="0.25">
      <c r="B135" s="82"/>
      <c r="C135" s="83"/>
      <c r="D135" s="80"/>
      <c r="E135" s="82"/>
      <c r="F135" s="6" t="s">
        <v>345</v>
      </c>
      <c r="G135" s="80"/>
      <c r="H135" s="80"/>
      <c r="I135" s="80"/>
      <c r="J135" s="80"/>
      <c r="K135" s="13">
        <v>0</v>
      </c>
      <c r="L135" s="83"/>
      <c r="M135" s="6" t="s">
        <v>80</v>
      </c>
      <c r="N135" s="6" t="s">
        <v>534</v>
      </c>
      <c r="O135" s="13"/>
    </row>
    <row r="136" spans="2:34" x14ac:dyDescent="0.25">
      <c r="B136" s="82"/>
      <c r="C136" s="83"/>
      <c r="D136" s="80"/>
      <c r="E136" s="82"/>
      <c r="F136" s="6" t="s">
        <v>346</v>
      </c>
      <c r="G136" s="80"/>
      <c r="H136" s="80"/>
      <c r="I136" s="80"/>
      <c r="J136" s="80"/>
      <c r="K136" s="55">
        <f>V136/1000</f>
        <v>8.168159999999999E-3</v>
      </c>
      <c r="L136" s="83"/>
      <c r="M136" s="6" t="s">
        <v>733</v>
      </c>
      <c r="N136" s="13" t="s">
        <v>572</v>
      </c>
      <c r="O136" s="56" t="s">
        <v>568</v>
      </c>
      <c r="Q136">
        <f>(256*2+121*4+646*2)/1000</f>
        <v>2.2879999999999998</v>
      </c>
      <c r="R136" t="s">
        <v>566</v>
      </c>
      <c r="T136">
        <f>11.7*Q136</f>
        <v>26.769599999999997</v>
      </c>
      <c r="U136" t="s">
        <v>567</v>
      </c>
      <c r="V136">
        <f>3.57*Q136</f>
        <v>8.1681599999999985</v>
      </c>
      <c r="W136" t="s">
        <v>569</v>
      </c>
      <c r="AB136">
        <f>0.000065*Q136/1000</f>
        <v>1.4871999999999997E-7</v>
      </c>
      <c r="AC136" t="s">
        <v>570</v>
      </c>
      <c r="AG136">
        <f>Q136*1.43</f>
        <v>3.2718399999999996</v>
      </c>
      <c r="AH136" t="s">
        <v>571</v>
      </c>
    </row>
    <row r="137" spans="2:34" x14ac:dyDescent="0.25">
      <c r="B137" s="82"/>
      <c r="C137" s="83"/>
      <c r="D137" s="80"/>
      <c r="E137" s="82"/>
      <c r="F137" s="86" t="s">
        <v>108</v>
      </c>
      <c r="G137" s="80"/>
      <c r="H137" s="80"/>
      <c r="I137" s="80"/>
      <c r="J137" s="80"/>
      <c r="K137" s="63">
        <f>(SUM(K132:K135))*30</f>
        <v>24.441141237312003</v>
      </c>
      <c r="L137" s="83"/>
      <c r="M137" t="s">
        <v>727</v>
      </c>
      <c r="N137" s="8" t="s">
        <v>112</v>
      </c>
      <c r="O137" s="8"/>
      <c r="P137" s="8"/>
    </row>
    <row r="138" spans="2:34" x14ac:dyDescent="0.25">
      <c r="B138" s="82"/>
      <c r="C138" s="83"/>
      <c r="D138" s="80"/>
      <c r="E138" s="82"/>
      <c r="F138" s="86"/>
      <c r="G138" s="80"/>
      <c r="H138" s="80"/>
      <c r="I138" s="80"/>
      <c r="J138" s="80"/>
      <c r="K138" s="63">
        <f>SUM(K132:K135)*100</f>
        <v>81.47047079104</v>
      </c>
      <c r="L138" s="83"/>
      <c r="M138" t="s">
        <v>727</v>
      </c>
      <c r="N138" s="8" t="s">
        <v>111</v>
      </c>
      <c r="O138" s="8"/>
      <c r="P138" s="8"/>
    </row>
    <row r="139" spans="2:34" x14ac:dyDescent="0.25">
      <c r="B139" s="82"/>
      <c r="C139" s="83"/>
      <c r="D139" s="80"/>
      <c r="E139" s="82"/>
      <c r="F139" s="86"/>
      <c r="G139" s="80"/>
      <c r="H139" s="80"/>
      <c r="I139" s="80"/>
      <c r="J139" s="80"/>
      <c r="K139" s="63">
        <f>SUM(K132:K133)</f>
        <v>0.31470470791040006</v>
      </c>
      <c r="L139" s="83"/>
      <c r="M139" t="s">
        <v>728</v>
      </c>
      <c r="N139" s="8" t="s">
        <v>547</v>
      </c>
      <c r="O139" s="8"/>
      <c r="P139" s="23">
        <f>K139*1000</f>
        <v>314.70470791040009</v>
      </c>
    </row>
    <row r="140" spans="2:34" x14ac:dyDescent="0.25">
      <c r="B140" s="21" t="s">
        <v>354</v>
      </c>
      <c r="C140" s="10"/>
      <c r="D140" s="21"/>
      <c r="E140" s="21"/>
      <c r="F140" s="21"/>
      <c r="G140" s="21"/>
      <c r="H140" s="21"/>
      <c r="I140" s="21"/>
      <c r="J140" s="21"/>
      <c r="K140" s="21"/>
      <c r="L140" s="42"/>
      <c r="M140" s="21"/>
      <c r="N140" s="21"/>
      <c r="O140" s="21"/>
    </row>
    <row r="141" spans="2:34" x14ac:dyDescent="0.25">
      <c r="B141" s="82" t="s">
        <v>372</v>
      </c>
      <c r="C141" s="83">
        <v>1</v>
      </c>
      <c r="D141" s="82" t="s">
        <v>25</v>
      </c>
      <c r="E141" s="82" t="s">
        <v>415</v>
      </c>
      <c r="F141" s="6" t="s">
        <v>442</v>
      </c>
      <c r="G141" s="80">
        <v>1</v>
      </c>
      <c r="H141" s="80" t="s">
        <v>63</v>
      </c>
      <c r="I141" s="80" t="s">
        <v>110</v>
      </c>
      <c r="J141" s="80">
        <v>1</v>
      </c>
      <c r="K141" s="13">
        <f>Q141/1000</f>
        <v>3.2500000000000001E-2</v>
      </c>
      <c r="L141" s="83" t="s">
        <v>441</v>
      </c>
      <c r="M141" t="s">
        <v>735</v>
      </c>
      <c r="N141" s="33" t="s">
        <v>734</v>
      </c>
      <c r="O141" s="6"/>
      <c r="Q141">
        <v>32.5</v>
      </c>
      <c r="R141" t="s">
        <v>131</v>
      </c>
    </row>
    <row r="142" spans="2:34" x14ac:dyDescent="0.25">
      <c r="B142" s="82"/>
      <c r="C142" s="83"/>
      <c r="D142" s="82"/>
      <c r="E142" s="82"/>
      <c r="F142" s="86" t="s">
        <v>108</v>
      </c>
      <c r="G142" s="80"/>
      <c r="H142" s="80"/>
      <c r="I142" s="80"/>
      <c r="J142" s="80"/>
      <c r="K142" s="47">
        <f>K141*30</f>
        <v>0.97500000000000009</v>
      </c>
      <c r="L142" s="83"/>
      <c r="M142" t="s">
        <v>727</v>
      </c>
      <c r="N142" s="8" t="s">
        <v>112</v>
      </c>
      <c r="O142" s="8"/>
      <c r="P142" s="8"/>
    </row>
    <row r="143" spans="2:34" x14ac:dyDescent="0.25">
      <c r="B143" s="82"/>
      <c r="C143" s="83"/>
      <c r="D143" s="82"/>
      <c r="E143" s="82"/>
      <c r="F143" s="86"/>
      <c r="G143" s="80"/>
      <c r="H143" s="80"/>
      <c r="I143" s="80"/>
      <c r="J143" s="80"/>
      <c r="K143" s="47">
        <f>K141*100</f>
        <v>3.25</v>
      </c>
      <c r="L143" s="83"/>
      <c r="M143" t="s">
        <v>727</v>
      </c>
      <c r="N143" s="8" t="s">
        <v>111</v>
      </c>
      <c r="O143" s="8"/>
      <c r="P143" s="8"/>
    </row>
    <row r="144" spans="2:34" x14ac:dyDescent="0.25">
      <c r="B144" s="82"/>
      <c r="C144" s="83"/>
      <c r="D144" s="82"/>
      <c r="E144" s="82"/>
      <c r="F144" s="86"/>
      <c r="G144" s="80"/>
      <c r="H144" s="80"/>
      <c r="I144" s="80"/>
      <c r="J144" s="80"/>
      <c r="K144" s="47">
        <f>K141</f>
        <v>3.2500000000000001E-2</v>
      </c>
      <c r="L144" s="83"/>
      <c r="M144" t="s">
        <v>728</v>
      </c>
      <c r="N144" s="8" t="s">
        <v>113</v>
      </c>
      <c r="O144" s="8"/>
      <c r="P144" s="23">
        <f>K144*1000</f>
        <v>32.5</v>
      </c>
    </row>
    <row r="145" spans="2:28" x14ac:dyDescent="0.25">
      <c r="B145" s="82"/>
      <c r="C145" s="83">
        <v>2</v>
      </c>
      <c r="D145" s="80" t="s">
        <v>26</v>
      </c>
      <c r="E145" s="82" t="s">
        <v>416</v>
      </c>
      <c r="F145" s="15" t="s">
        <v>442</v>
      </c>
      <c r="G145" s="80">
        <v>1</v>
      </c>
      <c r="H145" s="80" t="s">
        <v>63</v>
      </c>
      <c r="I145" s="80" t="s">
        <v>110</v>
      </c>
      <c r="J145" s="80">
        <v>1</v>
      </c>
      <c r="K145" s="13">
        <f>Q145/1000</f>
        <v>3.2500000000000001E-2</v>
      </c>
      <c r="L145" s="83" t="s">
        <v>720</v>
      </c>
      <c r="M145" t="s">
        <v>735</v>
      </c>
      <c r="N145" s="33" t="s">
        <v>734</v>
      </c>
      <c r="O145" s="6"/>
      <c r="Q145">
        <v>32.5</v>
      </c>
      <c r="R145" t="s">
        <v>131</v>
      </c>
    </row>
    <row r="146" spans="2:28" x14ac:dyDescent="0.25">
      <c r="B146" s="82"/>
      <c r="C146" s="83"/>
      <c r="D146" s="80"/>
      <c r="E146" s="82"/>
      <c r="F146" s="87" t="s">
        <v>108</v>
      </c>
      <c r="G146" s="80"/>
      <c r="H146" s="80"/>
      <c r="I146" s="80"/>
      <c r="J146" s="80"/>
      <c r="K146" s="47">
        <f>K145*30</f>
        <v>0.97500000000000009</v>
      </c>
      <c r="L146" s="83"/>
      <c r="M146" t="s">
        <v>727</v>
      </c>
      <c r="N146" s="8" t="s">
        <v>112</v>
      </c>
      <c r="O146" s="8"/>
      <c r="P146" s="8"/>
    </row>
    <row r="147" spans="2:28" x14ac:dyDescent="0.25">
      <c r="B147" s="82"/>
      <c r="C147" s="83"/>
      <c r="D147" s="80"/>
      <c r="E147" s="82"/>
      <c r="F147" s="87"/>
      <c r="G147" s="80"/>
      <c r="H147" s="80"/>
      <c r="I147" s="80"/>
      <c r="J147" s="80"/>
      <c r="K147" s="47">
        <f>K145*100</f>
        <v>3.25</v>
      </c>
      <c r="L147" s="83"/>
      <c r="M147" t="s">
        <v>727</v>
      </c>
      <c r="N147" s="8" t="s">
        <v>111</v>
      </c>
      <c r="O147" s="8"/>
      <c r="P147" s="8"/>
    </row>
    <row r="148" spans="2:28" x14ac:dyDescent="0.25">
      <c r="B148" s="82"/>
      <c r="C148" s="83"/>
      <c r="D148" s="80"/>
      <c r="E148" s="82"/>
      <c r="F148" s="87"/>
      <c r="G148" s="80"/>
      <c r="H148" s="80"/>
      <c r="I148" s="80"/>
      <c r="J148" s="80"/>
      <c r="K148" s="47">
        <f>K145</f>
        <v>3.2500000000000001E-2</v>
      </c>
      <c r="L148" s="83"/>
      <c r="M148" t="s">
        <v>728</v>
      </c>
      <c r="N148" s="8" t="s">
        <v>113</v>
      </c>
      <c r="O148" s="8"/>
      <c r="P148" s="23">
        <f>K148*1000</f>
        <v>32.5</v>
      </c>
    </row>
    <row r="149" spans="2:28" x14ac:dyDescent="0.25">
      <c r="B149" s="21" t="s">
        <v>12</v>
      </c>
      <c r="C149" s="10"/>
      <c r="D149" s="21"/>
      <c r="E149" s="21"/>
      <c r="F149" s="21"/>
      <c r="G149" s="21"/>
      <c r="H149" s="21"/>
      <c r="I149" s="21"/>
      <c r="J149" s="21"/>
      <c r="K149" s="21"/>
      <c r="L149" s="42"/>
      <c r="M149" s="21"/>
      <c r="N149" s="21"/>
      <c r="O149" s="21"/>
    </row>
    <row r="150" spans="2:28" ht="15" customHeight="1" x14ac:dyDescent="0.25">
      <c r="B150" s="82" t="s">
        <v>13</v>
      </c>
      <c r="C150" s="72">
        <v>1</v>
      </c>
      <c r="D150" s="35" t="s">
        <v>50</v>
      </c>
      <c r="E150" s="35" t="s">
        <v>52</v>
      </c>
      <c r="F150" s="6" t="s">
        <v>444</v>
      </c>
      <c r="G150" s="35">
        <v>1</v>
      </c>
      <c r="H150" s="35" t="s">
        <v>63</v>
      </c>
      <c r="I150" s="35" t="s">
        <v>110</v>
      </c>
      <c r="J150" s="35">
        <v>1</v>
      </c>
      <c r="K150" s="13">
        <v>0</v>
      </c>
      <c r="L150" s="72" t="s">
        <v>72</v>
      </c>
      <c r="M150" s="6" t="s">
        <v>417</v>
      </c>
      <c r="N150" s="8" t="s">
        <v>176</v>
      </c>
      <c r="O150" s="13"/>
    </row>
    <row r="151" spans="2:28" x14ac:dyDescent="0.25">
      <c r="B151" s="82"/>
      <c r="C151" s="83">
        <v>2</v>
      </c>
      <c r="D151" s="80" t="s">
        <v>51</v>
      </c>
      <c r="E151" s="82" t="s">
        <v>53</v>
      </c>
      <c r="F151" s="15" t="s">
        <v>443</v>
      </c>
      <c r="G151" s="80">
        <v>1</v>
      </c>
      <c r="H151" s="80" t="s">
        <v>63</v>
      </c>
      <c r="I151" s="80" t="s">
        <v>110</v>
      </c>
      <c r="J151" s="80">
        <v>1</v>
      </c>
      <c r="K151" s="13">
        <v>0</v>
      </c>
      <c r="L151" s="83" t="s">
        <v>73</v>
      </c>
      <c r="M151" s="6" t="s">
        <v>417</v>
      </c>
      <c r="N151" s="8" t="s">
        <v>176</v>
      </c>
      <c r="O151" s="13"/>
    </row>
    <row r="152" spans="2:28" x14ac:dyDescent="0.25">
      <c r="B152" s="82"/>
      <c r="C152" s="83"/>
      <c r="D152" s="80"/>
      <c r="E152" s="82"/>
      <c r="F152" s="15" t="s">
        <v>445</v>
      </c>
      <c r="G152" s="80"/>
      <c r="H152" s="80"/>
      <c r="I152" s="80"/>
      <c r="J152" s="80"/>
      <c r="K152" s="13">
        <f>0.1*R152/1000</f>
        <v>4.6800000000000001E-3</v>
      </c>
      <c r="L152" s="83"/>
      <c r="M152" s="48" t="s">
        <v>179</v>
      </c>
      <c r="N152" s="8" t="s">
        <v>178</v>
      </c>
      <c r="O152" s="8" t="s">
        <v>177</v>
      </c>
      <c r="P152" s="8">
        <f>K152*1000</f>
        <v>4.68</v>
      </c>
      <c r="Q152" s="8"/>
      <c r="R152" s="8">
        <v>46.8</v>
      </c>
      <c r="S152" s="8" t="s">
        <v>131</v>
      </c>
    </row>
    <row r="153" spans="2:28" x14ac:dyDescent="0.25">
      <c r="B153" s="82"/>
      <c r="C153" s="83"/>
      <c r="D153" s="80"/>
      <c r="E153" s="82"/>
      <c r="F153" s="87" t="s">
        <v>108</v>
      </c>
      <c r="G153" s="80"/>
      <c r="H153" s="80"/>
      <c r="I153" s="80"/>
      <c r="J153" s="80"/>
      <c r="K153" s="49">
        <f>K152*30</f>
        <v>0.1404</v>
      </c>
      <c r="L153" s="83"/>
      <c r="M153" t="s">
        <v>698</v>
      </c>
      <c r="N153" s="8" t="s">
        <v>112</v>
      </c>
      <c r="O153" s="8"/>
      <c r="P153" s="8"/>
      <c r="Q153" s="8"/>
    </row>
    <row r="154" spans="2:28" x14ac:dyDescent="0.25">
      <c r="B154" s="82"/>
      <c r="C154" s="83"/>
      <c r="D154" s="80"/>
      <c r="E154" s="82"/>
      <c r="F154" s="87"/>
      <c r="G154" s="80"/>
      <c r="H154" s="80"/>
      <c r="I154" s="80"/>
      <c r="J154" s="80"/>
      <c r="K154" s="49">
        <f>K152*5900</f>
        <v>27.612000000000002</v>
      </c>
      <c r="L154" s="83"/>
      <c r="M154" s="8" t="s">
        <v>170</v>
      </c>
      <c r="N154" s="8" t="s">
        <v>171</v>
      </c>
      <c r="O154" s="8"/>
      <c r="P154" s="8"/>
      <c r="Q154" s="8"/>
    </row>
    <row r="155" spans="2:28" x14ac:dyDescent="0.25">
      <c r="B155" s="82"/>
      <c r="C155" s="83"/>
      <c r="D155" s="80"/>
      <c r="E155" s="82"/>
      <c r="F155" s="87"/>
      <c r="G155" s="80"/>
      <c r="H155" s="80"/>
      <c r="I155" s="80"/>
      <c r="J155" s="80"/>
      <c r="K155" s="49">
        <f>K152</f>
        <v>4.6800000000000001E-3</v>
      </c>
      <c r="L155" s="83"/>
      <c r="M155" t="s">
        <v>109</v>
      </c>
      <c r="N155" s="8" t="s">
        <v>113</v>
      </c>
      <c r="O155" s="8"/>
      <c r="P155" s="29">
        <f>K155*1000</f>
        <v>4.68</v>
      </c>
      <c r="Q155" s="8"/>
    </row>
    <row r="156" spans="2:28" x14ac:dyDescent="0.25">
      <c r="B156" s="21" t="s">
        <v>7</v>
      </c>
      <c r="C156" s="10"/>
      <c r="D156" s="21"/>
      <c r="E156" s="21"/>
      <c r="F156" s="21"/>
      <c r="G156" s="21"/>
      <c r="H156" s="21"/>
      <c r="I156" s="21"/>
      <c r="J156" s="21"/>
      <c r="K156" s="21"/>
      <c r="L156" s="42"/>
      <c r="M156" s="21"/>
      <c r="N156" s="21"/>
      <c r="O156" s="21"/>
    </row>
    <row r="157" spans="2:28" ht="15" customHeight="1" x14ac:dyDescent="0.25">
      <c r="B157" s="82" t="s">
        <v>8</v>
      </c>
      <c r="C157" s="83">
        <v>1</v>
      </c>
      <c r="D157" s="82" t="s">
        <v>19</v>
      </c>
      <c r="E157" s="82" t="s">
        <v>22</v>
      </c>
      <c r="F157" s="6" t="s">
        <v>446</v>
      </c>
      <c r="G157" s="80">
        <v>1</v>
      </c>
      <c r="H157" s="80" t="s">
        <v>64</v>
      </c>
      <c r="I157" s="80" t="s">
        <v>110</v>
      </c>
      <c r="J157" s="80">
        <v>1</v>
      </c>
      <c r="K157" s="7">
        <f>(1.98/(0.3048^2))/400*5/1000</f>
        <v>2.6640678281356566E-4</v>
      </c>
      <c r="L157" s="83" t="s">
        <v>66</v>
      </c>
      <c r="M157" t="s">
        <v>738</v>
      </c>
      <c r="N157" s="8" t="s">
        <v>120</v>
      </c>
      <c r="O157" s="22" t="s">
        <v>122</v>
      </c>
      <c r="P157" s="29">
        <f>K157*1000</f>
        <v>0.26640678281356567</v>
      </c>
      <c r="Q157" s="8" t="s">
        <v>124</v>
      </c>
      <c r="R157" s="8"/>
      <c r="S157" s="8"/>
      <c r="T157" s="8"/>
      <c r="U157" s="8"/>
      <c r="V157" s="8"/>
      <c r="W157" s="8"/>
      <c r="X157" s="8"/>
      <c r="Y157" s="8"/>
      <c r="Z157" s="8"/>
      <c r="AA157" s="8"/>
      <c r="AB157" s="8"/>
    </row>
    <row r="158" spans="2:28" x14ac:dyDescent="0.25">
      <c r="B158" s="82"/>
      <c r="C158" s="83"/>
      <c r="D158" s="82"/>
      <c r="E158" s="82"/>
      <c r="F158" s="6" t="s">
        <v>448</v>
      </c>
      <c r="G158" s="80"/>
      <c r="H158" s="80"/>
      <c r="I158" s="80"/>
      <c r="J158" s="80"/>
      <c r="K158" s="8">
        <f>0.7/76.2*(P158*0.3048)/1000</f>
        <v>8.8096148414519025E-6</v>
      </c>
      <c r="L158" s="83"/>
      <c r="M158" t="s">
        <v>737</v>
      </c>
      <c r="N158" s="8" t="s">
        <v>119</v>
      </c>
      <c r="O158" s="8" t="s">
        <v>121</v>
      </c>
      <c r="P158" s="25">
        <f>(0.79/0.3048^2)*(37/100)</f>
        <v>3.1462910148042513</v>
      </c>
      <c r="Q158" s="8" t="s">
        <v>115</v>
      </c>
      <c r="R158" s="8"/>
      <c r="S158" s="8"/>
      <c r="T158" s="25">
        <f>P158*0.3048</f>
        <v>0.95898950131233585</v>
      </c>
      <c r="U158" s="8" t="s">
        <v>116</v>
      </c>
    </row>
    <row r="159" spans="2:28" x14ac:dyDescent="0.25">
      <c r="B159" s="82"/>
      <c r="C159" s="83"/>
      <c r="D159" s="82"/>
      <c r="E159" s="82"/>
      <c r="F159" s="6" t="s">
        <v>449</v>
      </c>
      <c r="G159" s="80"/>
      <c r="H159" s="80"/>
      <c r="I159" s="80"/>
      <c r="J159" s="80"/>
      <c r="K159" s="7">
        <f>(0.396*(9.3))/1000</f>
        <v>3.6828000000000004E-3</v>
      </c>
      <c r="L159" s="83"/>
      <c r="M159" t="s">
        <v>739</v>
      </c>
      <c r="N159" s="8" t="s">
        <v>118</v>
      </c>
      <c r="O159" s="8" t="s">
        <v>117</v>
      </c>
      <c r="P159" s="8">
        <f>K159*1000</f>
        <v>3.6828000000000003</v>
      </c>
      <c r="Q159" s="8" t="s">
        <v>123</v>
      </c>
      <c r="R159" s="8"/>
      <c r="S159" s="8"/>
    </row>
    <row r="160" spans="2:28" x14ac:dyDescent="0.25">
      <c r="B160" s="82"/>
      <c r="C160" s="83"/>
      <c r="D160" s="82"/>
      <c r="E160" s="82"/>
      <c r="F160" s="86" t="s">
        <v>108</v>
      </c>
      <c r="G160" s="80"/>
      <c r="H160" s="80"/>
      <c r="I160" s="80"/>
      <c r="J160" s="80"/>
      <c r="K160" s="26">
        <f>SUM(K157:K159)*30</f>
        <v>0.11874049192965055</v>
      </c>
      <c r="L160" s="83"/>
      <c r="M160" t="s">
        <v>727</v>
      </c>
      <c r="N160" s="8" t="s">
        <v>112</v>
      </c>
      <c r="O160" s="8"/>
      <c r="P160" s="8"/>
      <c r="Q160" s="8"/>
    </row>
    <row r="161" spans="2:24" x14ac:dyDescent="0.25">
      <c r="B161" s="82"/>
      <c r="C161" s="83"/>
      <c r="D161" s="82"/>
      <c r="E161" s="82"/>
      <c r="F161" s="86"/>
      <c r="G161" s="80"/>
      <c r="H161" s="80"/>
      <c r="I161" s="80"/>
      <c r="J161" s="80"/>
      <c r="K161" s="26">
        <f>SUM(K157:K159)*100</f>
        <v>0.39580163976550181</v>
      </c>
      <c r="L161" s="83"/>
      <c r="M161" t="s">
        <v>727</v>
      </c>
      <c r="N161" s="8" t="s">
        <v>111</v>
      </c>
      <c r="O161" s="8"/>
      <c r="P161" s="8"/>
      <c r="Q161" s="8"/>
    </row>
    <row r="162" spans="2:24" x14ac:dyDescent="0.25">
      <c r="B162" s="82"/>
      <c r="C162" s="83"/>
      <c r="D162" s="82"/>
      <c r="E162" s="82"/>
      <c r="F162" s="86"/>
      <c r="G162" s="80"/>
      <c r="H162" s="80"/>
      <c r="I162" s="80"/>
      <c r="J162" s="80"/>
      <c r="K162" s="26">
        <f>SUM(K157:K159)</f>
        <v>3.9580163976550183E-3</v>
      </c>
      <c r="L162" s="83"/>
      <c r="M162" t="s">
        <v>728</v>
      </c>
      <c r="N162" s="8" t="s">
        <v>113</v>
      </c>
      <c r="O162" s="8"/>
      <c r="P162" s="23">
        <f>K162*1000</f>
        <v>3.9580163976550184</v>
      </c>
      <c r="Q162" s="8"/>
    </row>
    <row r="163" spans="2:24" x14ac:dyDescent="0.25">
      <c r="B163" s="82"/>
      <c r="C163" s="83">
        <v>2</v>
      </c>
      <c r="D163" s="82" t="s">
        <v>20</v>
      </c>
      <c r="E163" s="82" t="s">
        <v>23</v>
      </c>
      <c r="F163" s="15" t="s">
        <v>450</v>
      </c>
      <c r="G163" s="80">
        <v>1</v>
      </c>
      <c r="H163" s="80" t="s">
        <v>64</v>
      </c>
      <c r="I163" s="80" t="s">
        <v>110</v>
      </c>
      <c r="J163" s="80">
        <v>1</v>
      </c>
      <c r="K163" s="7">
        <f>(3.96/(0.3048^2))/400*5/1000</f>
        <v>5.3281356562713132E-4</v>
      </c>
      <c r="L163" s="83" t="s">
        <v>65</v>
      </c>
      <c r="M163" t="s">
        <v>738</v>
      </c>
      <c r="N163" s="8" t="s">
        <v>120</v>
      </c>
      <c r="O163" s="22" t="s">
        <v>122</v>
      </c>
      <c r="P163" s="29">
        <f>K163*1000</f>
        <v>0.53281356562713134</v>
      </c>
      <c r="Q163" s="8" t="s">
        <v>124</v>
      </c>
      <c r="R163" s="8"/>
      <c r="W163">
        <f>(1*(13*0.3048))*0.5*2</f>
        <v>3.9624000000000001</v>
      </c>
      <c r="X163" t="s">
        <v>447</v>
      </c>
    </row>
    <row r="164" spans="2:24" x14ac:dyDescent="0.25">
      <c r="B164" s="82"/>
      <c r="C164" s="83"/>
      <c r="D164" s="82"/>
      <c r="E164" s="82"/>
      <c r="F164" s="15" t="s">
        <v>451</v>
      </c>
      <c r="G164" s="80"/>
      <c r="H164" s="80"/>
      <c r="I164" s="80"/>
      <c r="J164" s="80"/>
      <c r="K164" s="8">
        <f>0.7/76.2*(P164*0.3048)/1000</f>
        <v>2.2079794159588321E-5</v>
      </c>
      <c r="L164" s="83"/>
      <c r="M164" t="s">
        <v>737</v>
      </c>
      <c r="N164" s="8" t="s">
        <v>119</v>
      </c>
      <c r="O164" s="8" t="s">
        <v>121</v>
      </c>
      <c r="P164" s="25">
        <f>(1.98/0.3048^2)*(37/100)</f>
        <v>7.8856407712815422</v>
      </c>
      <c r="Q164" s="8" t="s">
        <v>115</v>
      </c>
      <c r="R164" s="8"/>
      <c r="S164" s="8"/>
      <c r="T164" s="25">
        <f>P164*0.3048</f>
        <v>2.4035433070866143</v>
      </c>
      <c r="U164" s="8" t="s">
        <v>116</v>
      </c>
      <c r="W164">
        <f>(1*(13*0.3048))*0.25*2</f>
        <v>1.9812000000000001</v>
      </c>
    </row>
    <row r="165" spans="2:24" x14ac:dyDescent="0.25">
      <c r="B165" s="82"/>
      <c r="C165" s="83"/>
      <c r="D165" s="82"/>
      <c r="E165" s="82"/>
      <c r="F165" s="15" t="s">
        <v>452</v>
      </c>
      <c r="G165" s="80"/>
      <c r="H165" s="80"/>
      <c r="I165" s="80"/>
      <c r="J165" s="80"/>
      <c r="K165" s="7">
        <f>(0.79*(9.3))/1000</f>
        <v>7.3470000000000011E-3</v>
      </c>
      <c r="L165" s="83"/>
      <c r="M165" t="s">
        <v>739</v>
      </c>
      <c r="N165" s="8" t="s">
        <v>118</v>
      </c>
      <c r="O165" s="8" t="s">
        <v>117</v>
      </c>
      <c r="P165" s="8">
        <f>K165*1000</f>
        <v>7.3470000000000013</v>
      </c>
      <c r="Q165" s="8" t="s">
        <v>123</v>
      </c>
      <c r="R165" s="8"/>
      <c r="W165">
        <f>(1*(13*0.3048))*0.1*2</f>
        <v>0.79248000000000007</v>
      </c>
    </row>
    <row r="166" spans="2:24" x14ac:dyDescent="0.25">
      <c r="B166" s="82"/>
      <c r="C166" s="83"/>
      <c r="D166" s="82"/>
      <c r="E166" s="82"/>
      <c r="F166" s="15" t="s">
        <v>418</v>
      </c>
      <c r="G166" s="80"/>
      <c r="H166" s="80"/>
      <c r="I166" s="80"/>
      <c r="J166" s="80"/>
      <c r="K166" s="7">
        <f>(1)/(100*0.3048)*5*T166/1000</f>
        <v>2.4009782868050585E-4</v>
      </c>
      <c r="L166" s="83"/>
      <c r="M166" t="s">
        <v>736</v>
      </c>
      <c r="N166" s="8" t="s">
        <v>126</v>
      </c>
      <c r="O166" s="8" t="s">
        <v>127</v>
      </c>
      <c r="P166" s="8">
        <f>K166*1000</f>
        <v>0.24009782868050586</v>
      </c>
      <c r="Q166" s="8" t="s">
        <v>505</v>
      </c>
      <c r="T166" s="8">
        <f>3.22/2.2</f>
        <v>1.4636363636363636</v>
      </c>
      <c r="U166" s="8" t="s">
        <v>128</v>
      </c>
    </row>
    <row r="167" spans="2:24" x14ac:dyDescent="0.25">
      <c r="B167" s="82"/>
      <c r="C167" s="83"/>
      <c r="D167" s="82"/>
      <c r="E167" s="82"/>
      <c r="F167" s="87" t="s">
        <v>108</v>
      </c>
      <c r="G167" s="80"/>
      <c r="H167" s="80"/>
      <c r="I167" s="80"/>
      <c r="J167" s="80"/>
      <c r="K167" s="26">
        <f>SUM(K163:K166)*30</f>
        <v>0.24425973565401682</v>
      </c>
      <c r="L167" s="83"/>
      <c r="M167" t="s">
        <v>727</v>
      </c>
      <c r="N167" s="8" t="s">
        <v>112</v>
      </c>
      <c r="O167" s="8"/>
      <c r="P167" s="8"/>
      <c r="Q167" s="8"/>
      <c r="R167" s="8"/>
      <c r="S167" s="8"/>
      <c r="T167" s="8"/>
    </row>
    <row r="168" spans="2:24" x14ac:dyDescent="0.25">
      <c r="B168" s="82"/>
      <c r="C168" s="83"/>
      <c r="D168" s="82"/>
      <c r="E168" s="82"/>
      <c r="F168" s="87"/>
      <c r="G168" s="80"/>
      <c r="H168" s="80"/>
      <c r="I168" s="80"/>
      <c r="J168" s="80"/>
      <c r="K168" s="26" cm="1">
        <f t="array" ref="K168">SUM(K163:K166*100)</f>
        <v>0.81419911884672269</v>
      </c>
      <c r="L168" s="83"/>
      <c r="M168" t="s">
        <v>727</v>
      </c>
      <c r="N168" s="8" t="s">
        <v>111</v>
      </c>
      <c r="O168" s="8"/>
      <c r="P168" s="8"/>
      <c r="Q168" s="8"/>
      <c r="R168" s="8"/>
      <c r="S168" s="8"/>
      <c r="T168" s="8"/>
    </row>
    <row r="169" spans="2:24" x14ac:dyDescent="0.25">
      <c r="B169" s="82"/>
      <c r="C169" s="83"/>
      <c r="D169" s="82"/>
      <c r="E169" s="82"/>
      <c r="F169" s="87"/>
      <c r="G169" s="80"/>
      <c r="H169" s="80"/>
      <c r="I169" s="80"/>
      <c r="J169" s="80"/>
      <c r="K169" s="26">
        <f>SUM(K163:K165)</f>
        <v>7.9018933597867214E-3</v>
      </c>
      <c r="L169" s="83"/>
      <c r="M169" t="s">
        <v>728</v>
      </c>
      <c r="N169" s="8" t="s">
        <v>113</v>
      </c>
      <c r="O169" s="8"/>
      <c r="P169" s="23">
        <f>K169*1000</f>
        <v>7.9018933597867216</v>
      </c>
      <c r="Q169" s="8"/>
      <c r="R169" s="8"/>
      <c r="S169" s="8"/>
      <c r="T169" s="8"/>
    </row>
    <row r="170" spans="2:24" x14ac:dyDescent="0.25">
      <c r="B170" s="82"/>
      <c r="C170" s="83">
        <v>3</v>
      </c>
      <c r="D170" s="82" t="s">
        <v>21</v>
      </c>
      <c r="E170" s="82" t="s">
        <v>24</v>
      </c>
      <c r="F170" s="6" t="s">
        <v>453</v>
      </c>
      <c r="G170" s="80">
        <v>1</v>
      </c>
      <c r="H170" s="80" t="s">
        <v>64</v>
      </c>
      <c r="I170" s="80" t="s">
        <v>110</v>
      </c>
      <c r="J170" s="80">
        <v>1</v>
      </c>
      <c r="K170" s="7">
        <f>(1/0.3048)*(1/1)*T170/1000*0.5</f>
        <v>2.4009782868050582E-3</v>
      </c>
      <c r="L170" s="83" t="s">
        <v>67</v>
      </c>
      <c r="M170" t="s">
        <v>736</v>
      </c>
      <c r="N170" s="8" t="s">
        <v>129</v>
      </c>
      <c r="O170" s="22" t="s">
        <v>127</v>
      </c>
      <c r="P170" s="8">
        <f>K170*1000</f>
        <v>2.4009782868050582</v>
      </c>
      <c r="Q170" s="8" t="s">
        <v>505</v>
      </c>
      <c r="R170" s="8"/>
      <c r="S170" s="8"/>
      <c r="T170" s="8">
        <f>3.22/2.2</f>
        <v>1.4636363636363636</v>
      </c>
      <c r="U170" s="8" t="s">
        <v>128</v>
      </c>
      <c r="W170">
        <f>(1*(13*0.3048))*0.5*1</f>
        <v>1.9812000000000001</v>
      </c>
      <c r="X170" t="s">
        <v>447</v>
      </c>
    </row>
    <row r="171" spans="2:24" x14ac:dyDescent="0.25">
      <c r="B171" s="82"/>
      <c r="C171" s="83"/>
      <c r="D171" s="82"/>
      <c r="E171" s="82"/>
      <c r="F171" s="6" t="s">
        <v>454</v>
      </c>
      <c r="G171" s="80"/>
      <c r="H171" s="80"/>
      <c r="I171" s="80"/>
      <c r="J171" s="80"/>
      <c r="K171" s="7">
        <f>(3.96*(9.3))/1000</f>
        <v>3.6828E-2</v>
      </c>
      <c r="L171" s="83"/>
      <c r="M171" t="s">
        <v>739</v>
      </c>
      <c r="N171" s="8" t="s">
        <v>118</v>
      </c>
      <c r="O171" s="8" t="s">
        <v>117</v>
      </c>
      <c r="P171" s="8">
        <f>K171*1000</f>
        <v>36.828000000000003</v>
      </c>
      <c r="Q171" s="8" t="s">
        <v>123</v>
      </c>
      <c r="R171" s="8"/>
      <c r="S171" s="8"/>
      <c r="T171" s="8"/>
      <c r="U171" s="8"/>
      <c r="W171">
        <f>(1*(13*0.3048))*0.5*2</f>
        <v>3.9624000000000001</v>
      </c>
    </row>
    <row r="172" spans="2:24" x14ac:dyDescent="0.25">
      <c r="B172" s="82"/>
      <c r="C172" s="83"/>
      <c r="D172" s="82"/>
      <c r="E172" s="82"/>
      <c r="F172" s="6" t="s">
        <v>506</v>
      </c>
      <c r="G172" s="80"/>
      <c r="H172" s="80"/>
      <c r="I172" s="80"/>
      <c r="J172" s="80"/>
      <c r="K172" s="8">
        <f>0.7/76.2*(P172*0.3048)/1000</f>
        <v>8.8319176638353283E-5</v>
      </c>
      <c r="L172" s="83"/>
      <c r="M172" t="s">
        <v>737</v>
      </c>
      <c r="N172" s="8" t="s">
        <v>119</v>
      </c>
      <c r="O172" s="8" t="s">
        <v>121</v>
      </c>
      <c r="P172" s="25">
        <f>(7.92/0.3048^2)*(37/100)</f>
        <v>31.542563085126169</v>
      </c>
      <c r="Q172" s="8" t="s">
        <v>115</v>
      </c>
      <c r="R172" s="8"/>
      <c r="S172" s="8"/>
      <c r="T172" s="25">
        <f>P172*0.3048</f>
        <v>9.6141732283464574</v>
      </c>
      <c r="U172" s="8" t="s">
        <v>116</v>
      </c>
      <c r="W172">
        <f>(1*(13*0.3048))*1*2</f>
        <v>7.9248000000000003</v>
      </c>
    </row>
    <row r="173" spans="2:24" x14ac:dyDescent="0.25">
      <c r="B173" s="82"/>
      <c r="C173" s="83"/>
      <c r="D173" s="82"/>
      <c r="E173" s="82"/>
      <c r="F173" s="6" t="s">
        <v>507</v>
      </c>
      <c r="G173" s="80"/>
      <c r="H173" s="80"/>
      <c r="I173" s="80"/>
      <c r="J173" s="80"/>
      <c r="K173" s="7">
        <f>(7.92/(0.3048^2))/400*5/1000</f>
        <v>1.0656271312542626E-3</v>
      </c>
      <c r="L173" s="83"/>
      <c r="M173" t="s">
        <v>738</v>
      </c>
      <c r="N173" s="8" t="s">
        <v>120</v>
      </c>
      <c r="O173" s="22" t="s">
        <v>122</v>
      </c>
      <c r="P173" s="8">
        <f>K173*1000</f>
        <v>1.0656271312542627</v>
      </c>
      <c r="Q173" s="8" t="s">
        <v>124</v>
      </c>
      <c r="R173" s="8"/>
      <c r="S173" s="8"/>
      <c r="T173" s="8"/>
      <c r="U173" s="8"/>
      <c r="W173">
        <f>(1*(13*0.3048))*1*2</f>
        <v>7.9248000000000003</v>
      </c>
    </row>
    <row r="174" spans="2:24" x14ac:dyDescent="0.25">
      <c r="B174" s="82"/>
      <c r="C174" s="83"/>
      <c r="D174" s="82"/>
      <c r="E174" s="82"/>
      <c r="F174" s="86" t="s">
        <v>108</v>
      </c>
      <c r="G174" s="80"/>
      <c r="H174" s="80"/>
      <c r="I174" s="80"/>
      <c r="J174" s="80"/>
      <c r="K174" s="26">
        <f>SUM(K170:K173)*30</f>
        <v>1.2114877378409301</v>
      </c>
      <c r="L174" s="83"/>
      <c r="M174" t="s">
        <v>727</v>
      </c>
      <c r="N174" s="8" t="s">
        <v>112</v>
      </c>
      <c r="O174" s="8"/>
      <c r="P174" s="8"/>
      <c r="Q174" s="8"/>
      <c r="R174" s="8"/>
      <c r="S174" s="8"/>
      <c r="T174" s="8"/>
      <c r="U174" s="8"/>
    </row>
    <row r="175" spans="2:24" x14ac:dyDescent="0.25">
      <c r="B175" s="82"/>
      <c r="C175" s="83"/>
      <c r="D175" s="82"/>
      <c r="E175" s="82"/>
      <c r="F175" s="86"/>
      <c r="G175" s="80"/>
      <c r="H175" s="80"/>
      <c r="I175" s="80"/>
      <c r="J175" s="80"/>
      <c r="K175" s="26" cm="1">
        <f t="array" ref="K175">SUM(K170:K173*100)</f>
        <v>4.0382924594697673</v>
      </c>
      <c r="L175" s="83"/>
      <c r="M175" t="s">
        <v>727</v>
      </c>
      <c r="N175" s="8" t="s">
        <v>111</v>
      </c>
      <c r="O175" s="8"/>
      <c r="P175" s="8"/>
      <c r="Q175" s="8"/>
      <c r="R175" s="8"/>
      <c r="S175" s="8"/>
      <c r="T175" s="8"/>
      <c r="U175" s="8"/>
    </row>
    <row r="176" spans="2:24" x14ac:dyDescent="0.25">
      <c r="B176" s="82"/>
      <c r="C176" s="83"/>
      <c r="D176" s="82"/>
      <c r="E176" s="82"/>
      <c r="F176" s="86"/>
      <c r="G176" s="80"/>
      <c r="H176" s="80"/>
      <c r="I176" s="80"/>
      <c r="J176" s="80"/>
      <c r="K176" s="26">
        <f>SUM(K171:K173)</f>
        <v>3.7981946307892617E-2</v>
      </c>
      <c r="L176" s="83"/>
      <c r="M176" t="s">
        <v>728</v>
      </c>
      <c r="N176" s="8" t="s">
        <v>113</v>
      </c>
      <c r="O176" s="8"/>
      <c r="P176" s="23">
        <f>K176*1000</f>
        <v>37.981946307892613</v>
      </c>
      <c r="Q176" s="8"/>
      <c r="R176" s="8"/>
      <c r="S176" s="8"/>
      <c r="T176" s="8"/>
      <c r="U176" s="8"/>
    </row>
    <row r="177" spans="2:24" x14ac:dyDescent="0.25">
      <c r="B177" s="21" t="s">
        <v>355</v>
      </c>
      <c r="C177" s="10"/>
      <c r="D177" s="21"/>
      <c r="E177" s="21"/>
      <c r="F177" s="21"/>
      <c r="G177" s="21"/>
      <c r="H177" s="21"/>
      <c r="I177" s="21"/>
      <c r="J177" s="21"/>
      <c r="K177" s="21"/>
      <c r="L177" s="42"/>
      <c r="M177" s="21"/>
      <c r="N177" s="21"/>
      <c r="O177" s="21"/>
    </row>
    <row r="178" spans="2:24" ht="15" customHeight="1" x14ac:dyDescent="0.25">
      <c r="B178" s="82" t="s">
        <v>373</v>
      </c>
      <c r="C178" s="83">
        <v>1</v>
      </c>
      <c r="D178" s="80" t="s">
        <v>374</v>
      </c>
      <c r="E178" s="82" t="s">
        <v>375</v>
      </c>
      <c r="F178" s="6" t="s">
        <v>456</v>
      </c>
      <c r="G178" s="82">
        <v>1</v>
      </c>
      <c r="H178" s="82" t="s">
        <v>64</v>
      </c>
      <c r="I178" s="80" t="s">
        <v>110</v>
      </c>
      <c r="J178" s="80">
        <v>1</v>
      </c>
      <c r="K178" s="57">
        <f>W178*2.74/1000</f>
        <v>4.0004E-4</v>
      </c>
      <c r="L178" s="83" t="s">
        <v>721</v>
      </c>
      <c r="M178" t="s">
        <v>740</v>
      </c>
      <c r="N178" s="13"/>
      <c r="O178" s="50" t="s">
        <v>508</v>
      </c>
      <c r="P178">
        <f>1*R178</f>
        <v>2.7432000000000003</v>
      </c>
      <c r="Q178" t="s">
        <v>63</v>
      </c>
      <c r="R178">
        <f>9*0.3048</f>
        <v>2.7432000000000003</v>
      </c>
      <c r="S178" t="s">
        <v>455</v>
      </c>
      <c r="W178">
        <v>0.14599999999999999</v>
      </c>
      <c r="X178" t="s">
        <v>131</v>
      </c>
    </row>
    <row r="179" spans="2:24" x14ac:dyDescent="0.25">
      <c r="B179" s="82"/>
      <c r="C179" s="83"/>
      <c r="D179" s="80"/>
      <c r="E179" s="82"/>
      <c r="F179" s="86" t="s">
        <v>108</v>
      </c>
      <c r="G179" s="82"/>
      <c r="H179" s="82"/>
      <c r="I179" s="80"/>
      <c r="J179" s="80"/>
      <c r="K179" s="26">
        <f>SUM(K178)*30</f>
        <v>1.20012E-2</v>
      </c>
      <c r="L179" s="83"/>
      <c r="M179" t="s">
        <v>727</v>
      </c>
      <c r="N179" s="8" t="s">
        <v>112</v>
      </c>
      <c r="O179" s="8"/>
      <c r="P179" s="8"/>
    </row>
    <row r="180" spans="2:24" x14ac:dyDescent="0.25">
      <c r="B180" s="82"/>
      <c r="C180" s="83"/>
      <c r="D180" s="80"/>
      <c r="E180" s="82"/>
      <c r="F180" s="86"/>
      <c r="G180" s="82"/>
      <c r="H180" s="82"/>
      <c r="I180" s="80"/>
      <c r="J180" s="80"/>
      <c r="K180" s="26">
        <f>SUM(K178*100)</f>
        <v>4.0003999999999998E-2</v>
      </c>
      <c r="L180" s="83"/>
      <c r="M180" t="s">
        <v>727</v>
      </c>
      <c r="N180" s="8" t="s">
        <v>111</v>
      </c>
      <c r="O180" s="8"/>
      <c r="P180" s="8"/>
    </row>
    <row r="181" spans="2:24" x14ac:dyDescent="0.25">
      <c r="B181" s="82"/>
      <c r="C181" s="83"/>
      <c r="D181" s="80"/>
      <c r="E181" s="82"/>
      <c r="F181" s="86"/>
      <c r="G181" s="82"/>
      <c r="H181" s="82"/>
      <c r="I181" s="80"/>
      <c r="J181" s="80"/>
      <c r="K181" s="26">
        <f>SUM(K178)</f>
        <v>4.0004E-4</v>
      </c>
      <c r="L181" s="83"/>
      <c r="M181" t="s">
        <v>728</v>
      </c>
      <c r="N181" s="8" t="s">
        <v>113</v>
      </c>
      <c r="O181" s="8"/>
      <c r="P181" s="23">
        <f>K181*1000</f>
        <v>0.40004000000000001</v>
      </c>
    </row>
    <row r="182" spans="2:24" hidden="1" x14ac:dyDescent="0.25">
      <c r="B182" s="21" t="s">
        <v>356</v>
      </c>
      <c r="C182" s="10"/>
      <c r="D182" s="21"/>
      <c r="E182" s="21"/>
      <c r="F182" s="21"/>
      <c r="G182" s="21"/>
      <c r="H182" s="21"/>
      <c r="I182" s="21"/>
      <c r="J182" s="21"/>
      <c r="K182" s="21"/>
      <c r="L182" s="42"/>
      <c r="M182" s="21"/>
      <c r="N182" s="21"/>
      <c r="O182" s="21"/>
    </row>
    <row r="183" spans="2:24" ht="15" hidden="1" customHeight="1" x14ac:dyDescent="0.25">
      <c r="B183" s="82" t="s">
        <v>376</v>
      </c>
      <c r="C183" s="80">
        <v>1</v>
      </c>
      <c r="D183" s="82" t="s">
        <v>377</v>
      </c>
      <c r="E183" s="82" t="s">
        <v>378</v>
      </c>
      <c r="F183" s="6" t="s">
        <v>509</v>
      </c>
      <c r="G183" s="80">
        <v>1</v>
      </c>
      <c r="H183" s="80" t="s">
        <v>63</v>
      </c>
      <c r="I183" s="80" t="s">
        <v>110</v>
      </c>
      <c r="J183" s="80">
        <v>1</v>
      </c>
      <c r="K183" s="13">
        <f>(47.3-45.4)*0.05/1000</f>
        <v>9.4999999999999937E-5</v>
      </c>
      <c r="L183" s="80" t="s">
        <v>478</v>
      </c>
      <c r="M183" s="45" t="s">
        <v>512</v>
      </c>
      <c r="N183" s="13" t="s">
        <v>510</v>
      </c>
      <c r="O183" s="6" t="s">
        <v>511</v>
      </c>
    </row>
    <row r="184" spans="2:24" hidden="1" x14ac:dyDescent="0.25">
      <c r="B184" s="82"/>
      <c r="C184" s="80"/>
      <c r="D184" s="82"/>
      <c r="E184" s="82"/>
      <c r="F184" s="86" t="s">
        <v>108</v>
      </c>
      <c r="G184" s="80"/>
      <c r="H184" s="80"/>
      <c r="I184" s="80"/>
      <c r="J184" s="80"/>
      <c r="K184" s="26">
        <f>SUM(K183)*30</f>
        <v>2.8499999999999979E-3</v>
      </c>
      <c r="L184" s="80"/>
      <c r="M184" t="s">
        <v>698</v>
      </c>
      <c r="N184" s="8" t="s">
        <v>112</v>
      </c>
      <c r="O184" s="8"/>
      <c r="P184" s="8"/>
    </row>
    <row r="185" spans="2:24" hidden="1" x14ac:dyDescent="0.25">
      <c r="B185" s="82"/>
      <c r="C185" s="80"/>
      <c r="D185" s="82"/>
      <c r="E185" s="82"/>
      <c r="F185" s="86"/>
      <c r="G185" s="80"/>
      <c r="H185" s="80"/>
      <c r="I185" s="80"/>
      <c r="J185" s="80"/>
      <c r="K185" s="26">
        <f>SUM(K183*100)</f>
        <v>9.4999999999999946E-3</v>
      </c>
      <c r="L185" s="80"/>
      <c r="M185" t="s">
        <v>698</v>
      </c>
      <c r="N185" s="8" t="s">
        <v>111</v>
      </c>
      <c r="O185" s="8"/>
      <c r="P185" s="8"/>
    </row>
    <row r="186" spans="2:24" hidden="1" x14ac:dyDescent="0.25">
      <c r="B186" s="82"/>
      <c r="C186" s="80"/>
      <c r="D186" s="82"/>
      <c r="E186" s="82"/>
      <c r="F186" s="86"/>
      <c r="G186" s="80"/>
      <c r="H186" s="80"/>
      <c r="I186" s="80"/>
      <c r="J186" s="80"/>
      <c r="K186" s="26">
        <f>SUM(K183)</f>
        <v>9.4999999999999937E-5</v>
      </c>
      <c r="L186" s="80"/>
      <c r="M186" t="s">
        <v>109</v>
      </c>
      <c r="N186" s="8" t="s">
        <v>113</v>
      </c>
      <c r="O186" s="8"/>
      <c r="P186" s="23">
        <f>K186*1000</f>
        <v>9.4999999999999932E-2</v>
      </c>
    </row>
    <row r="187" spans="2:24" x14ac:dyDescent="0.25">
      <c r="B187" s="21" t="s">
        <v>357</v>
      </c>
      <c r="C187" s="10"/>
      <c r="D187" s="21"/>
      <c r="E187" s="21"/>
      <c r="F187" s="21"/>
      <c r="G187" s="21"/>
      <c r="H187" s="21"/>
      <c r="I187" s="21"/>
      <c r="J187" s="21"/>
      <c r="K187" s="21"/>
      <c r="L187" s="42"/>
      <c r="M187" s="21"/>
      <c r="N187" s="21"/>
      <c r="O187" s="21"/>
    </row>
    <row r="188" spans="2:24" ht="15" customHeight="1" x14ac:dyDescent="0.25">
      <c r="B188" s="82" t="s">
        <v>379</v>
      </c>
      <c r="C188" s="91">
        <v>1</v>
      </c>
      <c r="D188" s="82" t="s">
        <v>27</v>
      </c>
      <c r="E188" s="82" t="s">
        <v>30</v>
      </c>
      <c r="F188" s="6" t="s">
        <v>513</v>
      </c>
      <c r="G188" s="80">
        <v>1</v>
      </c>
      <c r="H188" s="80" t="s">
        <v>63</v>
      </c>
      <c r="I188" s="80" t="s">
        <v>110</v>
      </c>
      <c r="J188" s="80">
        <v>1</v>
      </c>
      <c r="K188" s="27">
        <f>P188*Q188/1000</f>
        <v>1.1008544744362214E-4</v>
      </c>
      <c r="L188" s="83" t="s">
        <v>479</v>
      </c>
      <c r="M188" s="8" t="s">
        <v>741</v>
      </c>
      <c r="N188" s="8" t="s">
        <v>136</v>
      </c>
      <c r="O188" s="8" t="s">
        <v>135</v>
      </c>
      <c r="P188" s="8">
        <f>G188*0.05</f>
        <v>0.05</v>
      </c>
      <c r="Q188" s="25">
        <f>0.45/2.2/(0.3048^2)</f>
        <v>2.2017089488724428</v>
      </c>
      <c r="R188" s="8" t="s">
        <v>131</v>
      </c>
      <c r="S188" s="8"/>
      <c r="T188" s="8"/>
      <c r="U188" s="8"/>
    </row>
    <row r="189" spans="2:24" x14ac:dyDescent="0.25">
      <c r="B189" s="82"/>
      <c r="C189" s="91"/>
      <c r="D189" s="82"/>
      <c r="E189" s="82"/>
      <c r="F189" s="86" t="s">
        <v>108</v>
      </c>
      <c r="G189" s="80"/>
      <c r="H189" s="80"/>
      <c r="I189" s="80"/>
      <c r="J189" s="80"/>
      <c r="K189" s="26">
        <f>K188*30</f>
        <v>3.3025634233086643E-3</v>
      </c>
      <c r="L189" s="83"/>
      <c r="M189" t="s">
        <v>727</v>
      </c>
      <c r="N189" s="8" t="s">
        <v>112</v>
      </c>
      <c r="O189" s="8"/>
      <c r="P189" s="8"/>
      <c r="Q189" s="25"/>
      <c r="R189" s="8"/>
      <c r="S189" s="8"/>
      <c r="T189" s="8"/>
      <c r="U189" s="8"/>
    </row>
    <row r="190" spans="2:24" x14ac:dyDescent="0.25">
      <c r="B190" s="82"/>
      <c r="C190" s="91"/>
      <c r="D190" s="82"/>
      <c r="E190" s="82"/>
      <c r="F190" s="86"/>
      <c r="G190" s="80"/>
      <c r="H190" s="80"/>
      <c r="I190" s="80"/>
      <c r="J190" s="80"/>
      <c r="K190" s="26">
        <f>K188*100</f>
        <v>1.1008544744362215E-2</v>
      </c>
      <c r="L190" s="83"/>
      <c r="M190" t="s">
        <v>727</v>
      </c>
      <c r="N190" s="8" t="s">
        <v>111</v>
      </c>
      <c r="O190" s="8"/>
      <c r="P190" s="8"/>
      <c r="Q190" s="25"/>
      <c r="R190" s="8"/>
      <c r="S190" s="8"/>
      <c r="T190" s="8"/>
      <c r="U190" s="8"/>
    </row>
    <row r="191" spans="2:24" x14ac:dyDescent="0.25">
      <c r="B191" s="82"/>
      <c r="C191" s="91"/>
      <c r="D191" s="82"/>
      <c r="E191" s="82"/>
      <c r="F191" s="86"/>
      <c r="G191" s="80"/>
      <c r="H191" s="80"/>
      <c r="I191" s="80"/>
      <c r="J191" s="80"/>
      <c r="K191" s="26">
        <f>K188</f>
        <v>1.1008544744362214E-4</v>
      </c>
      <c r="L191" s="83"/>
      <c r="M191" t="s">
        <v>728</v>
      </c>
      <c r="N191" s="8" t="s">
        <v>113</v>
      </c>
      <c r="O191" s="8"/>
      <c r="P191" s="23">
        <f>K191*1000</f>
        <v>0.11008544744362214</v>
      </c>
      <c r="Q191" s="25"/>
      <c r="R191" s="8"/>
      <c r="S191" s="8"/>
      <c r="T191" s="8"/>
      <c r="U191" s="8"/>
    </row>
    <row r="192" spans="2:24" x14ac:dyDescent="0.25">
      <c r="B192" s="82"/>
      <c r="C192" s="91">
        <v>2</v>
      </c>
      <c r="D192" s="82" t="s">
        <v>28</v>
      </c>
      <c r="E192" s="82" t="s">
        <v>31</v>
      </c>
      <c r="F192" s="15" t="s">
        <v>77</v>
      </c>
      <c r="G192" s="80">
        <v>1</v>
      </c>
      <c r="H192" s="80" t="s">
        <v>63</v>
      </c>
      <c r="I192" s="80" t="s">
        <v>110</v>
      </c>
      <c r="J192" s="80">
        <v>1</v>
      </c>
      <c r="K192" s="7">
        <f>Q192*P192/1000</f>
        <v>6.6051268466173283E-4</v>
      </c>
      <c r="L192" s="83" t="s">
        <v>480</v>
      </c>
      <c r="M192" s="8" t="s">
        <v>741</v>
      </c>
      <c r="N192" s="8" t="s">
        <v>136</v>
      </c>
      <c r="O192" s="8" t="s">
        <v>135</v>
      </c>
      <c r="P192" s="8">
        <f>G192*0.3</f>
        <v>0.3</v>
      </c>
      <c r="Q192" s="25">
        <f>0.45/2.2/(0.3048^2)</f>
        <v>2.2017089488724428</v>
      </c>
      <c r="R192" s="8" t="s">
        <v>131</v>
      </c>
      <c r="S192" s="8"/>
      <c r="T192" s="8"/>
    </row>
    <row r="193" spans="2:21" x14ac:dyDescent="0.25">
      <c r="B193" s="82"/>
      <c r="C193" s="91"/>
      <c r="D193" s="82"/>
      <c r="E193" s="82"/>
      <c r="F193" s="15" t="s">
        <v>78</v>
      </c>
      <c r="G193" s="80"/>
      <c r="H193" s="80"/>
      <c r="I193" s="80"/>
      <c r="J193" s="80"/>
      <c r="K193" s="7">
        <f>Q193*0.3/1000</f>
        <v>2.7E-4</v>
      </c>
      <c r="L193" s="83"/>
      <c r="M193" s="8" t="s">
        <v>743</v>
      </c>
      <c r="N193" s="8" t="s">
        <v>138</v>
      </c>
      <c r="O193" s="22" t="s">
        <v>137</v>
      </c>
      <c r="P193" s="8">
        <f>K193*1000</f>
        <v>0.27</v>
      </c>
      <c r="Q193" s="8">
        <v>0.9</v>
      </c>
      <c r="R193" s="8" t="s">
        <v>131</v>
      </c>
      <c r="S193" s="8"/>
      <c r="T193" s="8"/>
    </row>
    <row r="194" spans="2:21" x14ac:dyDescent="0.25">
      <c r="B194" s="82"/>
      <c r="C194" s="91"/>
      <c r="D194" s="82"/>
      <c r="E194" s="82"/>
      <c r="F194" s="15" t="s">
        <v>515</v>
      </c>
      <c r="G194" s="80"/>
      <c r="H194" s="80"/>
      <c r="I194" s="80"/>
      <c r="J194" s="80"/>
      <c r="K194" s="7">
        <f>0.043*Q194/1000</f>
        <v>1.2512999999999999E-5</v>
      </c>
      <c r="L194" s="83"/>
      <c r="M194" t="s">
        <v>742</v>
      </c>
      <c r="N194" s="8" t="s">
        <v>141</v>
      </c>
      <c r="O194" s="8" t="s">
        <v>140</v>
      </c>
      <c r="P194" s="8">
        <f>0.043</f>
        <v>4.2999999999999997E-2</v>
      </c>
      <c r="Q194" s="8">
        <v>0.29099999999999998</v>
      </c>
      <c r="R194" s="8" t="s">
        <v>139</v>
      </c>
      <c r="S194" s="8"/>
      <c r="T194" s="8"/>
    </row>
    <row r="195" spans="2:21" x14ac:dyDescent="0.25">
      <c r="B195" s="82"/>
      <c r="C195" s="91"/>
      <c r="D195" s="82"/>
      <c r="E195" s="82"/>
      <c r="F195" s="87" t="s">
        <v>108</v>
      </c>
      <c r="G195" s="80"/>
      <c r="H195" s="80"/>
      <c r="I195" s="80"/>
      <c r="J195" s="80"/>
      <c r="K195" s="26">
        <f>SUM(K192:K194)*30</f>
        <v>2.8290770539851982E-2</v>
      </c>
      <c r="L195" s="83"/>
      <c r="M195" t="s">
        <v>727</v>
      </c>
      <c r="N195" s="8" t="s">
        <v>112</v>
      </c>
      <c r="O195" s="8"/>
      <c r="P195" s="8"/>
      <c r="Q195" s="8"/>
      <c r="R195" s="8"/>
      <c r="S195" s="8"/>
      <c r="T195" s="8"/>
    </row>
    <row r="196" spans="2:21" x14ac:dyDescent="0.25">
      <c r="B196" s="82"/>
      <c r="C196" s="91"/>
      <c r="D196" s="82"/>
      <c r="E196" s="82"/>
      <c r="F196" s="87"/>
      <c r="G196" s="80"/>
      <c r="H196" s="80"/>
      <c r="I196" s="80"/>
      <c r="J196" s="80"/>
      <c r="K196" s="26">
        <f>SUM(K192:K194)*100</f>
        <v>9.4302568466173284E-2</v>
      </c>
      <c r="L196" s="83"/>
      <c r="M196" t="s">
        <v>727</v>
      </c>
      <c r="N196" s="8" t="s">
        <v>111</v>
      </c>
      <c r="O196" s="8"/>
      <c r="P196" s="8"/>
      <c r="Q196" s="8"/>
      <c r="R196" s="8"/>
      <c r="S196" s="8"/>
      <c r="T196" s="8"/>
    </row>
    <row r="197" spans="2:21" x14ac:dyDescent="0.25">
      <c r="B197" s="82"/>
      <c r="C197" s="91"/>
      <c r="D197" s="82"/>
      <c r="E197" s="82"/>
      <c r="F197" s="87"/>
      <c r="G197" s="80"/>
      <c r="H197" s="80"/>
      <c r="I197" s="80"/>
      <c r="J197" s="80"/>
      <c r="K197" s="26">
        <f>SUM(K192:K194)</f>
        <v>9.430256846617328E-4</v>
      </c>
      <c r="L197" s="83"/>
      <c r="M197" t="s">
        <v>728</v>
      </c>
      <c r="N197" s="8" t="s">
        <v>113</v>
      </c>
      <c r="O197" s="8"/>
      <c r="P197" s="23">
        <f>K197*1000</f>
        <v>0.94302568466173275</v>
      </c>
      <c r="Q197" s="8"/>
      <c r="R197" s="8"/>
      <c r="S197" s="8"/>
      <c r="T197" s="8"/>
    </row>
    <row r="198" spans="2:21" x14ac:dyDescent="0.25">
      <c r="B198" s="82"/>
      <c r="C198" s="91">
        <v>3</v>
      </c>
      <c r="D198" s="82" t="s">
        <v>29</v>
      </c>
      <c r="E198" s="82" t="s">
        <v>32</v>
      </c>
      <c r="F198" s="6" t="s">
        <v>457</v>
      </c>
      <c r="G198" s="80">
        <v>1</v>
      </c>
      <c r="H198" s="80" t="s">
        <v>63</v>
      </c>
      <c r="I198" s="80" t="s">
        <v>110</v>
      </c>
      <c r="J198" s="80">
        <v>1</v>
      </c>
      <c r="K198" s="7">
        <f>Q198*1/1000</f>
        <v>2.201708948872443E-3</v>
      </c>
      <c r="L198" s="83" t="s">
        <v>481</v>
      </c>
      <c r="M198" s="8" t="s">
        <v>741</v>
      </c>
      <c r="N198" s="8" t="s">
        <v>136</v>
      </c>
      <c r="O198" s="8" t="s">
        <v>135</v>
      </c>
      <c r="P198" s="8">
        <f>G198*1</f>
        <v>1</v>
      </c>
      <c r="Q198" s="25">
        <f>0.45/2.2/(0.3048^2)</f>
        <v>2.2017089488724428</v>
      </c>
      <c r="R198" s="8" t="s">
        <v>131</v>
      </c>
    </row>
    <row r="199" spans="2:21" x14ac:dyDescent="0.25">
      <c r="B199" s="82"/>
      <c r="C199" s="91"/>
      <c r="D199" s="82"/>
      <c r="E199" s="82"/>
      <c r="F199" s="6" t="s">
        <v>514</v>
      </c>
      <c r="G199" s="80"/>
      <c r="H199" s="80"/>
      <c r="I199" s="80"/>
      <c r="J199" s="80"/>
      <c r="K199" s="7">
        <f>Q199*1/1000</f>
        <v>8.9999999999999998E-4</v>
      </c>
      <c r="L199" s="83"/>
      <c r="M199" s="8" t="s">
        <v>743</v>
      </c>
      <c r="N199" s="8" t="s">
        <v>138</v>
      </c>
      <c r="O199" s="22" t="s">
        <v>137</v>
      </c>
      <c r="P199" s="8">
        <f>K199*1000</f>
        <v>0.9</v>
      </c>
      <c r="Q199" s="8">
        <v>0.9</v>
      </c>
      <c r="R199" s="8" t="s">
        <v>131</v>
      </c>
    </row>
    <row r="200" spans="2:21" x14ac:dyDescent="0.25">
      <c r="B200" s="82"/>
      <c r="C200" s="91"/>
      <c r="D200" s="82"/>
      <c r="E200" s="82"/>
      <c r="F200" s="6" t="s">
        <v>79</v>
      </c>
      <c r="G200" s="80"/>
      <c r="H200" s="80"/>
      <c r="I200" s="80"/>
      <c r="J200" s="80"/>
      <c r="K200" s="7">
        <f>Q200*0.129/1000</f>
        <v>3.7538999999999994E-5</v>
      </c>
      <c r="L200" s="83"/>
      <c r="M200" t="s">
        <v>742</v>
      </c>
      <c r="N200" s="8" t="s">
        <v>141</v>
      </c>
      <c r="O200" s="8" t="s">
        <v>140</v>
      </c>
      <c r="P200" s="8">
        <v>0.129</v>
      </c>
      <c r="Q200" s="8">
        <v>0.29099999999999998</v>
      </c>
      <c r="R200" s="8" t="s">
        <v>139</v>
      </c>
    </row>
    <row r="201" spans="2:21" x14ac:dyDescent="0.25">
      <c r="B201" s="82"/>
      <c r="C201" s="91"/>
      <c r="D201" s="82"/>
      <c r="E201" s="82"/>
      <c r="F201" s="86" t="s">
        <v>108</v>
      </c>
      <c r="G201" s="80"/>
      <c r="H201" s="80"/>
      <c r="I201" s="80"/>
      <c r="J201" s="80"/>
      <c r="K201" s="26">
        <f>SUM(K198:K200)*30</f>
        <v>9.4177438466173297E-2</v>
      </c>
      <c r="L201" s="83"/>
      <c r="M201" t="s">
        <v>727</v>
      </c>
      <c r="N201" s="8" t="s">
        <v>112</v>
      </c>
      <c r="O201" s="8"/>
      <c r="P201" s="8"/>
      <c r="Q201" s="8"/>
      <c r="R201" s="8"/>
    </row>
    <row r="202" spans="2:21" x14ac:dyDescent="0.25">
      <c r="B202" s="82"/>
      <c r="C202" s="91"/>
      <c r="D202" s="82"/>
      <c r="E202" s="82"/>
      <c r="F202" s="86"/>
      <c r="G202" s="80"/>
      <c r="H202" s="80"/>
      <c r="I202" s="80"/>
      <c r="J202" s="80"/>
      <c r="K202" s="26">
        <f>SUM(K198:K200)*100</f>
        <v>0.31392479488724434</v>
      </c>
      <c r="L202" s="83"/>
      <c r="M202" t="s">
        <v>727</v>
      </c>
      <c r="N202" s="8" t="s">
        <v>111</v>
      </c>
      <c r="O202" s="8"/>
      <c r="P202" s="8"/>
      <c r="Q202" s="8"/>
      <c r="R202" s="8"/>
    </row>
    <row r="203" spans="2:21" x14ac:dyDescent="0.25">
      <c r="B203" s="82"/>
      <c r="C203" s="91"/>
      <c r="D203" s="82"/>
      <c r="E203" s="82"/>
      <c r="F203" s="86"/>
      <c r="G203" s="80"/>
      <c r="H203" s="80"/>
      <c r="I203" s="80"/>
      <c r="J203" s="80"/>
      <c r="K203" s="26">
        <f>SUM(K198:K200)</f>
        <v>3.1392479488724432E-3</v>
      </c>
      <c r="L203" s="83"/>
      <c r="M203" t="s">
        <v>728</v>
      </c>
      <c r="N203" s="8" t="s">
        <v>113</v>
      </c>
      <c r="O203" s="8"/>
      <c r="P203" s="23">
        <f>K203*1000</f>
        <v>3.1392479488724434</v>
      </c>
      <c r="Q203" s="8"/>
      <c r="R203" s="8"/>
    </row>
    <row r="204" spans="2:21" x14ac:dyDescent="0.25">
      <c r="B204" s="21" t="s">
        <v>358</v>
      </c>
      <c r="C204" s="10"/>
      <c r="D204" s="21"/>
      <c r="E204" s="21"/>
      <c r="F204" s="43"/>
      <c r="G204" s="21"/>
      <c r="H204" s="21"/>
      <c r="I204" s="21"/>
      <c r="J204" s="21"/>
      <c r="K204" s="21"/>
      <c r="L204" s="42"/>
      <c r="M204" s="21"/>
      <c r="N204" s="21"/>
      <c r="O204" s="21"/>
    </row>
    <row r="205" spans="2:21" ht="15" customHeight="1" x14ac:dyDescent="0.25">
      <c r="B205" s="82" t="s">
        <v>380</v>
      </c>
      <c r="C205" s="72">
        <v>1</v>
      </c>
      <c r="D205" s="36" t="s">
        <v>39</v>
      </c>
      <c r="E205" s="36" t="s">
        <v>382</v>
      </c>
      <c r="F205" s="6" t="s">
        <v>419</v>
      </c>
      <c r="G205" s="36">
        <v>1</v>
      </c>
      <c r="H205" s="35" t="s">
        <v>64</v>
      </c>
      <c r="I205" s="36" t="s">
        <v>110</v>
      </c>
      <c r="J205" s="36">
        <v>1</v>
      </c>
      <c r="K205" s="53">
        <v>0</v>
      </c>
      <c r="L205" s="72" t="s">
        <v>482</v>
      </c>
      <c r="M205" t="s">
        <v>80</v>
      </c>
      <c r="N205" s="8" t="s">
        <v>559</v>
      </c>
      <c r="O205" s="8"/>
      <c r="P205" s="52"/>
      <c r="Q205" s="8"/>
      <c r="R205" s="8"/>
      <c r="S205" s="8"/>
      <c r="T205" s="8"/>
      <c r="U205" s="8"/>
    </row>
    <row r="206" spans="2:21" x14ac:dyDescent="0.25">
      <c r="B206" s="82"/>
      <c r="C206" s="83">
        <v>2</v>
      </c>
      <c r="D206" s="82" t="s">
        <v>381</v>
      </c>
      <c r="E206" s="82" t="s">
        <v>383</v>
      </c>
      <c r="F206" s="15" t="s">
        <v>420</v>
      </c>
      <c r="G206" s="82">
        <v>1</v>
      </c>
      <c r="H206" s="80" t="s">
        <v>64</v>
      </c>
      <c r="I206" s="82" t="s">
        <v>110</v>
      </c>
      <c r="J206" s="82">
        <v>1</v>
      </c>
      <c r="K206" s="57">
        <f>20*0.3048*Q206/1000</f>
        <v>1.53452E-2</v>
      </c>
      <c r="L206" s="83" t="s">
        <v>483</v>
      </c>
      <c r="M206" t="s">
        <v>744</v>
      </c>
      <c r="N206" s="8" t="s">
        <v>560</v>
      </c>
      <c r="O206" s="8" t="s">
        <v>561</v>
      </c>
      <c r="P206" s="8">
        <f>K206*1000</f>
        <v>15.3452</v>
      </c>
      <c r="Q206" s="25">
        <f>1.69*0.454/0.3048</f>
        <v>2.517257217847769</v>
      </c>
      <c r="R206" s="8" t="s">
        <v>562</v>
      </c>
      <c r="S206" s="8"/>
      <c r="T206" s="8"/>
      <c r="U206" s="8"/>
    </row>
    <row r="207" spans="2:21" x14ac:dyDescent="0.25">
      <c r="B207" s="82"/>
      <c r="C207" s="83"/>
      <c r="D207" s="82"/>
      <c r="E207" s="82"/>
      <c r="F207" s="87" t="s">
        <v>108</v>
      </c>
      <c r="G207" s="82"/>
      <c r="H207" s="80"/>
      <c r="I207" s="82"/>
      <c r="J207" s="82"/>
      <c r="K207" s="26">
        <f>K206*30</f>
        <v>0.46035599999999999</v>
      </c>
      <c r="L207" s="83"/>
      <c r="M207" t="s">
        <v>727</v>
      </c>
      <c r="N207" s="8" t="s">
        <v>112</v>
      </c>
      <c r="O207" s="8"/>
      <c r="P207" s="8"/>
      <c r="Q207" s="8"/>
      <c r="R207" s="8"/>
      <c r="S207" s="8"/>
      <c r="T207" s="8"/>
      <c r="U207" s="8"/>
    </row>
    <row r="208" spans="2:21" x14ac:dyDescent="0.25">
      <c r="B208" s="82"/>
      <c r="C208" s="83"/>
      <c r="D208" s="82"/>
      <c r="E208" s="82"/>
      <c r="F208" s="87"/>
      <c r="G208" s="82"/>
      <c r="H208" s="80"/>
      <c r="I208" s="82"/>
      <c r="J208" s="82"/>
      <c r="K208" s="26">
        <f>K206*100</f>
        <v>1.5345199999999999</v>
      </c>
      <c r="L208" s="83"/>
      <c r="M208" t="s">
        <v>727</v>
      </c>
      <c r="N208" s="8" t="s">
        <v>111</v>
      </c>
      <c r="O208" s="8"/>
      <c r="P208" s="8"/>
      <c r="Q208" s="8"/>
      <c r="R208" s="8"/>
      <c r="S208" s="8"/>
      <c r="T208" s="8"/>
      <c r="U208" s="8"/>
    </row>
    <row r="209" spans="2:37" x14ac:dyDescent="0.25">
      <c r="B209" s="82"/>
      <c r="C209" s="83"/>
      <c r="D209" s="82"/>
      <c r="E209" s="82"/>
      <c r="F209" s="87"/>
      <c r="G209" s="82"/>
      <c r="H209" s="80"/>
      <c r="I209" s="82"/>
      <c r="J209" s="82"/>
      <c r="K209" s="26">
        <f>0</f>
        <v>0</v>
      </c>
      <c r="L209" s="83"/>
      <c r="M209" t="s">
        <v>728</v>
      </c>
      <c r="N209" s="8" t="s">
        <v>547</v>
      </c>
      <c r="O209" s="8"/>
      <c r="P209" s="29">
        <f>K209*1000</f>
        <v>0</v>
      </c>
      <c r="Q209" s="8"/>
      <c r="R209" s="8"/>
      <c r="S209" s="8"/>
      <c r="T209" s="8"/>
      <c r="U209" s="8"/>
    </row>
    <row r="210" spans="2:37" x14ac:dyDescent="0.25">
      <c r="B210" s="21" t="s">
        <v>359</v>
      </c>
      <c r="C210" s="10"/>
      <c r="D210" s="21"/>
      <c r="E210" s="21"/>
      <c r="F210" s="43"/>
      <c r="G210" s="21"/>
      <c r="H210" s="21"/>
      <c r="I210" s="21"/>
      <c r="J210" s="21"/>
      <c r="K210" s="21"/>
      <c r="L210" s="42"/>
      <c r="M210" s="21"/>
      <c r="N210" s="21"/>
      <c r="O210" s="21"/>
    </row>
    <row r="211" spans="2:37" ht="15" customHeight="1" x14ac:dyDescent="0.25">
      <c r="B211" s="82" t="s">
        <v>384</v>
      </c>
      <c r="C211" s="83">
        <v>1</v>
      </c>
      <c r="D211" s="82" t="s">
        <v>40</v>
      </c>
      <c r="E211" s="82" t="s">
        <v>42</v>
      </c>
      <c r="F211" s="6" t="s">
        <v>421</v>
      </c>
      <c r="G211" s="82">
        <v>1</v>
      </c>
      <c r="H211" s="80" t="s">
        <v>64</v>
      </c>
      <c r="I211" s="82" t="s">
        <v>110</v>
      </c>
      <c r="J211" s="82">
        <v>1</v>
      </c>
      <c r="K211" s="7">
        <f>(1/0.3048)*(1/1000)*Q211/1000</f>
        <v>5.965163445478405E-7</v>
      </c>
      <c r="L211" s="83" t="s">
        <v>484</v>
      </c>
      <c r="M211" s="8" t="s">
        <v>743</v>
      </c>
      <c r="N211" s="8" t="s">
        <v>152</v>
      </c>
      <c r="O211" s="8" t="s">
        <v>151</v>
      </c>
      <c r="P211" s="24">
        <f>K211*1000</f>
        <v>5.9651634454784051E-4</v>
      </c>
      <c r="Q211" s="8">
        <f>0.4/2.2</f>
        <v>0.18181818181818182</v>
      </c>
      <c r="R211" s="8" t="s">
        <v>153</v>
      </c>
      <c r="S211" s="8"/>
      <c r="T211" s="24">
        <v>0</v>
      </c>
      <c r="U211" s="8" t="s">
        <v>155</v>
      </c>
      <c r="V211" s="8"/>
      <c r="W211" s="8"/>
      <c r="X211" s="8"/>
      <c r="Y211" s="8"/>
      <c r="Z211" s="8"/>
      <c r="AA211" s="8"/>
      <c r="AB211" s="8"/>
      <c r="AC211" s="8"/>
      <c r="AD211" s="8"/>
    </row>
    <row r="212" spans="2:37" ht="15" customHeight="1" x14ac:dyDescent="0.25">
      <c r="B212" s="82"/>
      <c r="C212" s="83"/>
      <c r="D212" s="82"/>
      <c r="E212" s="82"/>
      <c r="F212" s="6" t="s">
        <v>422</v>
      </c>
      <c r="G212" s="82"/>
      <c r="H212" s="80"/>
      <c r="I212" s="82"/>
      <c r="J212" s="82"/>
      <c r="K212" s="7">
        <f>W212*AA212/10/1000</f>
        <v>3.2481539370069383E-5</v>
      </c>
      <c r="L212" s="83"/>
      <c r="M212" s="8" t="s">
        <v>745</v>
      </c>
      <c r="N212" s="8"/>
      <c r="O212" s="22" t="s">
        <v>158</v>
      </c>
      <c r="P212" s="25">
        <f>W212</f>
        <v>2.6466439486723203</v>
      </c>
      <c r="Q212" s="51">
        <f>(6/PI())^0.5</f>
        <v>1.381976597885342</v>
      </c>
      <c r="R212" s="8" t="s">
        <v>157</v>
      </c>
      <c r="S212" s="8"/>
      <c r="T212" s="8" t="s">
        <v>156</v>
      </c>
      <c r="U212" s="23">
        <f>Q212*2*PI()</f>
        <v>8.6832150546992128</v>
      </c>
      <c r="V212" s="8" t="s">
        <v>9</v>
      </c>
      <c r="W212" s="25">
        <f>U212*0.3048</f>
        <v>2.6466439486723203</v>
      </c>
      <c r="X212" s="8" t="s">
        <v>160</v>
      </c>
      <c r="Y212" s="8"/>
      <c r="Z212" s="8"/>
      <c r="AA212" s="8">
        <f>0.27/2.2</f>
        <v>0.12272727272727273</v>
      </c>
      <c r="AB212" s="8" t="s">
        <v>159</v>
      </c>
      <c r="AC212" s="8"/>
      <c r="AD212" s="8"/>
    </row>
    <row r="213" spans="2:37" ht="15" customHeight="1" x14ac:dyDescent="0.25">
      <c r="B213" s="82"/>
      <c r="C213" s="83"/>
      <c r="D213" s="82"/>
      <c r="E213" s="82"/>
      <c r="F213" s="86" t="s">
        <v>108</v>
      </c>
      <c r="G213" s="82"/>
      <c r="H213" s="80"/>
      <c r="I213" s="82"/>
      <c r="J213" s="82"/>
      <c r="K213" s="19">
        <f>SUM(K211:K212)*30</f>
        <v>9.9234167143851665E-4</v>
      </c>
      <c r="L213" s="83"/>
      <c r="M213" t="s">
        <v>727</v>
      </c>
      <c r="N213" s="8" t="s">
        <v>112</v>
      </c>
      <c r="O213" s="8"/>
      <c r="P213" s="8"/>
      <c r="Q213" s="8"/>
      <c r="R213" s="8"/>
      <c r="S213" s="8"/>
      <c r="T213" s="8"/>
      <c r="U213" s="8"/>
      <c r="V213" s="8"/>
      <c r="W213" s="8"/>
      <c r="X213" s="8"/>
      <c r="Y213" s="8"/>
      <c r="Z213" s="8"/>
      <c r="AA213" s="8"/>
      <c r="AB213" s="8"/>
      <c r="AC213" s="8"/>
      <c r="AD213" s="8"/>
    </row>
    <row r="214" spans="2:37" ht="15" customHeight="1" x14ac:dyDescent="0.25">
      <c r="B214" s="82"/>
      <c r="C214" s="83"/>
      <c r="D214" s="82"/>
      <c r="E214" s="82"/>
      <c r="F214" s="86"/>
      <c r="G214" s="82"/>
      <c r="H214" s="80"/>
      <c r="I214" s="82"/>
      <c r="J214" s="82"/>
      <c r="K214" s="19">
        <f>SUM(K211:K212)*100</f>
        <v>3.3078055714617222E-3</v>
      </c>
      <c r="L214" s="83"/>
      <c r="M214" t="s">
        <v>727</v>
      </c>
      <c r="N214" s="8" t="s">
        <v>111</v>
      </c>
      <c r="O214" s="8"/>
      <c r="P214" s="8"/>
      <c r="Q214" s="8"/>
      <c r="R214" s="8"/>
      <c r="S214" s="8"/>
      <c r="T214" s="8"/>
      <c r="U214" s="8"/>
      <c r="V214" s="8"/>
      <c r="W214" s="8"/>
      <c r="X214" s="8"/>
      <c r="Y214" s="8"/>
      <c r="Z214" s="8"/>
      <c r="AA214" s="8"/>
      <c r="AB214" s="8"/>
      <c r="AC214" s="8"/>
      <c r="AD214" s="8"/>
    </row>
    <row r="215" spans="2:37" x14ac:dyDescent="0.25">
      <c r="B215" s="82"/>
      <c r="C215" s="83"/>
      <c r="D215" s="82"/>
      <c r="E215" s="82"/>
      <c r="F215" s="86"/>
      <c r="G215" s="82"/>
      <c r="H215" s="80"/>
      <c r="I215" s="82"/>
      <c r="J215" s="82"/>
      <c r="K215" s="19">
        <f>SUM(K212)</f>
        <v>3.2481539370069383E-5</v>
      </c>
      <c r="L215" s="83"/>
      <c r="M215" t="s">
        <v>728</v>
      </c>
      <c r="N215" s="8" t="s">
        <v>113</v>
      </c>
      <c r="O215" s="8"/>
      <c r="P215" s="29">
        <f>K215*1000</f>
        <v>3.2481539370069382E-2</v>
      </c>
      <c r="Q215" s="8"/>
      <c r="R215" s="8"/>
      <c r="S215" s="8"/>
      <c r="T215" s="8"/>
      <c r="U215" s="8"/>
      <c r="V215" s="8"/>
      <c r="W215" s="8"/>
      <c r="X215" s="8"/>
      <c r="Y215" s="8"/>
      <c r="Z215" s="8"/>
      <c r="AA215" s="8"/>
      <c r="AB215" s="8"/>
      <c r="AC215" s="8"/>
      <c r="AD215" s="8"/>
    </row>
    <row r="216" spans="2:37" x14ac:dyDescent="0.25">
      <c r="B216" s="82"/>
      <c r="C216" s="83">
        <v>2</v>
      </c>
      <c r="D216" s="82" t="s">
        <v>385</v>
      </c>
      <c r="E216" s="82" t="s">
        <v>43</v>
      </c>
      <c r="F216" s="15" t="s">
        <v>516</v>
      </c>
      <c r="G216" s="82">
        <v>1</v>
      </c>
      <c r="H216" s="80" t="s">
        <v>64</v>
      </c>
      <c r="I216" s="82" t="s">
        <v>110</v>
      </c>
      <c r="J216" s="82">
        <v>1</v>
      </c>
      <c r="K216" s="7">
        <f>(1/0.3048)*(5/1000)*Q216/1000</f>
        <v>2.9825817227392027E-6</v>
      </c>
      <c r="L216" s="83" t="s">
        <v>485</v>
      </c>
      <c r="M216" s="8" t="s">
        <v>743</v>
      </c>
      <c r="N216" s="8" t="s">
        <v>152</v>
      </c>
      <c r="O216" s="8" t="s">
        <v>151</v>
      </c>
      <c r="P216" s="24">
        <f>K216*1000</f>
        <v>2.9825817227392029E-3</v>
      </c>
      <c r="Q216" s="8">
        <f>0.4/2.2</f>
        <v>0.18181818181818182</v>
      </c>
      <c r="R216" s="8" t="s">
        <v>153</v>
      </c>
      <c r="S216" s="8"/>
      <c r="T216" s="24">
        <v>0</v>
      </c>
      <c r="U216" s="8" t="s">
        <v>155</v>
      </c>
      <c r="V216" s="8"/>
      <c r="W216" s="8"/>
      <c r="X216" s="8"/>
      <c r="Y216" s="8"/>
      <c r="Z216" s="8"/>
      <c r="AA216" s="8"/>
      <c r="AB216" s="8"/>
      <c r="AC216" s="8"/>
      <c r="AD216" s="8"/>
      <c r="AE216" s="8"/>
      <c r="AF216" s="8"/>
      <c r="AG216" s="8"/>
      <c r="AH216" s="8"/>
      <c r="AI216" s="8"/>
      <c r="AJ216" s="8"/>
      <c r="AK216" s="8"/>
    </row>
    <row r="217" spans="2:37" x14ac:dyDescent="0.25">
      <c r="B217" s="82"/>
      <c r="C217" s="83"/>
      <c r="D217" s="82"/>
      <c r="E217" s="82"/>
      <c r="F217" s="15" t="s">
        <v>423</v>
      </c>
      <c r="G217" s="82"/>
      <c r="H217" s="80"/>
      <c r="I217" s="82"/>
      <c r="J217" s="82"/>
      <c r="K217" s="7">
        <f>(W217*AA217/10*2+AE217*(1/0.3048)*(60/1000)/2.2)/1000</f>
        <v>5.1235033715101908E-4</v>
      </c>
      <c r="L217" s="83"/>
      <c r="M217" s="8" t="s">
        <v>746</v>
      </c>
      <c r="N217" s="8" t="s">
        <v>163</v>
      </c>
      <c r="O217" s="22" t="s">
        <v>161</v>
      </c>
      <c r="P217" s="25">
        <f>W217*2</f>
        <v>5.2932878973446407</v>
      </c>
      <c r="Q217" s="51">
        <f>(6/PI())^0.5</f>
        <v>1.381976597885342</v>
      </c>
      <c r="R217" s="8" t="s">
        <v>157</v>
      </c>
      <c r="S217" s="8"/>
      <c r="T217" s="8" t="s">
        <v>156</v>
      </c>
      <c r="U217" s="23">
        <f>Q217*2*PI()</f>
        <v>8.6832150546992128</v>
      </c>
      <c r="V217" s="8" t="s">
        <v>9</v>
      </c>
      <c r="W217" s="25">
        <f>U217*0.3048</f>
        <v>2.6466439486723203</v>
      </c>
      <c r="X217" s="8" t="s">
        <v>160</v>
      </c>
      <c r="Y217" s="8"/>
      <c r="Z217" s="8"/>
      <c r="AA217" s="8">
        <f>0.27/2.2</f>
        <v>0.12272727272727273</v>
      </c>
      <c r="AB217" s="8" t="s">
        <v>159</v>
      </c>
      <c r="AC217" s="8"/>
      <c r="AD217" s="8"/>
      <c r="AE217" s="8">
        <v>5</v>
      </c>
      <c r="AF217" s="8" t="s">
        <v>162</v>
      </c>
      <c r="AG217" s="8"/>
      <c r="AH217" s="8"/>
      <c r="AI217" s="8">
        <f>AE217*(1/0.3048)*(60/1000)/2.2</f>
        <v>0.44738725841088034</v>
      </c>
      <c r="AJ217" s="8"/>
      <c r="AK217" s="8"/>
    </row>
    <row r="218" spans="2:37" x14ac:dyDescent="0.25">
      <c r="B218" s="82"/>
      <c r="C218" s="83"/>
      <c r="D218" s="82"/>
      <c r="E218" s="82"/>
      <c r="F218" s="87" t="s">
        <v>108</v>
      </c>
      <c r="G218" s="82"/>
      <c r="H218" s="80"/>
      <c r="I218" s="82"/>
      <c r="J218" s="82"/>
      <c r="K218" s="19">
        <f>SUM(K216:K217)*30</f>
        <v>1.5459987566212748E-2</v>
      </c>
      <c r="L218" s="83"/>
      <c r="M218" t="s">
        <v>727</v>
      </c>
      <c r="N218" s="8" t="s">
        <v>112</v>
      </c>
      <c r="O218" s="8"/>
      <c r="P218" s="8"/>
      <c r="Q218" s="8"/>
      <c r="R218" s="8"/>
      <c r="S218" s="8"/>
      <c r="T218" s="8"/>
      <c r="U218" s="8"/>
      <c r="V218" s="8"/>
      <c r="W218" s="8"/>
      <c r="X218" s="8"/>
      <c r="Y218" s="8"/>
      <c r="Z218" s="8"/>
      <c r="AA218" s="8"/>
      <c r="AB218" s="8"/>
      <c r="AC218" s="8"/>
      <c r="AD218" s="8"/>
      <c r="AE218" s="8"/>
      <c r="AF218" s="8"/>
      <c r="AG218" s="8"/>
      <c r="AH218" s="8"/>
      <c r="AI218" s="8"/>
      <c r="AJ218" s="8"/>
      <c r="AK218" s="8"/>
    </row>
    <row r="219" spans="2:37" x14ac:dyDescent="0.25">
      <c r="B219" s="82"/>
      <c r="C219" s="83"/>
      <c r="D219" s="82"/>
      <c r="E219" s="82"/>
      <c r="F219" s="87"/>
      <c r="G219" s="82"/>
      <c r="H219" s="80"/>
      <c r="I219" s="82"/>
      <c r="J219" s="82"/>
      <c r="K219" s="19">
        <f>SUM(K216:K217)*100</f>
        <v>5.1533291887375828E-2</v>
      </c>
      <c r="L219" s="83"/>
      <c r="M219" t="s">
        <v>727</v>
      </c>
      <c r="N219" s="8" t="s">
        <v>111</v>
      </c>
      <c r="O219" s="8"/>
      <c r="P219" s="8"/>
      <c r="Q219" s="8"/>
      <c r="R219" s="8"/>
      <c r="S219" s="8"/>
      <c r="T219" s="8"/>
      <c r="U219" s="8"/>
      <c r="V219" s="8"/>
      <c r="W219" s="8"/>
      <c r="X219" s="8"/>
      <c r="Y219" s="8"/>
      <c r="Z219" s="8"/>
      <c r="AA219" s="8"/>
      <c r="AB219" s="8"/>
      <c r="AC219" s="8"/>
      <c r="AD219" s="8"/>
      <c r="AE219" s="8"/>
      <c r="AF219" s="8"/>
      <c r="AG219" s="8"/>
      <c r="AH219" s="8"/>
      <c r="AI219" s="8"/>
      <c r="AJ219" s="8"/>
      <c r="AK219" s="8"/>
    </row>
    <row r="220" spans="2:37" x14ac:dyDescent="0.25">
      <c r="B220" s="82"/>
      <c r="C220" s="83"/>
      <c r="D220" s="82"/>
      <c r="E220" s="82"/>
      <c r="F220" s="87"/>
      <c r="G220" s="82"/>
      <c r="H220" s="80"/>
      <c r="I220" s="82"/>
      <c r="J220" s="82"/>
      <c r="K220" s="19">
        <f>SUM(K216:K217)*0</f>
        <v>0</v>
      </c>
      <c r="L220" s="83"/>
      <c r="M220" t="s">
        <v>728</v>
      </c>
      <c r="N220" s="8" t="s">
        <v>547</v>
      </c>
      <c r="O220" s="8"/>
      <c r="P220" s="29">
        <f>K220*1000</f>
        <v>0</v>
      </c>
      <c r="Q220" s="8"/>
      <c r="R220" s="8"/>
      <c r="S220" s="8"/>
      <c r="T220" s="8"/>
      <c r="U220" s="8"/>
      <c r="V220" s="8"/>
      <c r="W220" s="8"/>
      <c r="X220" s="8"/>
      <c r="Y220" s="8"/>
      <c r="Z220" s="8"/>
      <c r="AA220" s="8"/>
      <c r="AB220" s="8"/>
      <c r="AC220" s="8"/>
      <c r="AD220" s="8"/>
      <c r="AE220" s="8"/>
      <c r="AF220" s="8"/>
      <c r="AG220" s="8"/>
      <c r="AH220" s="8"/>
      <c r="AI220" s="8"/>
      <c r="AJ220" s="8"/>
      <c r="AK220" s="8"/>
    </row>
    <row r="221" spans="2:37" x14ac:dyDescent="0.25">
      <c r="B221" s="21" t="s">
        <v>360</v>
      </c>
      <c r="C221" s="10"/>
      <c r="D221" s="21"/>
      <c r="E221" s="21"/>
      <c r="F221" s="43"/>
      <c r="G221" s="21"/>
      <c r="H221" s="21"/>
      <c r="I221" s="21"/>
      <c r="J221" s="21"/>
      <c r="K221" s="21"/>
      <c r="L221" s="42"/>
      <c r="M221" s="21"/>
      <c r="N221" s="21"/>
      <c r="O221" s="21"/>
    </row>
    <row r="222" spans="2:37" ht="15" customHeight="1" x14ac:dyDescent="0.25">
      <c r="B222" s="82" t="s">
        <v>386</v>
      </c>
      <c r="C222" s="83">
        <v>1</v>
      </c>
      <c r="D222" s="82" t="s">
        <v>40</v>
      </c>
      <c r="E222" s="82" t="s">
        <v>42</v>
      </c>
      <c r="F222" s="6" t="s">
        <v>421</v>
      </c>
      <c r="G222" s="82">
        <v>1</v>
      </c>
      <c r="H222" s="80" t="s">
        <v>64</v>
      </c>
      <c r="I222" s="82" t="s">
        <v>110</v>
      </c>
      <c r="J222" s="82">
        <v>1</v>
      </c>
      <c r="K222" s="7">
        <f>(1/0.3048)*(1/1000)*Q222/1000</f>
        <v>5.965163445478405E-7</v>
      </c>
      <c r="L222" s="83" t="s">
        <v>486</v>
      </c>
      <c r="M222" s="8" t="s">
        <v>743</v>
      </c>
      <c r="N222" s="8" t="s">
        <v>152</v>
      </c>
      <c r="O222" s="8" t="s">
        <v>151</v>
      </c>
      <c r="P222" s="24">
        <f>K222*1000</f>
        <v>5.9651634454784051E-4</v>
      </c>
      <c r="Q222" s="8">
        <f>0.4/2.2</f>
        <v>0.18181818181818182</v>
      </c>
      <c r="R222" s="8" t="s">
        <v>153</v>
      </c>
      <c r="S222" s="8"/>
      <c r="T222" s="24">
        <v>0</v>
      </c>
      <c r="U222" s="8" t="s">
        <v>155</v>
      </c>
      <c r="V222" s="8"/>
      <c r="W222" s="8"/>
      <c r="X222" s="8"/>
      <c r="Y222" s="8"/>
      <c r="Z222" s="8"/>
      <c r="AA222" s="8"/>
      <c r="AB222" s="8"/>
      <c r="AC222" s="8"/>
      <c r="AD222" s="8"/>
      <c r="AE222" s="8"/>
      <c r="AF222" s="8"/>
      <c r="AG222" s="8"/>
    </row>
    <row r="223" spans="2:37" x14ac:dyDescent="0.25">
      <c r="B223" s="82"/>
      <c r="C223" s="83"/>
      <c r="D223" s="82"/>
      <c r="E223" s="82"/>
      <c r="F223" s="6" t="s">
        <v>422</v>
      </c>
      <c r="G223" s="82"/>
      <c r="H223" s="80"/>
      <c r="I223" s="82"/>
      <c r="J223" s="82"/>
      <c r="K223" s="7">
        <f>W223*AA223/10/1000</f>
        <v>3.2481539370069383E-5</v>
      </c>
      <c r="L223" s="83"/>
      <c r="M223" s="8" t="s">
        <v>745</v>
      </c>
      <c r="N223" s="8"/>
      <c r="O223" s="22" t="s">
        <v>158</v>
      </c>
      <c r="P223" s="25">
        <f>W223</f>
        <v>2.6466439486723203</v>
      </c>
      <c r="Q223" s="51">
        <f>(6/PI())^0.5</f>
        <v>1.381976597885342</v>
      </c>
      <c r="R223" s="8" t="s">
        <v>157</v>
      </c>
      <c r="S223" s="8"/>
      <c r="T223" s="8" t="s">
        <v>156</v>
      </c>
      <c r="U223" s="23">
        <f>Q223*2*PI()</f>
        <v>8.6832150546992128</v>
      </c>
      <c r="V223" s="8" t="s">
        <v>9</v>
      </c>
      <c r="W223" s="25">
        <f>U223*0.3048</f>
        <v>2.6466439486723203</v>
      </c>
      <c r="X223" s="8" t="s">
        <v>160</v>
      </c>
      <c r="Y223" s="8"/>
      <c r="Z223" s="8"/>
      <c r="AA223" s="8">
        <f>0.27/2.2</f>
        <v>0.12272727272727273</v>
      </c>
      <c r="AB223" s="8" t="s">
        <v>159</v>
      </c>
      <c r="AC223" s="8"/>
      <c r="AD223" s="8"/>
      <c r="AE223" s="8"/>
      <c r="AF223" s="8"/>
      <c r="AG223" s="8"/>
    </row>
    <row r="224" spans="2:37" x14ac:dyDescent="0.25">
      <c r="B224" s="82"/>
      <c r="C224" s="83"/>
      <c r="D224" s="82"/>
      <c r="E224" s="82"/>
      <c r="F224" s="86" t="s">
        <v>108</v>
      </c>
      <c r="G224" s="82"/>
      <c r="H224" s="80"/>
      <c r="I224" s="82"/>
      <c r="J224" s="82"/>
      <c r="K224" s="19">
        <f>SUM(K222:K223)*30</f>
        <v>9.9234167143851665E-4</v>
      </c>
      <c r="L224" s="83"/>
      <c r="M224" t="s">
        <v>727</v>
      </c>
      <c r="N224" s="8" t="s">
        <v>112</v>
      </c>
      <c r="O224" s="8"/>
      <c r="P224" s="8"/>
      <c r="Q224" s="8"/>
      <c r="R224" s="8"/>
      <c r="S224" s="8"/>
      <c r="T224" s="8"/>
      <c r="U224" s="8"/>
      <c r="V224" s="8"/>
      <c r="W224" s="8"/>
      <c r="X224" s="8"/>
      <c r="Y224" s="8"/>
      <c r="Z224" s="8"/>
      <c r="AA224" s="8"/>
      <c r="AB224" s="8"/>
      <c r="AC224" s="8"/>
      <c r="AD224" s="8"/>
      <c r="AE224" s="8"/>
      <c r="AF224" s="8"/>
      <c r="AG224" s="8"/>
    </row>
    <row r="225" spans="2:37" x14ac:dyDescent="0.25">
      <c r="B225" s="82"/>
      <c r="C225" s="83"/>
      <c r="D225" s="82"/>
      <c r="E225" s="82"/>
      <c r="F225" s="86"/>
      <c r="G225" s="82"/>
      <c r="H225" s="80"/>
      <c r="I225" s="82"/>
      <c r="J225" s="82"/>
      <c r="K225" s="19">
        <f>SUM(K222:K223)*100</f>
        <v>3.3078055714617222E-3</v>
      </c>
      <c r="L225" s="83"/>
      <c r="M225" t="s">
        <v>727</v>
      </c>
      <c r="N225" s="8" t="s">
        <v>111</v>
      </c>
      <c r="O225" s="8"/>
      <c r="P225" s="8"/>
      <c r="Q225" s="8"/>
      <c r="R225" s="8"/>
      <c r="S225" s="8"/>
      <c r="T225" s="8"/>
      <c r="U225" s="8"/>
      <c r="V225" s="8"/>
      <c r="W225" s="8"/>
      <c r="X225" s="8"/>
      <c r="Y225" s="8"/>
      <c r="Z225" s="8"/>
      <c r="AA225" s="8"/>
      <c r="AB225" s="8"/>
      <c r="AC225" s="8"/>
      <c r="AD225" s="8"/>
      <c r="AE225" s="8"/>
      <c r="AF225" s="8"/>
      <c r="AG225" s="8"/>
    </row>
    <row r="226" spans="2:37" x14ac:dyDescent="0.25">
      <c r="B226" s="82"/>
      <c r="C226" s="83"/>
      <c r="D226" s="82"/>
      <c r="E226" s="82"/>
      <c r="F226" s="86"/>
      <c r="G226" s="82"/>
      <c r="H226" s="80"/>
      <c r="I226" s="82"/>
      <c r="J226" s="82"/>
      <c r="K226" s="19">
        <f>SUM(K222:K223)</f>
        <v>3.3078055714617223E-5</v>
      </c>
      <c r="L226" s="83"/>
      <c r="M226" t="s">
        <v>728</v>
      </c>
      <c r="N226" s="8" t="s">
        <v>113</v>
      </c>
      <c r="O226" s="8"/>
      <c r="P226" s="29">
        <f>K226*1000</f>
        <v>3.3078055714617222E-2</v>
      </c>
      <c r="Q226" s="8"/>
      <c r="R226" s="8"/>
      <c r="S226" s="8"/>
      <c r="T226" s="8"/>
      <c r="U226" s="8"/>
      <c r="V226" s="8"/>
      <c r="W226" s="8"/>
      <c r="X226" s="8"/>
      <c r="Y226" s="8"/>
      <c r="Z226" s="8"/>
      <c r="AA226" s="8"/>
      <c r="AB226" s="8"/>
      <c r="AC226" s="8"/>
      <c r="AD226" s="8"/>
      <c r="AE226" s="8"/>
      <c r="AF226" s="8"/>
      <c r="AG226" s="8"/>
    </row>
    <row r="227" spans="2:37" x14ac:dyDescent="0.25">
      <c r="B227" s="82"/>
      <c r="C227" s="83">
        <v>2</v>
      </c>
      <c r="D227" s="82" t="s">
        <v>41</v>
      </c>
      <c r="E227" s="82" t="s">
        <v>43</v>
      </c>
      <c r="F227" s="15" t="s">
        <v>516</v>
      </c>
      <c r="G227" s="82">
        <v>1</v>
      </c>
      <c r="H227" s="80" t="s">
        <v>64</v>
      </c>
      <c r="I227" s="82" t="s">
        <v>110</v>
      </c>
      <c r="J227" s="82">
        <v>1</v>
      </c>
      <c r="K227" s="7">
        <f>(1/0.3048)*(5/1000)*Q227/1000</f>
        <v>2.9825817227392027E-6</v>
      </c>
      <c r="L227" s="83" t="s">
        <v>487</v>
      </c>
      <c r="M227" s="8" t="s">
        <v>743</v>
      </c>
      <c r="N227" s="8" t="s">
        <v>152</v>
      </c>
      <c r="O227" s="8" t="s">
        <v>151</v>
      </c>
      <c r="P227" s="24">
        <f>K227*1000</f>
        <v>2.9825817227392029E-3</v>
      </c>
      <c r="Q227" s="8">
        <f>0.4/2.2</f>
        <v>0.18181818181818182</v>
      </c>
      <c r="R227" s="8" t="s">
        <v>153</v>
      </c>
      <c r="S227" s="8"/>
      <c r="T227" s="24">
        <v>0</v>
      </c>
      <c r="U227" s="8" t="s">
        <v>155</v>
      </c>
      <c r="V227" s="8"/>
      <c r="W227" s="8"/>
      <c r="X227" s="8"/>
      <c r="Y227" s="8"/>
      <c r="Z227" s="8"/>
      <c r="AA227" s="8"/>
      <c r="AB227" s="8"/>
      <c r="AC227" s="8"/>
      <c r="AD227" s="8"/>
      <c r="AE227" s="8"/>
      <c r="AF227" s="8"/>
      <c r="AG227" s="8"/>
      <c r="AH227" s="8"/>
      <c r="AI227" s="8"/>
      <c r="AJ227" s="8"/>
      <c r="AK227" s="8"/>
    </row>
    <row r="228" spans="2:37" x14ac:dyDescent="0.25">
      <c r="B228" s="82"/>
      <c r="C228" s="83"/>
      <c r="D228" s="82"/>
      <c r="E228" s="82"/>
      <c r="F228" s="15" t="s">
        <v>423</v>
      </c>
      <c r="G228" s="82"/>
      <c r="H228" s="80"/>
      <c r="I228" s="82"/>
      <c r="J228" s="82"/>
      <c r="K228" s="7">
        <f>(W228*AA228/10*2+AE228*(1/0.3048)*(60/1000)/2.2)/1000</f>
        <v>5.1235033715101908E-4</v>
      </c>
      <c r="L228" s="83"/>
      <c r="M228" s="8" t="s">
        <v>746</v>
      </c>
      <c r="N228" s="8" t="s">
        <v>163</v>
      </c>
      <c r="O228" s="22" t="s">
        <v>161</v>
      </c>
      <c r="P228" s="25">
        <f>W228*2</f>
        <v>5.2932878973446407</v>
      </c>
      <c r="Q228" s="51">
        <f>(6/PI())^0.5</f>
        <v>1.381976597885342</v>
      </c>
      <c r="R228" s="8" t="s">
        <v>157</v>
      </c>
      <c r="S228" s="8"/>
      <c r="T228" s="8" t="s">
        <v>156</v>
      </c>
      <c r="U228" s="23">
        <f>Q228*2*PI()</f>
        <v>8.6832150546992128</v>
      </c>
      <c r="V228" s="8" t="s">
        <v>9</v>
      </c>
      <c r="W228" s="25">
        <f>U228*0.3048</f>
        <v>2.6466439486723203</v>
      </c>
      <c r="X228" s="8" t="s">
        <v>160</v>
      </c>
      <c r="Y228" s="8"/>
      <c r="Z228" s="8"/>
      <c r="AA228" s="8">
        <f>0.27/2.2</f>
        <v>0.12272727272727273</v>
      </c>
      <c r="AB228" s="8" t="s">
        <v>159</v>
      </c>
      <c r="AC228" s="8"/>
      <c r="AD228" s="8"/>
      <c r="AE228" s="8">
        <v>5</v>
      </c>
      <c r="AF228" s="8" t="s">
        <v>162</v>
      </c>
      <c r="AG228" s="8"/>
      <c r="AH228" s="8"/>
      <c r="AI228" s="8">
        <f>AE228*(1/0.3048)*(60/1000)/2.2</f>
        <v>0.44738725841088034</v>
      </c>
      <c r="AJ228" s="8"/>
      <c r="AK228" s="8"/>
    </row>
    <row r="229" spans="2:37" x14ac:dyDescent="0.25">
      <c r="B229" s="82"/>
      <c r="C229" s="83"/>
      <c r="D229" s="82"/>
      <c r="E229" s="82"/>
      <c r="F229" s="87" t="s">
        <v>108</v>
      </c>
      <c r="G229" s="82"/>
      <c r="H229" s="80"/>
      <c r="I229" s="82"/>
      <c r="J229" s="82"/>
      <c r="K229" s="19">
        <f>SUM(K227:K228)*30</f>
        <v>1.5459987566212748E-2</v>
      </c>
      <c r="L229" s="83"/>
      <c r="M229" t="s">
        <v>727</v>
      </c>
      <c r="N229" s="8" t="s">
        <v>112</v>
      </c>
      <c r="O229" s="8"/>
      <c r="P229" s="8"/>
      <c r="Q229" s="8"/>
      <c r="R229" s="8"/>
      <c r="S229" s="8"/>
      <c r="T229" s="8"/>
      <c r="U229" s="8"/>
      <c r="V229" s="8"/>
      <c r="W229" s="8"/>
      <c r="X229" s="8"/>
      <c r="Y229" s="8"/>
      <c r="Z229" s="8"/>
      <c r="AA229" s="8"/>
      <c r="AB229" s="8"/>
      <c r="AC229" s="8"/>
      <c r="AD229" s="8"/>
      <c r="AE229" s="8"/>
      <c r="AF229" s="8"/>
      <c r="AG229" s="8"/>
      <c r="AH229" s="8"/>
      <c r="AI229" s="8"/>
      <c r="AJ229" s="8"/>
      <c r="AK229" s="8"/>
    </row>
    <row r="230" spans="2:37" x14ac:dyDescent="0.25">
      <c r="B230" s="82"/>
      <c r="C230" s="83"/>
      <c r="D230" s="82"/>
      <c r="E230" s="82"/>
      <c r="F230" s="87"/>
      <c r="G230" s="82"/>
      <c r="H230" s="80"/>
      <c r="I230" s="82"/>
      <c r="J230" s="82"/>
      <c r="K230" s="19">
        <f>SUM(K227:K228)*100</f>
        <v>5.1533291887375828E-2</v>
      </c>
      <c r="L230" s="83"/>
      <c r="M230" t="s">
        <v>727</v>
      </c>
      <c r="N230" s="8" t="s">
        <v>111</v>
      </c>
      <c r="O230" s="8"/>
      <c r="P230" s="8"/>
      <c r="Q230" s="8"/>
      <c r="R230" s="8"/>
      <c r="S230" s="8"/>
      <c r="T230" s="8"/>
      <c r="U230" s="8"/>
      <c r="V230" s="8"/>
      <c r="W230" s="8"/>
      <c r="X230" s="8"/>
      <c r="Y230" s="8"/>
      <c r="Z230" s="8"/>
      <c r="AA230" s="8"/>
      <c r="AB230" s="8"/>
      <c r="AC230" s="8"/>
      <c r="AD230" s="8"/>
      <c r="AE230" s="8"/>
      <c r="AF230" s="8"/>
      <c r="AG230" s="8"/>
      <c r="AH230" s="8"/>
      <c r="AI230" s="8"/>
      <c r="AJ230" s="8"/>
      <c r="AK230" s="8"/>
    </row>
    <row r="231" spans="2:37" x14ac:dyDescent="0.25">
      <c r="B231" s="82"/>
      <c r="C231" s="83"/>
      <c r="D231" s="82"/>
      <c r="E231" s="82"/>
      <c r="F231" s="87"/>
      <c r="G231" s="82"/>
      <c r="H231" s="80"/>
      <c r="I231" s="82"/>
      <c r="J231" s="82"/>
      <c r="K231" s="19">
        <f>SUM(K227:K228)*0</f>
        <v>0</v>
      </c>
      <c r="L231" s="83"/>
      <c r="M231" t="s">
        <v>728</v>
      </c>
      <c r="N231" s="8" t="s">
        <v>547</v>
      </c>
      <c r="O231" s="8"/>
      <c r="P231" s="29">
        <f>K231*1000</f>
        <v>0</v>
      </c>
      <c r="Q231" s="8"/>
      <c r="R231" s="8"/>
      <c r="S231" s="8"/>
      <c r="T231" s="8"/>
      <c r="U231" s="8"/>
      <c r="V231" s="8"/>
      <c r="W231" s="8"/>
      <c r="X231" s="8"/>
      <c r="Y231" s="8"/>
      <c r="Z231" s="8"/>
      <c r="AA231" s="8"/>
      <c r="AB231" s="8"/>
      <c r="AC231" s="8"/>
      <c r="AD231" s="8"/>
      <c r="AE231" s="8"/>
      <c r="AF231" s="8"/>
      <c r="AG231" s="8"/>
      <c r="AH231" s="8"/>
      <c r="AI231" s="8"/>
      <c r="AJ231" s="8"/>
      <c r="AK231" s="8"/>
    </row>
    <row r="232" spans="2:37" x14ac:dyDescent="0.25">
      <c r="B232" s="21" t="s">
        <v>362</v>
      </c>
      <c r="C232" s="11"/>
      <c r="D232" s="42"/>
      <c r="E232" s="42"/>
      <c r="F232" s="43"/>
      <c r="G232" s="21"/>
      <c r="H232" s="21"/>
      <c r="I232" s="21"/>
      <c r="J232" s="21"/>
      <c r="K232" s="21"/>
      <c r="L232" s="42"/>
      <c r="M232" s="21"/>
      <c r="N232" s="21"/>
      <c r="O232" s="21"/>
    </row>
    <row r="233" spans="2:37" ht="15" customHeight="1" x14ac:dyDescent="0.25">
      <c r="B233" s="82" t="s">
        <v>387</v>
      </c>
      <c r="C233" s="91">
        <v>1</v>
      </c>
      <c r="D233" s="82" t="s">
        <v>44</v>
      </c>
      <c r="E233" s="82" t="s">
        <v>45</v>
      </c>
      <c r="F233" s="6" t="s">
        <v>517</v>
      </c>
      <c r="G233" s="80">
        <v>1</v>
      </c>
      <c r="H233" s="80" t="s">
        <v>62</v>
      </c>
      <c r="I233" s="80" t="s">
        <v>110</v>
      </c>
      <c r="J233" s="80">
        <v>1</v>
      </c>
      <c r="K233" s="7">
        <f>1*Q233/1000</f>
        <v>3.5299999999999997E-3</v>
      </c>
      <c r="L233" s="83" t="s">
        <v>488</v>
      </c>
      <c r="M233" s="8" t="s">
        <v>747</v>
      </c>
      <c r="N233" s="8" t="s">
        <v>168</v>
      </c>
      <c r="O233" s="22" t="s">
        <v>164</v>
      </c>
      <c r="P233" s="8">
        <f>K233*1000</f>
        <v>3.53</v>
      </c>
      <c r="Q233" s="8">
        <v>3.53</v>
      </c>
      <c r="R233" s="8" t="s">
        <v>166</v>
      </c>
      <c r="S233" s="8">
        <v>0.97</v>
      </c>
      <c r="T233" s="8" t="s">
        <v>167</v>
      </c>
      <c r="U233" s="8">
        <f>0.002*1*1*7800</f>
        <v>15.6</v>
      </c>
      <c r="V233" s="8" t="s">
        <v>165</v>
      </c>
      <c r="W233" s="8"/>
      <c r="X233" s="8"/>
      <c r="Y233" s="8">
        <f>Q233*0.97</f>
        <v>3.4240999999999997</v>
      </c>
      <c r="Z233" s="8">
        <f>Y233/U233</f>
        <v>0.21949358974358973</v>
      </c>
      <c r="AA233" s="8"/>
      <c r="AB233" s="8"/>
      <c r="AC233" s="8"/>
    </row>
    <row r="234" spans="2:37" x14ac:dyDescent="0.25">
      <c r="B234" s="82"/>
      <c r="C234" s="91"/>
      <c r="D234" s="82"/>
      <c r="E234" s="82"/>
      <c r="F234" s="6" t="s">
        <v>518</v>
      </c>
      <c r="G234" s="80"/>
      <c r="H234" s="80"/>
      <c r="I234" s="80"/>
      <c r="J234" s="80"/>
      <c r="K234" s="7">
        <v>0</v>
      </c>
      <c r="L234" s="83"/>
      <c r="M234" s="8" t="s">
        <v>80</v>
      </c>
      <c r="N234" s="8" t="s">
        <v>169</v>
      </c>
      <c r="O234" s="8"/>
      <c r="P234" s="8"/>
      <c r="Q234" s="8"/>
      <c r="R234" s="8"/>
      <c r="S234" s="8"/>
      <c r="T234" s="8"/>
      <c r="U234" s="8"/>
      <c r="V234" s="8"/>
      <c r="W234" s="8"/>
      <c r="X234" s="8"/>
      <c r="Y234" s="8"/>
      <c r="Z234" s="8"/>
      <c r="AA234" s="8"/>
      <c r="AB234" s="8"/>
      <c r="AC234" s="8"/>
    </row>
    <row r="235" spans="2:37" x14ac:dyDescent="0.25">
      <c r="B235" s="82"/>
      <c r="C235" s="91"/>
      <c r="D235" s="82"/>
      <c r="E235" s="82"/>
      <c r="F235" s="86" t="s">
        <v>108</v>
      </c>
      <c r="G235" s="80"/>
      <c r="H235" s="80"/>
      <c r="I235" s="80"/>
      <c r="J235" s="80"/>
      <c r="K235" s="19">
        <f>K233*30</f>
        <v>0.10589999999999999</v>
      </c>
      <c r="L235" s="83"/>
      <c r="M235" t="s">
        <v>727</v>
      </c>
      <c r="N235" s="8" t="s">
        <v>112</v>
      </c>
      <c r="O235" s="8"/>
      <c r="P235" s="8"/>
      <c r="Q235" s="8"/>
      <c r="R235" s="8"/>
      <c r="S235" s="8"/>
      <c r="T235" s="8"/>
      <c r="U235" s="8"/>
      <c r="V235" s="8"/>
      <c r="W235" s="8"/>
      <c r="X235" s="8"/>
      <c r="Y235" s="8"/>
      <c r="Z235" s="8"/>
      <c r="AA235" s="8"/>
      <c r="AB235" s="8"/>
      <c r="AC235" s="8"/>
    </row>
    <row r="236" spans="2:37" x14ac:dyDescent="0.25">
      <c r="B236" s="82"/>
      <c r="C236" s="91"/>
      <c r="D236" s="82"/>
      <c r="E236" s="82"/>
      <c r="F236" s="86"/>
      <c r="G236" s="80"/>
      <c r="H236" s="80"/>
      <c r="I236" s="80"/>
      <c r="J236" s="80"/>
      <c r="K236" s="20">
        <f>K233*5900</f>
        <v>20.826999999999998</v>
      </c>
      <c r="L236" s="83"/>
      <c r="M236" t="s">
        <v>727</v>
      </c>
      <c r="N236" s="8" t="s">
        <v>171</v>
      </c>
      <c r="O236" s="8"/>
      <c r="P236" s="8"/>
      <c r="Q236" s="8"/>
      <c r="R236" s="8"/>
      <c r="S236" s="8"/>
      <c r="T236" s="8"/>
      <c r="U236" s="8"/>
      <c r="V236" s="8"/>
      <c r="W236" s="8"/>
      <c r="X236" s="8"/>
      <c r="Y236" s="8"/>
      <c r="Z236" s="8"/>
      <c r="AA236" s="8"/>
      <c r="AB236" s="8"/>
      <c r="AC236" s="8"/>
    </row>
    <row r="237" spans="2:37" x14ac:dyDescent="0.25">
      <c r="B237" s="82"/>
      <c r="C237" s="91"/>
      <c r="D237" s="82"/>
      <c r="E237" s="82"/>
      <c r="F237" s="86"/>
      <c r="G237" s="80"/>
      <c r="H237" s="80"/>
      <c r="I237" s="80"/>
      <c r="J237" s="80"/>
      <c r="K237" s="19">
        <f>K234</f>
        <v>0</v>
      </c>
      <c r="L237" s="83"/>
      <c r="M237" t="s">
        <v>728</v>
      </c>
      <c r="N237" s="8" t="s">
        <v>547</v>
      </c>
      <c r="O237" s="8"/>
      <c r="P237" s="29">
        <f>K237*1000</f>
        <v>0</v>
      </c>
      <c r="Q237" s="8"/>
      <c r="R237" s="8"/>
      <c r="S237" s="8"/>
      <c r="T237" s="8"/>
      <c r="U237" s="8"/>
      <c r="V237" s="8"/>
      <c r="W237" s="8"/>
      <c r="X237" s="8"/>
      <c r="Y237" s="8"/>
      <c r="Z237" s="8"/>
      <c r="AA237" s="8"/>
      <c r="AB237" s="8"/>
      <c r="AC237" s="8"/>
    </row>
    <row r="238" spans="2:37" x14ac:dyDescent="0.25">
      <c r="B238" s="21" t="s">
        <v>361</v>
      </c>
      <c r="C238" s="11"/>
      <c r="D238" s="42"/>
      <c r="E238" s="42"/>
      <c r="F238" s="43"/>
      <c r="G238" s="21"/>
      <c r="H238" s="21"/>
      <c r="I238" s="21"/>
      <c r="J238" s="21"/>
      <c r="K238" s="21"/>
      <c r="L238" s="42"/>
      <c r="M238" s="21"/>
      <c r="N238" s="21"/>
      <c r="O238" s="21"/>
    </row>
    <row r="239" spans="2:37" ht="15" customHeight="1" x14ac:dyDescent="0.25">
      <c r="B239" s="82" t="s">
        <v>388</v>
      </c>
      <c r="C239" s="83">
        <v>1</v>
      </c>
      <c r="D239" s="82" t="s">
        <v>46</v>
      </c>
      <c r="E239" s="82" t="s">
        <v>47</v>
      </c>
      <c r="F239" s="6" t="s">
        <v>424</v>
      </c>
      <c r="G239" s="80">
        <v>1</v>
      </c>
      <c r="H239" s="80" t="s">
        <v>62</v>
      </c>
      <c r="I239" s="82" t="s">
        <v>110</v>
      </c>
      <c r="J239" s="82">
        <v>1</v>
      </c>
      <c r="K239" s="7">
        <f>P239/1000</f>
        <v>2.4E-2</v>
      </c>
      <c r="L239" s="83" t="s">
        <v>489</v>
      </c>
      <c r="M239" s="8" t="s">
        <v>748</v>
      </c>
      <c r="N239" s="8" t="s">
        <v>173</v>
      </c>
      <c r="O239" s="22" t="s">
        <v>172</v>
      </c>
      <c r="P239" s="8">
        <v>24</v>
      </c>
    </row>
    <row r="240" spans="2:37" x14ac:dyDescent="0.25">
      <c r="B240" s="82"/>
      <c r="C240" s="83"/>
      <c r="D240" s="82"/>
      <c r="E240" s="82"/>
      <c r="F240" s="86" t="s">
        <v>108</v>
      </c>
      <c r="G240" s="80"/>
      <c r="H240" s="80"/>
      <c r="I240" s="82"/>
      <c r="J240" s="82"/>
      <c r="K240" s="19">
        <f>K239*30</f>
        <v>0.72</v>
      </c>
      <c r="L240" s="83"/>
      <c r="M240" t="s">
        <v>727</v>
      </c>
      <c r="N240" s="8" t="s">
        <v>112</v>
      </c>
      <c r="O240" s="8"/>
      <c r="P240" s="8"/>
    </row>
    <row r="241" spans="2:22" x14ac:dyDescent="0.25">
      <c r="B241" s="82"/>
      <c r="C241" s="83"/>
      <c r="D241" s="82"/>
      <c r="E241" s="82"/>
      <c r="F241" s="86"/>
      <c r="G241" s="80"/>
      <c r="H241" s="80"/>
      <c r="I241" s="82"/>
      <c r="J241" s="82"/>
      <c r="K241" s="19">
        <f>K239*100</f>
        <v>2.4</v>
      </c>
      <c r="L241" s="83"/>
      <c r="M241" t="s">
        <v>727</v>
      </c>
      <c r="N241" s="8" t="s">
        <v>111</v>
      </c>
      <c r="O241" s="8"/>
      <c r="P241" s="8"/>
    </row>
    <row r="242" spans="2:22" x14ac:dyDescent="0.25">
      <c r="B242" s="82"/>
      <c r="C242" s="83"/>
      <c r="D242" s="82"/>
      <c r="E242" s="82"/>
      <c r="F242" s="86"/>
      <c r="G242" s="80"/>
      <c r="H242" s="80"/>
      <c r="I242" s="82"/>
      <c r="J242" s="82"/>
      <c r="K242" s="19">
        <f>K239*0</f>
        <v>0</v>
      </c>
      <c r="L242" s="83"/>
      <c r="M242" t="s">
        <v>728</v>
      </c>
      <c r="N242" s="8" t="s">
        <v>547</v>
      </c>
      <c r="O242" s="8"/>
      <c r="P242" s="23">
        <f>K242*1000</f>
        <v>0</v>
      </c>
    </row>
    <row r="243" spans="2:22" x14ac:dyDescent="0.25">
      <c r="B243" s="21" t="s">
        <v>363</v>
      </c>
      <c r="C243" s="11"/>
      <c r="D243" s="42"/>
      <c r="E243" s="42"/>
      <c r="F243" s="43"/>
      <c r="G243" s="21"/>
      <c r="H243" s="21"/>
      <c r="I243" s="21"/>
      <c r="J243" s="21"/>
      <c r="K243" s="21"/>
      <c r="L243" s="42"/>
      <c r="M243" s="21"/>
      <c r="N243" s="21"/>
      <c r="O243" s="21"/>
    </row>
    <row r="244" spans="2:22" ht="15" customHeight="1" x14ac:dyDescent="0.25">
      <c r="B244" s="82" t="s">
        <v>389</v>
      </c>
      <c r="C244" s="91">
        <v>1</v>
      </c>
      <c r="D244" s="82" t="s">
        <v>37</v>
      </c>
      <c r="E244" s="82" t="s">
        <v>38</v>
      </c>
      <c r="F244" s="6" t="s">
        <v>425</v>
      </c>
      <c r="G244" s="82">
        <v>1</v>
      </c>
      <c r="H244" s="82" t="s">
        <v>62</v>
      </c>
      <c r="I244" s="82" t="s">
        <v>110</v>
      </c>
      <c r="J244" s="82">
        <v>1</v>
      </c>
      <c r="K244" s="7">
        <f>Q244/1000</f>
        <v>1.2999999999999999E-3</v>
      </c>
      <c r="L244" s="83" t="s">
        <v>722</v>
      </c>
      <c r="M244" t="s">
        <v>742</v>
      </c>
      <c r="N244" s="8" t="s">
        <v>150</v>
      </c>
      <c r="O244" s="8" t="s">
        <v>149</v>
      </c>
      <c r="P244" s="8"/>
      <c r="Q244" s="8">
        <v>1.3</v>
      </c>
      <c r="R244" s="8" t="s">
        <v>139</v>
      </c>
      <c r="S244" s="8"/>
    </row>
    <row r="245" spans="2:22" x14ac:dyDescent="0.25">
      <c r="B245" s="82"/>
      <c r="C245" s="91"/>
      <c r="D245" s="82"/>
      <c r="E245" s="82"/>
      <c r="F245" s="86" t="s">
        <v>108</v>
      </c>
      <c r="G245" s="82"/>
      <c r="H245" s="82"/>
      <c r="I245" s="82"/>
      <c r="J245" s="82"/>
      <c r="K245" s="28">
        <f>K244*30</f>
        <v>3.9E-2</v>
      </c>
      <c r="L245" s="83"/>
      <c r="M245" t="s">
        <v>727</v>
      </c>
      <c r="N245" s="8" t="s">
        <v>112</v>
      </c>
      <c r="O245" s="8"/>
      <c r="P245" s="8"/>
      <c r="Q245" s="8"/>
      <c r="R245" s="8"/>
      <c r="S245" s="8"/>
    </row>
    <row r="246" spans="2:22" x14ac:dyDescent="0.25">
      <c r="B246" s="82"/>
      <c r="C246" s="91"/>
      <c r="D246" s="82"/>
      <c r="E246" s="82"/>
      <c r="F246" s="86"/>
      <c r="G246" s="82"/>
      <c r="H246" s="82"/>
      <c r="I246" s="82"/>
      <c r="J246" s="82"/>
      <c r="K246" s="26">
        <f>K244*100</f>
        <v>0.13</v>
      </c>
      <c r="L246" s="83"/>
      <c r="M246" t="s">
        <v>727</v>
      </c>
      <c r="N246" s="8" t="s">
        <v>111</v>
      </c>
      <c r="O246" s="8"/>
      <c r="P246" s="8"/>
      <c r="Q246" s="8"/>
      <c r="R246" s="8"/>
      <c r="S246" s="8"/>
    </row>
    <row r="247" spans="2:22" x14ac:dyDescent="0.25">
      <c r="B247" s="82"/>
      <c r="C247" s="91"/>
      <c r="D247" s="82"/>
      <c r="E247" s="82"/>
      <c r="F247" s="86"/>
      <c r="G247" s="82"/>
      <c r="H247" s="82"/>
      <c r="I247" s="82"/>
      <c r="J247" s="82"/>
      <c r="K247" s="26">
        <f>K244</f>
        <v>1.2999999999999999E-3</v>
      </c>
      <c r="L247" s="83"/>
      <c r="M247" t="s">
        <v>728</v>
      </c>
      <c r="N247" s="8" t="s">
        <v>113</v>
      </c>
      <c r="O247" s="8"/>
      <c r="P247" s="23">
        <f>K247*1000</f>
        <v>1.3</v>
      </c>
      <c r="Q247" s="8"/>
      <c r="R247" s="8"/>
      <c r="S247" s="8"/>
    </row>
    <row r="248" spans="2:22" x14ac:dyDescent="0.25">
      <c r="B248" s="21" t="s">
        <v>364</v>
      </c>
      <c r="C248" s="11"/>
      <c r="D248" s="42"/>
      <c r="E248" s="42"/>
      <c r="F248" s="43"/>
      <c r="G248" s="42"/>
      <c r="H248" s="42"/>
      <c r="I248" s="21"/>
      <c r="J248" s="21"/>
      <c r="K248" s="21"/>
      <c r="L248" s="42"/>
      <c r="M248" s="21"/>
      <c r="N248" s="21"/>
      <c r="O248" s="21"/>
    </row>
    <row r="249" spans="2:22" ht="15" customHeight="1" x14ac:dyDescent="0.25">
      <c r="B249" s="82" t="s">
        <v>390</v>
      </c>
      <c r="C249" s="83">
        <v>1</v>
      </c>
      <c r="D249" s="82" t="s">
        <v>33</v>
      </c>
      <c r="E249" s="82" t="s">
        <v>35</v>
      </c>
      <c r="F249" s="6" t="s">
        <v>419</v>
      </c>
      <c r="G249" s="82">
        <v>1</v>
      </c>
      <c r="H249" s="80" t="s">
        <v>64</v>
      </c>
      <c r="I249" s="82" t="s">
        <v>110</v>
      </c>
      <c r="J249" s="82">
        <v>1</v>
      </c>
      <c r="K249" s="7">
        <f>(1/0.3048)*(1/1000)*(2/1000)</f>
        <v>6.5616797900262461E-6</v>
      </c>
      <c r="L249" s="83" t="s">
        <v>490</v>
      </c>
      <c r="M249" s="8" t="s">
        <v>749</v>
      </c>
      <c r="N249" s="8" t="s">
        <v>142</v>
      </c>
      <c r="O249" s="22" t="s">
        <v>143</v>
      </c>
      <c r="P249" s="8">
        <f>K249*1000</f>
        <v>6.5616797900262458E-3</v>
      </c>
      <c r="Q249" s="8"/>
      <c r="R249" s="8">
        <f>P249*0.95</f>
        <v>6.2335958005249334E-3</v>
      </c>
      <c r="S249" s="8" t="s">
        <v>144</v>
      </c>
      <c r="T249" s="8"/>
      <c r="U249" s="8">
        <f>P249*0.05</f>
        <v>3.2808398950131233E-4</v>
      </c>
      <c r="V249" s="8" t="s">
        <v>145</v>
      </c>
    </row>
    <row r="250" spans="2:22" x14ac:dyDescent="0.25">
      <c r="B250" s="82"/>
      <c r="C250" s="83"/>
      <c r="D250" s="82"/>
      <c r="E250" s="82"/>
      <c r="F250" s="86" t="s">
        <v>108</v>
      </c>
      <c r="G250" s="82"/>
      <c r="H250" s="80"/>
      <c r="I250" s="82"/>
      <c r="J250" s="82"/>
      <c r="K250" s="28">
        <f>K249*30</f>
        <v>1.9685039370078737E-4</v>
      </c>
      <c r="L250" s="83"/>
      <c r="M250" t="s">
        <v>727</v>
      </c>
      <c r="N250" s="8" t="s">
        <v>112</v>
      </c>
      <c r="O250" s="8"/>
      <c r="P250" s="8"/>
      <c r="Q250" s="8"/>
      <c r="R250" s="8"/>
      <c r="S250" s="8"/>
      <c r="T250" s="8"/>
      <c r="U250" s="8"/>
      <c r="V250" s="8"/>
    </row>
    <row r="251" spans="2:22" x14ac:dyDescent="0.25">
      <c r="B251" s="82"/>
      <c r="C251" s="83"/>
      <c r="D251" s="82"/>
      <c r="E251" s="82"/>
      <c r="F251" s="86"/>
      <c r="G251" s="82"/>
      <c r="H251" s="80"/>
      <c r="I251" s="82"/>
      <c r="J251" s="82"/>
      <c r="K251" s="26">
        <f>K249*100</f>
        <v>6.5616797900262466E-4</v>
      </c>
      <c r="L251" s="83"/>
      <c r="M251" t="s">
        <v>727</v>
      </c>
      <c r="N251" s="8" t="s">
        <v>111</v>
      </c>
      <c r="O251" s="8"/>
      <c r="P251" s="8"/>
      <c r="Q251" s="8"/>
      <c r="R251" s="8"/>
      <c r="S251" s="8"/>
      <c r="T251" s="8"/>
      <c r="U251" s="8"/>
      <c r="V251" s="8"/>
    </row>
    <row r="252" spans="2:22" x14ac:dyDescent="0.25">
      <c r="B252" s="82"/>
      <c r="C252" s="83"/>
      <c r="D252" s="82"/>
      <c r="E252" s="82"/>
      <c r="F252" s="86"/>
      <c r="G252" s="82"/>
      <c r="H252" s="80"/>
      <c r="I252" s="82"/>
      <c r="J252" s="82"/>
      <c r="K252" s="26">
        <f>K249*0</f>
        <v>0</v>
      </c>
      <c r="L252" s="83"/>
      <c r="M252" t="s">
        <v>728</v>
      </c>
      <c r="N252" s="8" t="s">
        <v>547</v>
      </c>
      <c r="O252" s="8"/>
      <c r="P252" s="25">
        <f>K252*1000</f>
        <v>0</v>
      </c>
      <c r="Q252" s="8"/>
      <c r="R252" s="8"/>
      <c r="S252" s="8"/>
      <c r="T252" s="8"/>
      <c r="U252" s="8"/>
      <c r="V252" s="8"/>
    </row>
    <row r="253" spans="2:22" x14ac:dyDescent="0.25">
      <c r="B253" s="82"/>
      <c r="C253" s="83">
        <v>2</v>
      </c>
      <c r="D253" s="82" t="s">
        <v>34</v>
      </c>
      <c r="E253" s="82" t="s">
        <v>36</v>
      </c>
      <c r="F253" s="15" t="s">
        <v>420</v>
      </c>
      <c r="G253" s="82">
        <v>1</v>
      </c>
      <c r="H253" s="80" t="s">
        <v>64</v>
      </c>
      <c r="I253" s="82" t="s">
        <v>110</v>
      </c>
      <c r="J253" s="82">
        <v>1</v>
      </c>
      <c r="K253" s="8">
        <f>(1/0.3048*20/1000)*0.3048*R253/1000</f>
        <v>4.9999999999999989E-5</v>
      </c>
      <c r="L253" s="83" t="s">
        <v>491</v>
      </c>
      <c r="M253" s="8" t="s">
        <v>750</v>
      </c>
      <c r="N253" s="8" t="s">
        <v>147</v>
      </c>
      <c r="O253" s="8" t="s">
        <v>146</v>
      </c>
      <c r="P253" s="8">
        <f>K253*1000</f>
        <v>4.9999999999999989E-2</v>
      </c>
      <c r="Q253" s="8"/>
      <c r="R253" s="8">
        <v>2.5</v>
      </c>
      <c r="S253" s="8" t="s">
        <v>148</v>
      </c>
      <c r="T253" s="8"/>
      <c r="U253" s="8"/>
      <c r="V253" s="8"/>
    </row>
    <row r="254" spans="2:22" x14ac:dyDescent="0.25">
      <c r="B254" s="82"/>
      <c r="C254" s="83"/>
      <c r="D254" s="82"/>
      <c r="E254" s="82"/>
      <c r="F254" s="87" t="s">
        <v>108</v>
      </c>
      <c r="G254" s="82"/>
      <c r="H254" s="80"/>
      <c r="I254" s="82"/>
      <c r="J254" s="82"/>
      <c r="K254" s="26">
        <f>SUM(K253:K253)*30</f>
        <v>1.4999999999999996E-3</v>
      </c>
      <c r="L254" s="83"/>
      <c r="M254" t="s">
        <v>727</v>
      </c>
      <c r="N254" s="8" t="s">
        <v>112</v>
      </c>
      <c r="O254" s="8"/>
      <c r="P254" s="8"/>
      <c r="Q254" s="8"/>
      <c r="R254" s="8"/>
      <c r="S254" s="8"/>
      <c r="T254" s="8"/>
      <c r="U254" s="8"/>
      <c r="V254" s="8"/>
    </row>
    <row r="255" spans="2:22" x14ac:dyDescent="0.25">
      <c r="B255" s="82"/>
      <c r="C255" s="83"/>
      <c r="D255" s="82"/>
      <c r="E255" s="82"/>
      <c r="F255" s="87"/>
      <c r="G255" s="82"/>
      <c r="H255" s="80"/>
      <c r="I255" s="82"/>
      <c r="J255" s="82"/>
      <c r="K255" s="26">
        <f>SUM(K253:K253)*100</f>
        <v>4.9999999999999992E-3</v>
      </c>
      <c r="L255" s="83"/>
      <c r="M255" t="s">
        <v>727</v>
      </c>
      <c r="N255" s="8" t="s">
        <v>111</v>
      </c>
      <c r="O255" s="8"/>
      <c r="P255" s="8"/>
      <c r="Q255" s="8"/>
      <c r="R255" s="8"/>
      <c r="S255" s="8"/>
      <c r="T255" s="8"/>
      <c r="U255" s="8"/>
      <c r="V255" s="8"/>
    </row>
    <row r="256" spans="2:22" x14ac:dyDescent="0.25">
      <c r="B256" s="82"/>
      <c r="C256" s="83"/>
      <c r="D256" s="82"/>
      <c r="E256" s="82"/>
      <c r="F256" s="87"/>
      <c r="G256" s="82"/>
      <c r="H256" s="80"/>
      <c r="I256" s="82"/>
      <c r="J256" s="82"/>
      <c r="K256" s="26">
        <f>SUM(K253:K253)*0</f>
        <v>0</v>
      </c>
      <c r="L256" s="83"/>
      <c r="M256" t="s">
        <v>728</v>
      </c>
      <c r="N256" s="8" t="s">
        <v>547</v>
      </c>
      <c r="O256" s="8"/>
      <c r="P256" s="23">
        <f>K256*1000</f>
        <v>0</v>
      </c>
      <c r="Q256" s="8"/>
      <c r="R256" s="8"/>
      <c r="S256" s="8"/>
      <c r="T256" s="8"/>
      <c r="U256" s="8"/>
      <c r="V256" s="8"/>
    </row>
    <row r="257" spans="2:21" x14ac:dyDescent="0.25">
      <c r="B257" s="21" t="s">
        <v>366</v>
      </c>
      <c r="C257" s="11"/>
      <c r="D257" s="42"/>
      <c r="E257" s="42"/>
      <c r="F257" s="43"/>
      <c r="G257" s="42"/>
      <c r="H257" s="42"/>
      <c r="I257" s="21"/>
      <c r="J257" s="21"/>
      <c r="K257" s="21"/>
      <c r="L257" s="42"/>
      <c r="M257" s="21"/>
      <c r="N257" s="21"/>
      <c r="O257" s="21"/>
    </row>
    <row r="258" spans="2:21" ht="15" customHeight="1" x14ac:dyDescent="0.25">
      <c r="B258" s="82" t="s">
        <v>391</v>
      </c>
      <c r="C258" s="83">
        <v>1</v>
      </c>
      <c r="D258" s="82" t="s">
        <v>48</v>
      </c>
      <c r="E258" s="82" t="s">
        <v>49</v>
      </c>
      <c r="F258" s="6" t="s">
        <v>426</v>
      </c>
      <c r="G258" s="80">
        <v>1</v>
      </c>
      <c r="H258" s="80" t="s">
        <v>62</v>
      </c>
      <c r="I258" s="82" t="s">
        <v>110</v>
      </c>
      <c r="J258" s="82">
        <v>1</v>
      </c>
      <c r="K258" s="7">
        <f>Q258/100/1000</f>
        <v>9.0000000000000002E-6</v>
      </c>
      <c r="L258" s="83" t="s">
        <v>492</v>
      </c>
      <c r="M258" s="8" t="s">
        <v>751</v>
      </c>
      <c r="N258" s="8" t="s">
        <v>152</v>
      </c>
      <c r="O258" s="22" t="s">
        <v>174</v>
      </c>
      <c r="P258" s="8">
        <f>K258*1000</f>
        <v>9.0000000000000011E-3</v>
      </c>
      <c r="Q258" s="8">
        <v>0.9</v>
      </c>
      <c r="R258" s="8" t="s">
        <v>175</v>
      </c>
      <c r="S258" s="8"/>
    </row>
    <row r="259" spans="2:21" ht="15" customHeight="1" x14ac:dyDescent="0.25">
      <c r="B259" s="82"/>
      <c r="C259" s="83"/>
      <c r="D259" s="82"/>
      <c r="E259" s="82"/>
      <c r="F259" s="86" t="s">
        <v>108</v>
      </c>
      <c r="G259" s="80"/>
      <c r="H259" s="80"/>
      <c r="I259" s="82"/>
      <c r="J259" s="82"/>
      <c r="K259" s="19">
        <f>K258*30</f>
        <v>2.7E-4</v>
      </c>
      <c r="L259" s="83"/>
      <c r="M259" t="s">
        <v>727</v>
      </c>
      <c r="N259" s="8" t="s">
        <v>112</v>
      </c>
      <c r="O259" s="8"/>
      <c r="P259" s="8"/>
      <c r="Q259" s="8"/>
      <c r="R259" s="8"/>
      <c r="S259" s="8"/>
    </row>
    <row r="260" spans="2:21" x14ac:dyDescent="0.25">
      <c r="B260" s="82"/>
      <c r="C260" s="83"/>
      <c r="D260" s="82"/>
      <c r="E260" s="82"/>
      <c r="F260" s="86"/>
      <c r="G260" s="80"/>
      <c r="H260" s="80"/>
      <c r="I260" s="82"/>
      <c r="J260" s="82"/>
      <c r="K260" s="19">
        <f>K258*100</f>
        <v>8.9999999999999998E-4</v>
      </c>
      <c r="L260" s="83"/>
      <c r="M260" t="s">
        <v>727</v>
      </c>
      <c r="N260" s="8" t="s">
        <v>111</v>
      </c>
      <c r="O260" s="8"/>
      <c r="P260" s="8"/>
      <c r="Q260" s="8"/>
      <c r="R260" s="8"/>
      <c r="S260" s="8"/>
    </row>
    <row r="261" spans="2:21" x14ac:dyDescent="0.25">
      <c r="B261" s="82"/>
      <c r="C261" s="83"/>
      <c r="D261" s="82"/>
      <c r="E261" s="82"/>
      <c r="F261" s="86"/>
      <c r="G261" s="80"/>
      <c r="H261" s="80"/>
      <c r="I261" s="82"/>
      <c r="J261" s="82"/>
      <c r="K261" s="19">
        <f>K258*0</f>
        <v>0</v>
      </c>
      <c r="L261" s="83"/>
      <c r="M261" t="s">
        <v>728</v>
      </c>
      <c r="N261" s="8" t="s">
        <v>547</v>
      </c>
      <c r="O261" s="8"/>
      <c r="P261" s="29">
        <f>K261*1000</f>
        <v>0</v>
      </c>
      <c r="Q261" s="8"/>
      <c r="R261" s="8"/>
      <c r="S261" s="8"/>
    </row>
    <row r="262" spans="2:21" x14ac:dyDescent="0.25">
      <c r="B262" s="82"/>
      <c r="C262" s="83">
        <v>2</v>
      </c>
      <c r="D262" s="82" t="s">
        <v>392</v>
      </c>
      <c r="E262" s="82" t="s">
        <v>393</v>
      </c>
      <c r="F262" s="15" t="s">
        <v>426</v>
      </c>
      <c r="G262" s="80">
        <v>1</v>
      </c>
      <c r="H262" s="80" t="s">
        <v>62</v>
      </c>
      <c r="I262" s="82" t="s">
        <v>110</v>
      </c>
      <c r="J262" s="82">
        <v>1</v>
      </c>
      <c r="K262" s="7">
        <f>Q262/100/1000</f>
        <v>9.0000000000000002E-6</v>
      </c>
      <c r="L262" s="83" t="s">
        <v>493</v>
      </c>
      <c r="M262" s="8" t="s">
        <v>751</v>
      </c>
      <c r="N262" s="8" t="s">
        <v>152</v>
      </c>
      <c r="O262" s="22" t="s">
        <v>174</v>
      </c>
      <c r="P262" s="8">
        <f>K262*1000</f>
        <v>9.0000000000000011E-3</v>
      </c>
      <c r="Q262" s="8">
        <v>0.9</v>
      </c>
      <c r="R262" s="8" t="s">
        <v>175</v>
      </c>
      <c r="S262" s="8"/>
    </row>
    <row r="263" spans="2:21" x14ac:dyDescent="0.25">
      <c r="B263" s="82"/>
      <c r="C263" s="83"/>
      <c r="D263" s="82"/>
      <c r="E263" s="82"/>
      <c r="F263" s="87" t="s">
        <v>108</v>
      </c>
      <c r="G263" s="80"/>
      <c r="H263" s="80"/>
      <c r="I263" s="82"/>
      <c r="J263" s="82"/>
      <c r="K263" s="19">
        <f>K262*30</f>
        <v>2.7E-4</v>
      </c>
      <c r="L263" s="83"/>
      <c r="M263" t="s">
        <v>727</v>
      </c>
      <c r="N263" s="8" t="s">
        <v>112</v>
      </c>
      <c r="O263" s="8"/>
      <c r="P263" s="8"/>
      <c r="Q263" s="8"/>
      <c r="R263" s="8"/>
      <c r="S263" s="8"/>
    </row>
    <row r="264" spans="2:21" x14ac:dyDescent="0.25">
      <c r="B264" s="82"/>
      <c r="C264" s="83"/>
      <c r="D264" s="82"/>
      <c r="E264" s="82"/>
      <c r="F264" s="87"/>
      <c r="G264" s="80"/>
      <c r="H264" s="80"/>
      <c r="I264" s="82"/>
      <c r="J264" s="82"/>
      <c r="K264" s="19">
        <f>K262*100</f>
        <v>8.9999999999999998E-4</v>
      </c>
      <c r="L264" s="83"/>
      <c r="M264" t="s">
        <v>727</v>
      </c>
      <c r="N264" s="8" t="s">
        <v>111</v>
      </c>
      <c r="O264" s="8"/>
      <c r="P264" s="8"/>
      <c r="Q264" s="8"/>
      <c r="R264" s="8"/>
      <c r="S264" s="8"/>
    </row>
    <row r="265" spans="2:21" x14ac:dyDescent="0.25">
      <c r="B265" s="82"/>
      <c r="C265" s="83"/>
      <c r="D265" s="82"/>
      <c r="E265" s="82"/>
      <c r="F265" s="87"/>
      <c r="G265" s="80"/>
      <c r="H265" s="80"/>
      <c r="I265" s="82"/>
      <c r="J265" s="82"/>
      <c r="K265" s="19">
        <f>K262*0</f>
        <v>0</v>
      </c>
      <c r="L265" s="83"/>
      <c r="M265" t="s">
        <v>728</v>
      </c>
      <c r="N265" s="8" t="s">
        <v>547</v>
      </c>
      <c r="O265" s="8"/>
      <c r="P265" s="29">
        <f>K265*1000</f>
        <v>0</v>
      </c>
      <c r="Q265" s="8"/>
      <c r="R265" s="8"/>
      <c r="S265" s="8"/>
    </row>
    <row r="266" spans="2:21" x14ac:dyDescent="0.25">
      <c r="B266" s="21" t="s">
        <v>365</v>
      </c>
      <c r="C266" s="11"/>
      <c r="D266" s="42"/>
      <c r="E266" s="42"/>
      <c r="F266" s="43"/>
      <c r="G266" s="42"/>
      <c r="H266" s="42"/>
      <c r="I266" s="21"/>
      <c r="J266" s="21"/>
      <c r="K266" s="21"/>
      <c r="L266" s="42"/>
      <c r="M266" s="21"/>
      <c r="N266" s="21"/>
      <c r="O266" s="21"/>
    </row>
    <row r="267" spans="2:21" ht="15" customHeight="1" x14ac:dyDescent="0.25">
      <c r="B267" s="82" t="s">
        <v>394</v>
      </c>
      <c r="C267" s="83">
        <v>1</v>
      </c>
      <c r="D267" s="80" t="s">
        <v>395</v>
      </c>
      <c r="E267" s="80" t="s">
        <v>398</v>
      </c>
      <c r="F267" s="6" t="s">
        <v>427</v>
      </c>
      <c r="G267" s="80">
        <v>1</v>
      </c>
      <c r="H267" s="80" t="s">
        <v>62</v>
      </c>
      <c r="I267" s="82" t="s">
        <v>110</v>
      </c>
      <c r="J267" s="82">
        <v>1</v>
      </c>
      <c r="K267" s="55">
        <f>200*200/1600*34.83/18.87/2.2/1000</f>
        <v>2.0974851857204796E-2</v>
      </c>
      <c r="L267" s="83" t="s">
        <v>494</v>
      </c>
      <c r="M267" s="6" t="s">
        <v>752</v>
      </c>
      <c r="N267" s="8" t="s">
        <v>754</v>
      </c>
      <c r="O267" s="8" t="s">
        <v>528</v>
      </c>
      <c r="P267" s="25">
        <f t="shared" ref="P267" si="20">K267*1000</f>
        <v>20.974851857204797</v>
      </c>
      <c r="R267">
        <f>(34.83*0.454)/(18.87*(0.3048^2))</f>
        <v>9.0200200273214524</v>
      </c>
      <c r="S267" t="s">
        <v>131</v>
      </c>
      <c r="T267" s="31">
        <f>P267/R267</f>
        <v>2.3253664397276732</v>
      </c>
      <c r="U267" t="s">
        <v>63</v>
      </c>
    </row>
    <row r="268" spans="2:21" x14ac:dyDescent="0.25">
      <c r="B268" s="82"/>
      <c r="C268" s="83"/>
      <c r="D268" s="80"/>
      <c r="E268" s="80"/>
      <c r="F268" s="86" t="s">
        <v>108</v>
      </c>
      <c r="G268" s="80"/>
      <c r="H268" s="80"/>
      <c r="I268" s="82"/>
      <c r="J268" s="82"/>
      <c r="K268" s="19">
        <f>K267*30</f>
        <v>0.62924555571614382</v>
      </c>
      <c r="L268" s="83"/>
      <c r="M268" t="s">
        <v>727</v>
      </c>
      <c r="N268" s="8" t="s">
        <v>185</v>
      </c>
      <c r="O268" s="13"/>
      <c r="T268" s="31"/>
    </row>
    <row r="269" spans="2:21" x14ac:dyDescent="0.25">
      <c r="B269" s="82"/>
      <c r="C269" s="83"/>
      <c r="D269" s="80"/>
      <c r="E269" s="80"/>
      <c r="F269" s="86"/>
      <c r="G269" s="80"/>
      <c r="H269" s="80"/>
      <c r="I269" s="82"/>
      <c r="J269" s="82"/>
      <c r="K269" s="19">
        <f>K267*100</f>
        <v>2.0974851857204797</v>
      </c>
      <c r="L269" s="83"/>
      <c r="M269" t="s">
        <v>727</v>
      </c>
      <c r="N269" s="8" t="s">
        <v>111</v>
      </c>
      <c r="O269" s="13"/>
      <c r="T269" s="31"/>
    </row>
    <row r="270" spans="2:21" x14ac:dyDescent="0.25">
      <c r="B270" s="82"/>
      <c r="C270" s="83"/>
      <c r="D270" s="80"/>
      <c r="E270" s="80"/>
      <c r="F270" s="86"/>
      <c r="G270" s="80"/>
      <c r="H270" s="80"/>
      <c r="I270" s="82"/>
      <c r="J270" s="82"/>
      <c r="K270" s="19">
        <f>K267</f>
        <v>2.0974851857204796E-2</v>
      </c>
      <c r="L270" s="83"/>
      <c r="M270" t="s">
        <v>728</v>
      </c>
      <c r="N270" s="8" t="s">
        <v>529</v>
      </c>
      <c r="O270" s="13"/>
      <c r="P270">
        <f>K270*1000</f>
        <v>20.974851857204797</v>
      </c>
      <c r="T270" s="31"/>
    </row>
    <row r="271" spans="2:21" x14ac:dyDescent="0.25">
      <c r="B271" s="82"/>
      <c r="C271" s="83">
        <v>2</v>
      </c>
      <c r="D271" s="80" t="s">
        <v>396</v>
      </c>
      <c r="E271" s="82" t="s">
        <v>399</v>
      </c>
      <c r="F271" s="15" t="s">
        <v>428</v>
      </c>
      <c r="G271" s="80">
        <v>1</v>
      </c>
      <c r="H271" s="80" t="s">
        <v>62</v>
      </c>
      <c r="I271" s="82" t="s">
        <v>110</v>
      </c>
      <c r="J271" s="82">
        <v>1</v>
      </c>
      <c r="K271" s="55">
        <f>K276*1000/7000</f>
        <v>6.7285714285714282E-2</v>
      </c>
      <c r="L271" s="83" t="s">
        <v>495</v>
      </c>
      <c r="M271" s="8" t="s">
        <v>751</v>
      </c>
      <c r="N271" s="6" t="s">
        <v>755</v>
      </c>
      <c r="O271" s="50" t="s">
        <v>525</v>
      </c>
      <c r="P271">
        <f>K271*1000</f>
        <v>67.285714285714278</v>
      </c>
      <c r="T271" s="31"/>
    </row>
    <row r="272" spans="2:21" x14ac:dyDescent="0.25">
      <c r="B272" s="82"/>
      <c r="C272" s="83"/>
      <c r="D272" s="80"/>
      <c r="E272" s="82"/>
      <c r="F272" s="15" t="s">
        <v>429</v>
      </c>
      <c r="G272" s="80"/>
      <c r="H272" s="80"/>
      <c r="I272" s="82"/>
      <c r="J272" s="82"/>
      <c r="K272" s="55">
        <f>200*500/1600*34.83/18.87/2.2/1000</f>
        <v>5.243712964301199E-2</v>
      </c>
      <c r="L272" s="83"/>
      <c r="M272" s="6" t="s">
        <v>752</v>
      </c>
      <c r="N272" s="8" t="s">
        <v>753</v>
      </c>
      <c r="O272" s="8" t="s">
        <v>528</v>
      </c>
      <c r="P272" s="25">
        <f t="shared" ref="P272" si="21">K272*1000</f>
        <v>52.437129643011993</v>
      </c>
      <c r="Q272" s="23"/>
      <c r="R272">
        <f>(34.83*0.454)/(18.87*(0.3048^2))</f>
        <v>9.0200200273214524</v>
      </c>
      <c r="S272" t="s">
        <v>131</v>
      </c>
      <c r="T272" s="31">
        <f>P272/R272</f>
        <v>5.8134160993191832</v>
      </c>
      <c r="U272" t="s">
        <v>63</v>
      </c>
    </row>
    <row r="273" spans="2:21" x14ac:dyDescent="0.25">
      <c r="B273" s="82"/>
      <c r="C273" s="83"/>
      <c r="D273" s="80"/>
      <c r="E273" s="82"/>
      <c r="F273" s="87" t="s">
        <v>108</v>
      </c>
      <c r="G273" s="80"/>
      <c r="H273" s="80"/>
      <c r="I273" s="82"/>
      <c r="J273" s="82"/>
      <c r="K273" s="19">
        <f>SUM(K271,K272)*30</f>
        <v>3.591685317861788</v>
      </c>
      <c r="L273" s="83"/>
      <c r="M273" t="s">
        <v>727</v>
      </c>
      <c r="N273" s="8" t="s">
        <v>185</v>
      </c>
      <c r="O273" s="13"/>
      <c r="T273" s="31"/>
    </row>
    <row r="274" spans="2:21" x14ac:dyDescent="0.25">
      <c r="B274" s="82"/>
      <c r="C274" s="83"/>
      <c r="D274" s="80"/>
      <c r="E274" s="82"/>
      <c r="F274" s="87"/>
      <c r="G274" s="80"/>
      <c r="H274" s="80"/>
      <c r="I274" s="82"/>
      <c r="J274" s="82"/>
      <c r="K274" s="19">
        <f>SUM(K271:K272)*100</f>
        <v>11.972284392872627</v>
      </c>
      <c r="L274" s="83"/>
      <c r="M274" t="s">
        <v>727</v>
      </c>
      <c r="N274" s="8" t="s">
        <v>111</v>
      </c>
      <c r="O274" s="13"/>
      <c r="T274" s="31"/>
    </row>
    <row r="275" spans="2:21" x14ac:dyDescent="0.25">
      <c r="B275" s="82"/>
      <c r="C275" s="83"/>
      <c r="D275" s="80"/>
      <c r="E275" s="82"/>
      <c r="F275" s="87"/>
      <c r="G275" s="80"/>
      <c r="H275" s="80"/>
      <c r="I275" s="82"/>
      <c r="J275" s="82"/>
      <c r="K275" s="19">
        <f>K272</f>
        <v>5.243712964301199E-2</v>
      </c>
      <c r="L275" s="83"/>
      <c r="M275" t="s">
        <v>728</v>
      </c>
      <c r="N275" s="8" t="s">
        <v>529</v>
      </c>
      <c r="O275" s="13"/>
      <c r="P275">
        <f>K275*1000</f>
        <v>52.437129643011993</v>
      </c>
      <c r="T275" s="31"/>
    </row>
    <row r="276" spans="2:21" x14ac:dyDescent="0.25">
      <c r="B276" s="82"/>
      <c r="C276" s="83">
        <v>3</v>
      </c>
      <c r="D276" s="82" t="s">
        <v>397</v>
      </c>
      <c r="E276" s="82" t="s">
        <v>400</v>
      </c>
      <c r="F276" s="6" t="s">
        <v>430</v>
      </c>
      <c r="G276" s="80">
        <v>1</v>
      </c>
      <c r="H276" s="80" t="s">
        <v>62</v>
      </c>
      <c r="I276" s="82" t="s">
        <v>110</v>
      </c>
      <c r="J276" s="82">
        <v>1</v>
      </c>
      <c r="K276" s="13">
        <f>(314+157)/1000</f>
        <v>0.47099999999999997</v>
      </c>
      <c r="L276" s="83" t="s">
        <v>496</v>
      </c>
      <c r="M276" s="8" t="s">
        <v>751</v>
      </c>
      <c r="N276" s="6" t="s">
        <v>756</v>
      </c>
      <c r="O276" s="50" t="s">
        <v>525</v>
      </c>
      <c r="T276" s="31"/>
    </row>
    <row r="277" spans="2:21" x14ac:dyDescent="0.25">
      <c r="B277" s="82"/>
      <c r="C277" s="83"/>
      <c r="D277" s="82"/>
      <c r="E277" s="82"/>
      <c r="F277" s="6" t="s">
        <v>431</v>
      </c>
      <c r="G277" s="80"/>
      <c r="H277" s="80"/>
      <c r="I277" s="82"/>
      <c r="J277" s="82"/>
      <c r="K277" s="31">
        <f>((35*12/R277+1)*P277*1/2.2)/1000</f>
        <v>6.0709090909090907E-2</v>
      </c>
      <c r="L277" s="83"/>
      <c r="M277" s="8" t="s">
        <v>751</v>
      </c>
      <c r="N277" s="13" t="s">
        <v>539</v>
      </c>
      <c r="O277" s="6" t="s">
        <v>536</v>
      </c>
      <c r="P277">
        <v>1.26</v>
      </c>
      <c r="Q277" t="s">
        <v>537</v>
      </c>
      <c r="R277">
        <v>4</v>
      </c>
      <c r="S277" t="s">
        <v>538</v>
      </c>
      <c r="T277" s="31"/>
    </row>
    <row r="278" spans="2:21" x14ac:dyDescent="0.25">
      <c r="B278" s="82"/>
      <c r="C278" s="83"/>
      <c r="D278" s="82"/>
      <c r="E278" s="82"/>
      <c r="F278" s="6" t="s">
        <v>432</v>
      </c>
      <c r="G278" s="80"/>
      <c r="H278" s="80"/>
      <c r="I278" s="82"/>
      <c r="J278" s="82"/>
      <c r="K278" s="55">
        <f>200*34.83/18.87/2.2/1000</f>
        <v>0.16779881485763837</v>
      </c>
      <c r="L278" s="83"/>
      <c r="M278" s="6" t="s">
        <v>752</v>
      </c>
      <c r="N278" s="8" t="s">
        <v>527</v>
      </c>
      <c r="O278" s="8" t="s">
        <v>528</v>
      </c>
      <c r="P278" s="25">
        <f t="shared" ref="P278" si="22">K278*1000</f>
        <v>167.79881485763838</v>
      </c>
      <c r="Q278" s="23"/>
      <c r="R278">
        <f>(34.83*0.454)/(18.87*(0.3048^2))</f>
        <v>9.0200200273214524</v>
      </c>
      <c r="S278" t="s">
        <v>131</v>
      </c>
      <c r="T278" s="31">
        <f>P278/R278</f>
        <v>18.602931517821386</v>
      </c>
      <c r="U278" t="s">
        <v>63</v>
      </c>
    </row>
    <row r="279" spans="2:21" x14ac:dyDescent="0.25">
      <c r="B279" s="82"/>
      <c r="C279" s="83"/>
      <c r="D279" s="82"/>
      <c r="E279" s="82"/>
      <c r="F279" s="6" t="s">
        <v>433</v>
      </c>
      <c r="G279" s="80"/>
      <c r="H279" s="80"/>
      <c r="I279" s="82"/>
      <c r="J279" s="82"/>
      <c r="K279" s="55">
        <f>(200*0.3048^2)*P279/1000*7800/1000</f>
        <v>0.13203008432640001</v>
      </c>
      <c r="L279" s="83"/>
      <c r="M279" s="8" t="s">
        <v>757</v>
      </c>
      <c r="N279" s="6" t="s">
        <v>540</v>
      </c>
      <c r="O279" s="56" t="s">
        <v>541</v>
      </c>
      <c r="P279">
        <f>(1.214+0.912+0.607)/3</f>
        <v>0.91099999999999992</v>
      </c>
      <c r="Q279" t="s">
        <v>542</v>
      </c>
    </row>
    <row r="280" spans="2:21" x14ac:dyDescent="0.25">
      <c r="B280" s="82"/>
      <c r="C280" s="83"/>
      <c r="D280" s="82"/>
      <c r="E280" s="82"/>
      <c r="F280" s="86" t="s">
        <v>108</v>
      </c>
      <c r="G280" s="80"/>
      <c r="H280" s="80"/>
      <c r="I280" s="82"/>
      <c r="J280" s="82"/>
      <c r="K280" s="26">
        <f>SUM(K276:K279)*30</f>
        <v>24.946139702793879</v>
      </c>
      <c r="L280" s="83"/>
      <c r="M280" t="s">
        <v>727</v>
      </c>
      <c r="N280" s="8" t="s">
        <v>185</v>
      </c>
      <c r="O280" s="13"/>
    </row>
    <row r="281" spans="2:21" x14ac:dyDescent="0.25">
      <c r="B281" s="82"/>
      <c r="C281" s="83"/>
      <c r="D281" s="82"/>
      <c r="E281" s="82"/>
      <c r="F281" s="86"/>
      <c r="G281" s="80"/>
      <c r="H281" s="80"/>
      <c r="I281" s="82"/>
      <c r="J281" s="82"/>
      <c r="K281" s="26">
        <f>SUM(K276:K279)*100</f>
        <v>83.15379900931292</v>
      </c>
      <c r="L281" s="83"/>
      <c r="M281" t="s">
        <v>727</v>
      </c>
      <c r="N281" s="8" t="s">
        <v>111</v>
      </c>
      <c r="O281" s="13"/>
    </row>
    <row r="282" spans="2:21" x14ac:dyDescent="0.25">
      <c r="B282" s="82"/>
      <c r="C282" s="83"/>
      <c r="D282" s="82"/>
      <c r="E282" s="82"/>
      <c r="F282" s="86"/>
      <c r="G282" s="80"/>
      <c r="H282" s="80"/>
      <c r="I282" s="82"/>
      <c r="J282" s="82"/>
      <c r="K282" s="26">
        <f>K278</f>
        <v>0.16779881485763837</v>
      </c>
      <c r="L282" s="83"/>
      <c r="M282" t="s">
        <v>728</v>
      </c>
      <c r="N282" s="8" t="s">
        <v>529</v>
      </c>
      <c r="O282" s="13"/>
    </row>
    <row r="283" spans="2:21" x14ac:dyDescent="0.25">
      <c r="B283" s="21" t="s">
        <v>367</v>
      </c>
      <c r="C283" s="11"/>
      <c r="D283" s="42"/>
      <c r="E283" s="42"/>
      <c r="F283" s="43"/>
      <c r="G283" s="42"/>
      <c r="H283" s="42"/>
      <c r="I283" s="21"/>
      <c r="J283" s="21"/>
      <c r="K283" s="21"/>
      <c r="L283" s="42"/>
      <c r="M283" s="21"/>
      <c r="N283" s="21"/>
      <c r="O283" s="21"/>
    </row>
    <row r="284" spans="2:21" ht="15" customHeight="1" x14ac:dyDescent="0.25">
      <c r="B284" s="82" t="s">
        <v>401</v>
      </c>
      <c r="C284" s="83">
        <v>1</v>
      </c>
      <c r="D284" s="80" t="s">
        <v>402</v>
      </c>
      <c r="E284" s="80" t="s">
        <v>403</v>
      </c>
      <c r="F284" s="6" t="s">
        <v>434</v>
      </c>
      <c r="G284" s="80">
        <v>1</v>
      </c>
      <c r="H284" s="80" t="s">
        <v>62</v>
      </c>
      <c r="I284" s="82" t="s">
        <v>110</v>
      </c>
      <c r="J284" s="82">
        <v>1</v>
      </c>
      <c r="K284" s="13">
        <f>R284/1000</f>
        <v>0.3</v>
      </c>
      <c r="L284" s="83" t="s">
        <v>497</v>
      </c>
      <c r="M284" s="6" t="s">
        <v>759</v>
      </c>
      <c r="N284" s="6" t="s">
        <v>758</v>
      </c>
      <c r="O284" s="13" t="s">
        <v>524</v>
      </c>
      <c r="R284">
        <v>300</v>
      </c>
      <c r="S284" t="s">
        <v>139</v>
      </c>
    </row>
    <row r="285" spans="2:21" x14ac:dyDescent="0.25">
      <c r="B285" s="82"/>
      <c r="C285" s="83"/>
      <c r="D285" s="80"/>
      <c r="E285" s="80"/>
      <c r="F285" s="86" t="s">
        <v>108</v>
      </c>
      <c r="G285" s="80"/>
      <c r="H285" s="80"/>
      <c r="I285" s="82"/>
      <c r="J285" s="82"/>
      <c r="K285" s="26">
        <f>K284*30</f>
        <v>9</v>
      </c>
      <c r="L285" s="83"/>
      <c r="M285" t="s">
        <v>727</v>
      </c>
      <c r="N285" s="8" t="s">
        <v>185</v>
      </c>
      <c r="O285" s="13"/>
    </row>
    <row r="286" spans="2:21" x14ac:dyDescent="0.25">
      <c r="B286" s="82"/>
      <c r="C286" s="83"/>
      <c r="D286" s="80"/>
      <c r="E286" s="80"/>
      <c r="F286" s="86"/>
      <c r="G286" s="80"/>
      <c r="H286" s="80"/>
      <c r="I286" s="82"/>
      <c r="J286" s="82"/>
      <c r="K286" s="26">
        <f>K284*100</f>
        <v>30</v>
      </c>
      <c r="L286" s="83"/>
      <c r="M286" t="s">
        <v>727</v>
      </c>
      <c r="N286" s="8" t="s">
        <v>111</v>
      </c>
      <c r="O286" s="13"/>
    </row>
    <row r="287" spans="2:21" x14ac:dyDescent="0.25">
      <c r="B287" s="82"/>
      <c r="C287" s="83"/>
      <c r="D287" s="80"/>
      <c r="E287" s="80"/>
      <c r="F287" s="86"/>
      <c r="G287" s="80"/>
      <c r="H287" s="80"/>
      <c r="I287" s="82"/>
      <c r="J287" s="82"/>
      <c r="K287" s="26">
        <f>K284</f>
        <v>0.3</v>
      </c>
      <c r="L287" s="83"/>
      <c r="M287" t="s">
        <v>728</v>
      </c>
      <c r="N287" s="8" t="s">
        <v>522</v>
      </c>
      <c r="O287" s="13"/>
    </row>
    <row r="288" spans="2:21" x14ac:dyDescent="0.25">
      <c r="B288" s="21" t="s">
        <v>10</v>
      </c>
      <c r="C288" s="11"/>
      <c r="D288" s="42"/>
      <c r="E288" s="42"/>
      <c r="F288" s="43"/>
      <c r="G288" s="42"/>
      <c r="H288" s="42"/>
      <c r="I288" s="21"/>
      <c r="J288" s="21"/>
      <c r="K288" s="21"/>
      <c r="L288" s="42"/>
      <c r="M288" s="21"/>
      <c r="N288" s="21"/>
      <c r="O288" s="21"/>
    </row>
    <row r="289" spans="2:19" ht="15" customHeight="1" x14ac:dyDescent="0.25">
      <c r="B289" s="82" t="s">
        <v>11</v>
      </c>
      <c r="C289" s="83">
        <v>1</v>
      </c>
      <c r="D289" s="88" t="s">
        <v>94</v>
      </c>
      <c r="E289" s="80" t="s">
        <v>80</v>
      </c>
      <c r="F289" s="14" t="s">
        <v>81</v>
      </c>
      <c r="G289" s="82">
        <v>1</v>
      </c>
      <c r="H289" s="82" t="s">
        <v>62</v>
      </c>
      <c r="I289" s="82" t="s">
        <v>110</v>
      </c>
      <c r="J289" s="82">
        <v>1</v>
      </c>
      <c r="K289" s="7">
        <f>R289*4/1000</f>
        <v>9.0342720000000001E-4</v>
      </c>
      <c r="L289" s="83" t="s">
        <v>68</v>
      </c>
      <c r="M289" s="8" t="s">
        <v>725</v>
      </c>
      <c r="N289" s="8" t="s">
        <v>197</v>
      </c>
      <c r="O289" t="s">
        <v>191</v>
      </c>
      <c r="P289" s="8">
        <f>K289*1000</f>
        <v>0.90342719999999999</v>
      </c>
      <c r="Q289" s="8"/>
      <c r="R289" s="8">
        <f>285/1000^2*(4*25.4/1000)*7800</f>
        <v>0.2258568</v>
      </c>
      <c r="S289" s="8" t="s">
        <v>181</v>
      </c>
    </row>
    <row r="290" spans="2:19" x14ac:dyDescent="0.25">
      <c r="B290" s="82"/>
      <c r="C290" s="83"/>
      <c r="D290" s="88"/>
      <c r="E290" s="80"/>
      <c r="F290" s="87" t="s">
        <v>108</v>
      </c>
      <c r="G290" s="82"/>
      <c r="H290" s="82"/>
      <c r="I290" s="82"/>
      <c r="J290" s="82"/>
      <c r="K290" s="26">
        <f>K289*30</f>
        <v>2.7102816000000002E-2</v>
      </c>
      <c r="L290" s="83"/>
      <c r="M290" t="s">
        <v>727</v>
      </c>
      <c r="N290" s="8" t="s">
        <v>112</v>
      </c>
      <c r="O290" s="8"/>
      <c r="P290" s="8"/>
      <c r="Q290" s="8"/>
      <c r="R290" s="8"/>
      <c r="S290" s="8"/>
    </row>
    <row r="291" spans="2:19" x14ac:dyDescent="0.25">
      <c r="B291" s="82"/>
      <c r="C291" s="83"/>
      <c r="D291" s="88"/>
      <c r="E291" s="80"/>
      <c r="F291" s="87"/>
      <c r="G291" s="82"/>
      <c r="H291" s="82"/>
      <c r="I291" s="82"/>
      <c r="J291" s="82"/>
      <c r="K291" s="26">
        <f>K289*100</f>
        <v>9.0342720000000001E-2</v>
      </c>
      <c r="L291" s="83"/>
      <c r="M291" t="s">
        <v>727</v>
      </c>
      <c r="N291" s="8" t="s">
        <v>111</v>
      </c>
      <c r="O291" s="8"/>
      <c r="P291" s="8"/>
      <c r="Q291" s="8"/>
      <c r="R291" s="8"/>
      <c r="S291" s="8"/>
    </row>
    <row r="292" spans="2:19" x14ac:dyDescent="0.25">
      <c r="B292" s="82"/>
      <c r="C292" s="83"/>
      <c r="D292" s="88"/>
      <c r="E292" s="80"/>
      <c r="F292" s="87"/>
      <c r="G292" s="82"/>
      <c r="H292" s="82"/>
      <c r="I292" s="82"/>
      <c r="J292" s="82"/>
      <c r="K292" s="26">
        <f>K289*0</f>
        <v>0</v>
      </c>
      <c r="L292" s="83"/>
      <c r="M292" t="s">
        <v>728</v>
      </c>
      <c r="N292" s="8" t="s">
        <v>547</v>
      </c>
      <c r="O292" s="8"/>
      <c r="P292" s="25">
        <f>K292*1000</f>
        <v>0</v>
      </c>
      <c r="Q292" s="8"/>
      <c r="R292" s="8"/>
      <c r="S292" s="8"/>
    </row>
    <row r="293" spans="2:19" x14ac:dyDescent="0.25">
      <c r="B293" s="82"/>
      <c r="C293" s="83">
        <v>2</v>
      </c>
      <c r="D293" s="90" t="s">
        <v>95</v>
      </c>
      <c r="E293" s="80" t="s">
        <v>80</v>
      </c>
      <c r="F293" t="s">
        <v>81</v>
      </c>
      <c r="G293" s="82">
        <v>1</v>
      </c>
      <c r="H293" s="82" t="s">
        <v>62</v>
      </c>
      <c r="I293" s="82" t="s">
        <v>110</v>
      </c>
      <c r="J293" s="82">
        <v>1</v>
      </c>
      <c r="K293" s="7">
        <f>R293*4/1000</f>
        <v>9.0342720000000001E-4</v>
      </c>
      <c r="L293" s="83" t="s">
        <v>69</v>
      </c>
      <c r="M293" s="8" t="s">
        <v>725</v>
      </c>
      <c r="N293" s="8" t="s">
        <v>197</v>
      </c>
      <c r="O293" t="s">
        <v>191</v>
      </c>
      <c r="P293" s="8">
        <f>K293*1000</f>
        <v>0.90342719999999999</v>
      </c>
      <c r="Q293" s="8"/>
      <c r="R293" s="8">
        <f>285/1000^2*(4*25.4/1000)*7800</f>
        <v>0.2258568</v>
      </c>
      <c r="S293" s="8" t="s">
        <v>181</v>
      </c>
    </row>
    <row r="294" spans="2:19" x14ac:dyDescent="0.25">
      <c r="B294" s="82"/>
      <c r="C294" s="83"/>
      <c r="D294" s="90"/>
      <c r="E294" s="80"/>
      <c r="F294" s="86" t="s">
        <v>108</v>
      </c>
      <c r="G294" s="82"/>
      <c r="H294" s="82"/>
      <c r="I294" s="82"/>
      <c r="J294" s="82"/>
      <c r="K294" s="26">
        <f>K293*30</f>
        <v>2.7102816000000002E-2</v>
      </c>
      <c r="L294" s="83"/>
      <c r="M294" t="s">
        <v>727</v>
      </c>
      <c r="N294" s="8" t="s">
        <v>112</v>
      </c>
      <c r="O294" s="8"/>
      <c r="P294" s="8"/>
      <c r="Q294" s="8"/>
      <c r="R294" s="8"/>
      <c r="S294" s="8"/>
    </row>
    <row r="295" spans="2:19" x14ac:dyDescent="0.25">
      <c r="B295" s="82"/>
      <c r="C295" s="83"/>
      <c r="D295" s="90"/>
      <c r="E295" s="80"/>
      <c r="F295" s="86"/>
      <c r="G295" s="82"/>
      <c r="H295" s="82"/>
      <c r="I295" s="82"/>
      <c r="J295" s="82"/>
      <c r="K295" s="26">
        <f>K293*100</f>
        <v>9.0342720000000001E-2</v>
      </c>
      <c r="L295" s="83"/>
      <c r="M295" t="s">
        <v>727</v>
      </c>
      <c r="N295" s="8" t="s">
        <v>111</v>
      </c>
      <c r="O295" s="8"/>
      <c r="P295" s="8"/>
      <c r="Q295" s="8"/>
      <c r="R295" s="8"/>
      <c r="S295" s="8"/>
    </row>
    <row r="296" spans="2:19" x14ac:dyDescent="0.25">
      <c r="B296" s="82"/>
      <c r="C296" s="83"/>
      <c r="D296" s="90"/>
      <c r="E296" s="80"/>
      <c r="F296" s="86"/>
      <c r="G296" s="82"/>
      <c r="H296" s="82"/>
      <c r="I296" s="82"/>
      <c r="J296" s="82"/>
      <c r="K296" s="26">
        <f>K293*0</f>
        <v>0</v>
      </c>
      <c r="L296" s="83"/>
      <c r="M296" t="s">
        <v>728</v>
      </c>
      <c r="N296" s="8" t="s">
        <v>547</v>
      </c>
      <c r="O296" s="8"/>
      <c r="P296" s="25">
        <f>K296*1000</f>
        <v>0</v>
      </c>
      <c r="Q296" s="8"/>
      <c r="R296" s="8"/>
      <c r="S296" s="8"/>
    </row>
    <row r="297" spans="2:19" x14ac:dyDescent="0.25">
      <c r="B297" s="82"/>
      <c r="C297" s="83">
        <v>3</v>
      </c>
      <c r="D297" s="89" t="s">
        <v>96</v>
      </c>
      <c r="E297" s="80" t="s">
        <v>80</v>
      </c>
      <c r="F297" s="14" t="s">
        <v>81</v>
      </c>
      <c r="G297" s="82">
        <v>1</v>
      </c>
      <c r="H297" s="82" t="s">
        <v>62</v>
      </c>
      <c r="I297" s="82" t="s">
        <v>110</v>
      </c>
      <c r="J297" s="82">
        <v>1</v>
      </c>
      <c r="K297" s="7">
        <f>R297*4/1000</f>
        <v>9.0342720000000001E-4</v>
      </c>
      <c r="L297" s="83" t="s">
        <v>70</v>
      </c>
      <c r="M297" s="8" t="s">
        <v>725</v>
      </c>
      <c r="N297" s="8" t="s">
        <v>197</v>
      </c>
      <c r="O297" t="s">
        <v>191</v>
      </c>
      <c r="P297" s="8">
        <f>K297*1000</f>
        <v>0.90342719999999999</v>
      </c>
      <c r="Q297" s="8"/>
      <c r="R297" s="8">
        <f>285/1000^2*(4*25.4/1000)*7800</f>
        <v>0.2258568</v>
      </c>
      <c r="S297" s="8" t="s">
        <v>181</v>
      </c>
    </row>
    <row r="298" spans="2:19" x14ac:dyDescent="0.25">
      <c r="B298" s="82"/>
      <c r="C298" s="83"/>
      <c r="D298" s="89"/>
      <c r="E298" s="80"/>
      <c r="F298" s="87" t="s">
        <v>108</v>
      </c>
      <c r="G298" s="82"/>
      <c r="H298" s="82"/>
      <c r="I298" s="82"/>
      <c r="J298" s="82"/>
      <c r="K298" s="26">
        <f>K297*30</f>
        <v>2.7102816000000002E-2</v>
      </c>
      <c r="L298" s="83"/>
      <c r="M298" t="s">
        <v>727</v>
      </c>
      <c r="N298" s="8" t="s">
        <v>112</v>
      </c>
      <c r="O298" s="8"/>
      <c r="P298" s="8"/>
      <c r="Q298" s="8"/>
      <c r="R298" s="8"/>
      <c r="S298" s="8"/>
    </row>
    <row r="299" spans="2:19" x14ac:dyDescent="0.25">
      <c r="B299" s="82"/>
      <c r="C299" s="83"/>
      <c r="D299" s="89"/>
      <c r="E299" s="80"/>
      <c r="F299" s="87"/>
      <c r="G299" s="82"/>
      <c r="H299" s="82"/>
      <c r="I299" s="82"/>
      <c r="J299" s="82"/>
      <c r="K299" s="26">
        <f>K297*100</f>
        <v>9.0342720000000001E-2</v>
      </c>
      <c r="L299" s="83"/>
      <c r="M299" t="s">
        <v>727</v>
      </c>
      <c r="N299" s="8" t="s">
        <v>111</v>
      </c>
      <c r="O299" s="8"/>
      <c r="P299" s="8"/>
      <c r="Q299" s="8"/>
      <c r="R299" s="8"/>
      <c r="S299" s="8"/>
    </row>
    <row r="300" spans="2:19" x14ac:dyDescent="0.25">
      <c r="B300" s="82"/>
      <c r="C300" s="83"/>
      <c r="D300" s="89"/>
      <c r="E300" s="80"/>
      <c r="F300" s="87"/>
      <c r="G300" s="82"/>
      <c r="H300" s="82"/>
      <c r="I300" s="82"/>
      <c r="J300" s="82"/>
      <c r="K300" s="26">
        <f>K297*0</f>
        <v>0</v>
      </c>
      <c r="L300" s="83"/>
      <c r="M300" t="s">
        <v>728</v>
      </c>
      <c r="N300" s="8" t="s">
        <v>547</v>
      </c>
      <c r="O300" s="8"/>
      <c r="P300" s="25">
        <f>K300*1000</f>
        <v>0</v>
      </c>
      <c r="Q300" s="8"/>
      <c r="R300" s="8"/>
      <c r="S300" s="8"/>
    </row>
    <row r="301" spans="2:19" x14ac:dyDescent="0.25">
      <c r="B301" s="82"/>
      <c r="C301" s="83">
        <v>4</v>
      </c>
      <c r="D301" s="90" t="s">
        <v>97</v>
      </c>
      <c r="E301" s="80" t="s">
        <v>80</v>
      </c>
      <c r="F301" t="s">
        <v>81</v>
      </c>
      <c r="G301" s="82">
        <v>1</v>
      </c>
      <c r="H301" s="82" t="s">
        <v>62</v>
      </c>
      <c r="I301" s="82" t="s">
        <v>110</v>
      </c>
      <c r="J301" s="82">
        <v>1</v>
      </c>
      <c r="K301" s="7">
        <f>R301*4/1000</f>
        <v>9.0342720000000001E-4</v>
      </c>
      <c r="L301" s="83" t="s">
        <v>71</v>
      </c>
      <c r="M301" s="8" t="s">
        <v>725</v>
      </c>
      <c r="N301" s="8" t="s">
        <v>197</v>
      </c>
      <c r="O301" t="s">
        <v>191</v>
      </c>
      <c r="P301" s="8">
        <f>K301*1000</f>
        <v>0.90342719999999999</v>
      </c>
      <c r="Q301" s="8"/>
      <c r="R301" s="8">
        <f>285/1000^2*(4*25.4/1000)*7800</f>
        <v>0.2258568</v>
      </c>
      <c r="S301" s="8" t="s">
        <v>181</v>
      </c>
    </row>
    <row r="302" spans="2:19" x14ac:dyDescent="0.25">
      <c r="B302" s="82"/>
      <c r="C302" s="83"/>
      <c r="D302" s="90"/>
      <c r="E302" s="80"/>
      <c r="F302" s="86" t="s">
        <v>108</v>
      </c>
      <c r="G302" s="82"/>
      <c r="H302" s="82"/>
      <c r="I302" s="82"/>
      <c r="J302" s="82"/>
      <c r="K302" s="26">
        <f>K301*30</f>
        <v>2.7102816000000002E-2</v>
      </c>
      <c r="L302" s="83"/>
      <c r="M302" t="s">
        <v>727</v>
      </c>
      <c r="N302" s="8" t="s">
        <v>112</v>
      </c>
      <c r="O302" s="8"/>
      <c r="P302" s="8"/>
      <c r="Q302" s="8"/>
      <c r="R302" s="8"/>
      <c r="S302" s="8"/>
    </row>
    <row r="303" spans="2:19" x14ac:dyDescent="0.25">
      <c r="B303" s="82"/>
      <c r="C303" s="83"/>
      <c r="D303" s="90"/>
      <c r="E303" s="80"/>
      <c r="F303" s="86"/>
      <c r="G303" s="82"/>
      <c r="H303" s="82"/>
      <c r="I303" s="82"/>
      <c r="J303" s="82"/>
      <c r="K303" s="26">
        <f>K301*100</f>
        <v>9.0342720000000001E-2</v>
      </c>
      <c r="L303" s="83"/>
      <c r="M303" t="s">
        <v>727</v>
      </c>
      <c r="N303" s="8" t="s">
        <v>111</v>
      </c>
      <c r="O303" s="8"/>
      <c r="P303" s="8"/>
      <c r="Q303" s="8"/>
      <c r="R303" s="8"/>
      <c r="S303" s="8"/>
    </row>
    <row r="304" spans="2:19" x14ac:dyDescent="0.25">
      <c r="B304" s="82"/>
      <c r="C304" s="83"/>
      <c r="D304" s="90"/>
      <c r="E304" s="80"/>
      <c r="F304" s="86"/>
      <c r="G304" s="82"/>
      <c r="H304" s="82"/>
      <c r="I304" s="82"/>
      <c r="J304" s="82"/>
      <c r="K304" s="26">
        <f>K301*0</f>
        <v>0</v>
      </c>
      <c r="L304" s="83"/>
      <c r="M304" t="s">
        <v>728</v>
      </c>
      <c r="N304" s="8" t="s">
        <v>547</v>
      </c>
      <c r="O304" s="8"/>
      <c r="P304" s="25">
        <f>K304*1000</f>
        <v>0</v>
      </c>
      <c r="Q304" s="8"/>
      <c r="R304" s="8"/>
      <c r="S304" s="8"/>
    </row>
    <row r="305" spans="2:22" x14ac:dyDescent="0.25">
      <c r="B305" s="82"/>
      <c r="C305" s="83">
        <v>5</v>
      </c>
      <c r="D305" s="90" t="s">
        <v>98</v>
      </c>
      <c r="E305" s="80" t="s">
        <v>80</v>
      </c>
      <c r="F305" s="14" t="s">
        <v>220</v>
      </c>
      <c r="G305" s="82">
        <v>1</v>
      </c>
      <c r="H305" s="82" t="s">
        <v>62</v>
      </c>
      <c r="I305" s="82" t="s">
        <v>110</v>
      </c>
      <c r="J305" s="82">
        <v>1</v>
      </c>
      <c r="K305" s="7">
        <f>Q305/1000</f>
        <v>5.0000000000000002E-5</v>
      </c>
      <c r="L305" s="83" t="s">
        <v>83</v>
      </c>
      <c r="M305" s="8" t="s">
        <v>725</v>
      </c>
      <c r="N305" s="8" t="s">
        <v>219</v>
      </c>
      <c r="O305" s="8" t="s">
        <v>217</v>
      </c>
      <c r="P305" s="8">
        <f>K305*1000</f>
        <v>0.05</v>
      </c>
      <c r="Q305" s="8">
        <v>0.05</v>
      </c>
      <c r="R305" s="8" t="s">
        <v>218</v>
      </c>
    </row>
    <row r="306" spans="2:22" x14ac:dyDescent="0.25">
      <c r="B306" s="82"/>
      <c r="C306" s="83"/>
      <c r="D306" s="90"/>
      <c r="E306" s="80"/>
      <c r="F306" s="87" t="s">
        <v>108</v>
      </c>
      <c r="G306" s="82"/>
      <c r="H306" s="82"/>
      <c r="I306" s="82"/>
      <c r="J306" s="82"/>
      <c r="K306" s="26">
        <f>K305*30</f>
        <v>1.5E-3</v>
      </c>
      <c r="L306" s="83"/>
      <c r="M306" t="s">
        <v>727</v>
      </c>
      <c r="N306" s="8" t="s">
        <v>112</v>
      </c>
      <c r="O306" s="8"/>
      <c r="P306" s="8"/>
      <c r="Q306" s="8"/>
      <c r="R306" s="8"/>
    </row>
    <row r="307" spans="2:22" x14ac:dyDescent="0.25">
      <c r="B307" s="82"/>
      <c r="C307" s="83"/>
      <c r="D307" s="90"/>
      <c r="E307" s="80"/>
      <c r="F307" s="87"/>
      <c r="G307" s="82"/>
      <c r="H307" s="82"/>
      <c r="I307" s="82"/>
      <c r="J307" s="82"/>
      <c r="K307" s="26">
        <f>K305*100</f>
        <v>5.0000000000000001E-3</v>
      </c>
      <c r="L307" s="83"/>
      <c r="M307" t="s">
        <v>727</v>
      </c>
      <c r="N307" s="8" t="s">
        <v>111</v>
      </c>
      <c r="O307" s="8"/>
      <c r="P307" s="8"/>
      <c r="Q307" s="8"/>
      <c r="R307" s="8"/>
    </row>
    <row r="308" spans="2:22" x14ac:dyDescent="0.25">
      <c r="B308" s="82"/>
      <c r="C308" s="83"/>
      <c r="D308" s="90"/>
      <c r="E308" s="80"/>
      <c r="F308" s="87"/>
      <c r="G308" s="82"/>
      <c r="H308" s="82"/>
      <c r="I308" s="82"/>
      <c r="J308" s="82"/>
      <c r="K308" s="26">
        <f>K305</f>
        <v>5.0000000000000002E-5</v>
      </c>
      <c r="L308" s="83"/>
      <c r="M308" t="s">
        <v>728</v>
      </c>
      <c r="N308" s="8" t="s">
        <v>547</v>
      </c>
      <c r="O308" s="8"/>
      <c r="P308" s="25">
        <f>K308*1000</f>
        <v>0.05</v>
      </c>
      <c r="Q308" s="8"/>
      <c r="R308" s="8"/>
    </row>
    <row r="309" spans="2:22" x14ac:dyDescent="0.25">
      <c r="B309" s="82"/>
      <c r="C309" s="83">
        <v>6</v>
      </c>
      <c r="D309" s="90" t="s">
        <v>99</v>
      </c>
      <c r="E309" s="80" t="s">
        <v>80</v>
      </c>
      <c r="F309" t="s">
        <v>202</v>
      </c>
      <c r="G309" s="82">
        <v>1</v>
      </c>
      <c r="H309" s="82" t="s">
        <v>62</v>
      </c>
      <c r="I309" s="82" t="s">
        <v>110</v>
      </c>
      <c r="J309" s="82">
        <v>1</v>
      </c>
      <c r="K309" s="7">
        <f>Q309/2.2*20/1000</f>
        <v>0.16818181818181815</v>
      </c>
      <c r="L309" s="83" t="s">
        <v>84</v>
      </c>
      <c r="M309" s="8" t="s">
        <v>725</v>
      </c>
      <c r="N309" s="8" t="s">
        <v>203</v>
      </c>
      <c r="O309" s="8" t="s">
        <v>192</v>
      </c>
      <c r="P309" s="23">
        <f>K309*1000</f>
        <v>168.18181818181816</v>
      </c>
      <c r="Q309" s="8">
        <v>18.5</v>
      </c>
      <c r="R309" s="8" t="s">
        <v>195</v>
      </c>
    </row>
    <row r="310" spans="2:22" x14ac:dyDescent="0.25">
      <c r="B310" s="82"/>
      <c r="C310" s="83"/>
      <c r="D310" s="90"/>
      <c r="E310" s="80"/>
      <c r="F310" s="86" t="s">
        <v>108</v>
      </c>
      <c r="G310" s="82"/>
      <c r="H310" s="82"/>
      <c r="I310" s="82"/>
      <c r="J310" s="82"/>
      <c r="K310" s="26">
        <f>K309*30</f>
        <v>5.045454545454545</v>
      </c>
      <c r="L310" s="83"/>
      <c r="M310" t="s">
        <v>727</v>
      </c>
      <c r="N310" s="8" t="s">
        <v>185</v>
      </c>
      <c r="O310" s="8"/>
      <c r="P310" s="8"/>
      <c r="Q310" s="8"/>
      <c r="R310" s="8"/>
    </row>
    <row r="311" spans="2:22" x14ac:dyDescent="0.25">
      <c r="B311" s="82"/>
      <c r="C311" s="83"/>
      <c r="D311" s="90"/>
      <c r="E311" s="80"/>
      <c r="F311" s="86"/>
      <c r="G311" s="82"/>
      <c r="H311" s="82"/>
      <c r="I311" s="82"/>
      <c r="J311" s="82"/>
      <c r="K311" s="26">
        <f>K309*100</f>
        <v>16.818181818181817</v>
      </c>
      <c r="L311" s="83"/>
      <c r="M311" t="s">
        <v>727</v>
      </c>
      <c r="N311" s="8" t="s">
        <v>111</v>
      </c>
      <c r="O311" s="8"/>
      <c r="P311" s="8"/>
      <c r="Q311" s="8"/>
      <c r="R311" s="8"/>
    </row>
    <row r="312" spans="2:22" x14ac:dyDescent="0.25">
      <c r="B312" s="82"/>
      <c r="C312" s="83"/>
      <c r="D312" s="90"/>
      <c r="E312" s="80"/>
      <c r="F312" s="86"/>
      <c r="G312" s="82"/>
      <c r="H312" s="82"/>
      <c r="I312" s="82"/>
      <c r="J312" s="82"/>
      <c r="K312" s="26">
        <f>0</f>
        <v>0</v>
      </c>
      <c r="L312" s="83"/>
      <c r="M312" t="s">
        <v>728</v>
      </c>
      <c r="N312" s="8" t="s">
        <v>184</v>
      </c>
      <c r="O312" s="8"/>
      <c r="P312" s="29">
        <f>K312*1000</f>
        <v>0</v>
      </c>
      <c r="Q312" s="8"/>
      <c r="R312" s="8"/>
    </row>
    <row r="313" spans="2:22" x14ac:dyDescent="0.25">
      <c r="B313" s="82"/>
      <c r="C313" s="83">
        <v>7</v>
      </c>
      <c r="D313" s="89" t="s">
        <v>100</v>
      </c>
      <c r="E313" s="80" t="s">
        <v>80</v>
      </c>
      <c r="F313" s="14" t="s">
        <v>199</v>
      </c>
      <c r="G313" s="82">
        <v>1</v>
      </c>
      <c r="H313" s="82" t="s">
        <v>62</v>
      </c>
      <c r="I313" s="82" t="s">
        <v>110</v>
      </c>
      <c r="J313" s="82">
        <v>1</v>
      </c>
      <c r="K313" s="17">
        <f>(Q313+U313)/1000</f>
        <v>1.24964903232E-2</v>
      </c>
      <c r="L313" s="83" t="s">
        <v>85</v>
      </c>
      <c r="M313" s="8" t="s">
        <v>725</v>
      </c>
      <c r="N313" s="8" t="s">
        <v>201</v>
      </c>
      <c r="O313" s="22" t="s">
        <v>200</v>
      </c>
      <c r="P313" s="8">
        <f>K313*1000</f>
        <v>12.4964903232</v>
      </c>
      <c r="Q313" s="23">
        <f>(25.4/1000)^3*(2*4*12)*7800</f>
        <v>12.270633523199999</v>
      </c>
      <c r="R313" s="8" t="s">
        <v>198</v>
      </c>
      <c r="S313" s="8"/>
      <c r="T313" s="8"/>
      <c r="U313" s="8">
        <f>285/1000^2*(4*25.4/1000)*7800</f>
        <v>0.2258568</v>
      </c>
      <c r="V313" s="8" t="s">
        <v>181</v>
      </c>
    </row>
    <row r="314" spans="2:22" x14ac:dyDescent="0.25">
      <c r="B314" s="82"/>
      <c r="C314" s="83"/>
      <c r="D314" s="89"/>
      <c r="E314" s="80"/>
      <c r="F314" s="87" t="s">
        <v>108</v>
      </c>
      <c r="G314" s="82"/>
      <c r="H314" s="82"/>
      <c r="I314" s="82"/>
      <c r="J314" s="82"/>
      <c r="K314" s="26">
        <f>K313*30</f>
        <v>0.37489470969600003</v>
      </c>
      <c r="L314" s="83"/>
      <c r="M314" t="s">
        <v>727</v>
      </c>
      <c r="N314" s="8" t="s">
        <v>112</v>
      </c>
      <c r="O314" s="8"/>
      <c r="P314" s="8"/>
      <c r="Q314" s="23"/>
      <c r="R314" s="8"/>
      <c r="S314" s="8"/>
      <c r="T314" s="8"/>
      <c r="U314" s="8"/>
      <c r="V314" s="8"/>
    </row>
    <row r="315" spans="2:22" x14ac:dyDescent="0.25">
      <c r="B315" s="82"/>
      <c r="C315" s="83"/>
      <c r="D315" s="89"/>
      <c r="E315" s="80"/>
      <c r="F315" s="87"/>
      <c r="G315" s="82"/>
      <c r="H315" s="82"/>
      <c r="I315" s="82"/>
      <c r="J315" s="82"/>
      <c r="K315" s="26">
        <f>K313*100</f>
        <v>1.24964903232</v>
      </c>
      <c r="L315" s="83"/>
      <c r="M315" t="s">
        <v>727</v>
      </c>
      <c r="N315" s="8" t="s">
        <v>111</v>
      </c>
      <c r="O315" s="8"/>
      <c r="P315" s="8"/>
      <c r="Q315" s="23"/>
      <c r="R315" s="8"/>
      <c r="S315" s="8"/>
      <c r="T315" s="8"/>
      <c r="U315" s="8"/>
      <c r="V315" s="8"/>
    </row>
    <row r="316" spans="2:22" x14ac:dyDescent="0.25">
      <c r="B316" s="82"/>
      <c r="C316" s="83"/>
      <c r="D316" s="89"/>
      <c r="E316" s="80"/>
      <c r="F316" s="87"/>
      <c r="G316" s="82"/>
      <c r="H316" s="82"/>
      <c r="I316" s="82"/>
      <c r="J316" s="82"/>
      <c r="K316" s="26">
        <f>0</f>
        <v>0</v>
      </c>
      <c r="L316" s="83"/>
      <c r="M316" t="s">
        <v>728</v>
      </c>
      <c r="N316" s="8" t="s">
        <v>184</v>
      </c>
      <c r="O316" s="8"/>
      <c r="P316" s="25">
        <f>K316*1000</f>
        <v>0</v>
      </c>
      <c r="Q316" s="23"/>
      <c r="R316" s="8"/>
      <c r="S316" s="8"/>
      <c r="T316" s="8"/>
      <c r="U316" s="8"/>
      <c r="V316" s="8"/>
    </row>
    <row r="317" spans="2:22" x14ac:dyDescent="0.25">
      <c r="B317" s="82"/>
      <c r="C317" s="83">
        <v>8</v>
      </c>
      <c r="D317" s="90" t="s">
        <v>193</v>
      </c>
      <c r="E317" s="80" t="s">
        <v>80</v>
      </c>
      <c r="F317" t="s">
        <v>199</v>
      </c>
      <c r="G317" s="82">
        <v>1</v>
      </c>
      <c r="H317" s="82" t="s">
        <v>62</v>
      </c>
      <c r="I317" s="82" t="s">
        <v>110</v>
      </c>
      <c r="J317" s="82">
        <v>1</v>
      </c>
      <c r="K317" s="17">
        <f>(Q317+U317)/1000</f>
        <v>1.24964903232E-2</v>
      </c>
      <c r="L317" s="83" t="s">
        <v>86</v>
      </c>
      <c r="M317" s="8" t="s">
        <v>725</v>
      </c>
      <c r="N317" s="8" t="s">
        <v>201</v>
      </c>
      <c r="O317" s="22" t="s">
        <v>200</v>
      </c>
      <c r="P317" s="8">
        <f>K317*1000</f>
        <v>12.4964903232</v>
      </c>
      <c r="Q317" s="23">
        <f>(25.4/1000)^3*(2*4*12)*7800</f>
        <v>12.270633523199999</v>
      </c>
      <c r="R317" s="8" t="s">
        <v>208</v>
      </c>
      <c r="S317" s="8"/>
      <c r="U317" s="8">
        <f>285/1000^2*(4*25.4/1000)*7800</f>
        <v>0.2258568</v>
      </c>
      <c r="V317" s="8" t="s">
        <v>181</v>
      </c>
    </row>
    <row r="318" spans="2:22" x14ac:dyDescent="0.25">
      <c r="B318" s="82"/>
      <c r="C318" s="83"/>
      <c r="D318" s="90"/>
      <c r="E318" s="80"/>
      <c r="F318" s="86" t="s">
        <v>108</v>
      </c>
      <c r="G318" s="82"/>
      <c r="H318" s="82"/>
      <c r="I318" s="82"/>
      <c r="J318" s="82"/>
      <c r="K318" s="26">
        <f>K317*30</f>
        <v>0.37489470969600003</v>
      </c>
      <c r="L318" s="83"/>
      <c r="M318" t="s">
        <v>727</v>
      </c>
      <c r="N318" s="8" t="s">
        <v>112</v>
      </c>
      <c r="O318" s="8"/>
      <c r="P318" s="8"/>
      <c r="Q318" s="23"/>
      <c r="R318" s="8"/>
      <c r="S318" s="8"/>
    </row>
    <row r="319" spans="2:22" x14ac:dyDescent="0.25">
      <c r="B319" s="82"/>
      <c r="C319" s="83"/>
      <c r="D319" s="90"/>
      <c r="E319" s="80"/>
      <c r="F319" s="86"/>
      <c r="G319" s="82"/>
      <c r="H319" s="82"/>
      <c r="I319" s="82"/>
      <c r="J319" s="82"/>
      <c r="K319" s="26">
        <f>K317*100</f>
        <v>1.24964903232</v>
      </c>
      <c r="L319" s="83"/>
      <c r="M319" t="s">
        <v>727</v>
      </c>
      <c r="N319" s="8" t="s">
        <v>111</v>
      </c>
      <c r="O319" s="8"/>
      <c r="P319" s="8"/>
      <c r="Q319" s="23"/>
      <c r="R319" s="8"/>
      <c r="S319" s="8"/>
    </row>
    <row r="320" spans="2:22" x14ac:dyDescent="0.25">
      <c r="B320" s="82"/>
      <c r="C320" s="83"/>
      <c r="D320" s="90"/>
      <c r="E320" s="80"/>
      <c r="F320" s="86"/>
      <c r="G320" s="82"/>
      <c r="H320" s="82"/>
      <c r="I320" s="82"/>
      <c r="J320" s="82"/>
      <c r="K320" s="26">
        <f>K317*0</f>
        <v>0</v>
      </c>
      <c r="L320" s="83"/>
      <c r="M320" t="s">
        <v>728</v>
      </c>
      <c r="N320" s="8" t="s">
        <v>184</v>
      </c>
      <c r="O320" s="8"/>
      <c r="P320" s="25">
        <f>K320*1000</f>
        <v>0</v>
      </c>
      <c r="Q320" s="23"/>
      <c r="R320" s="8"/>
      <c r="S320" s="8"/>
    </row>
    <row r="321" spans="2:22" x14ac:dyDescent="0.25">
      <c r="B321" s="82"/>
      <c r="C321" s="83">
        <v>9</v>
      </c>
      <c r="D321" s="90" t="s">
        <v>194</v>
      </c>
      <c r="E321" s="80" t="s">
        <v>80</v>
      </c>
      <c r="F321" s="14" t="s">
        <v>199</v>
      </c>
      <c r="G321" s="82">
        <v>1</v>
      </c>
      <c r="H321" s="82" t="s">
        <v>62</v>
      </c>
      <c r="I321" s="82" t="s">
        <v>110</v>
      </c>
      <c r="J321" s="82">
        <v>1</v>
      </c>
      <c r="K321" s="17">
        <f>(Q321+U321)/1000</f>
        <v>1.24964903232E-2</v>
      </c>
      <c r="L321" s="83" t="s">
        <v>87</v>
      </c>
      <c r="M321" s="8" t="s">
        <v>725</v>
      </c>
      <c r="N321" s="8" t="s">
        <v>216</v>
      </c>
      <c r="O321" s="22" t="s">
        <v>200</v>
      </c>
      <c r="P321" s="8">
        <f>K321*1000</f>
        <v>12.4964903232</v>
      </c>
      <c r="Q321" s="23">
        <f>(25.4/1000)^3*(2*4*12)*7800</f>
        <v>12.270633523199999</v>
      </c>
      <c r="R321" s="8" t="s">
        <v>208</v>
      </c>
      <c r="S321" s="8"/>
      <c r="T321" s="8"/>
      <c r="U321" s="8">
        <f>285/1000^2*(4*25.4/1000)*7800</f>
        <v>0.2258568</v>
      </c>
      <c r="V321" s="8" t="s">
        <v>181</v>
      </c>
    </row>
    <row r="322" spans="2:22" x14ac:dyDescent="0.25">
      <c r="B322" s="82"/>
      <c r="C322" s="83"/>
      <c r="D322" s="90"/>
      <c r="E322" s="80"/>
      <c r="F322" s="87" t="s">
        <v>108</v>
      </c>
      <c r="G322" s="82"/>
      <c r="H322" s="82"/>
      <c r="I322" s="82"/>
      <c r="J322" s="82"/>
      <c r="K322" s="26">
        <f>K321*30</f>
        <v>0.37489470969600003</v>
      </c>
      <c r="L322" s="83"/>
      <c r="M322" t="s">
        <v>727</v>
      </c>
      <c r="N322" s="8" t="s">
        <v>112</v>
      </c>
      <c r="O322" s="8"/>
      <c r="P322" s="8"/>
      <c r="Q322" s="23"/>
      <c r="R322" s="8"/>
      <c r="S322" s="8"/>
      <c r="T322" s="8"/>
    </row>
    <row r="323" spans="2:22" x14ac:dyDescent="0.25">
      <c r="B323" s="82"/>
      <c r="C323" s="83"/>
      <c r="D323" s="90"/>
      <c r="E323" s="80"/>
      <c r="F323" s="87"/>
      <c r="G323" s="82"/>
      <c r="H323" s="82"/>
      <c r="I323" s="82"/>
      <c r="J323" s="82"/>
      <c r="K323" s="26">
        <f>K321*100</f>
        <v>1.24964903232</v>
      </c>
      <c r="L323" s="83"/>
      <c r="M323" t="s">
        <v>727</v>
      </c>
      <c r="N323" s="8" t="s">
        <v>111</v>
      </c>
      <c r="O323" s="8"/>
      <c r="P323" s="8"/>
      <c r="Q323" s="23"/>
      <c r="R323" s="8"/>
      <c r="S323" s="8"/>
      <c r="T323" s="8"/>
    </row>
    <row r="324" spans="2:22" x14ac:dyDescent="0.25">
      <c r="B324" s="82"/>
      <c r="C324" s="83"/>
      <c r="D324" s="90"/>
      <c r="E324" s="80"/>
      <c r="F324" s="87"/>
      <c r="G324" s="82"/>
      <c r="H324" s="82"/>
      <c r="I324" s="82"/>
      <c r="J324" s="82"/>
      <c r="K324" s="26">
        <f>K321*0</f>
        <v>0</v>
      </c>
      <c r="L324" s="83"/>
      <c r="M324" t="s">
        <v>728</v>
      </c>
      <c r="N324" s="8" t="s">
        <v>184</v>
      </c>
      <c r="O324" s="8"/>
      <c r="P324" s="25">
        <f>K324*1000</f>
        <v>0</v>
      </c>
      <c r="Q324" s="23"/>
      <c r="R324" s="8"/>
      <c r="S324" s="8"/>
      <c r="T324" s="8"/>
    </row>
    <row r="325" spans="2:22" x14ac:dyDescent="0.25">
      <c r="B325" s="82"/>
      <c r="C325" s="83">
        <v>10</v>
      </c>
      <c r="D325" s="90" t="s">
        <v>101</v>
      </c>
      <c r="E325" s="80" t="s">
        <v>80</v>
      </c>
      <c r="F325" t="s">
        <v>214</v>
      </c>
      <c r="G325" s="82">
        <v>1</v>
      </c>
      <c r="H325" s="82" t="s">
        <v>62</v>
      </c>
      <c r="I325" s="82" t="s">
        <v>110</v>
      </c>
      <c r="J325" s="82">
        <v>1</v>
      </c>
      <c r="K325" s="27">
        <f>Q325/1000</f>
        <v>1.0999999999999999E-2</v>
      </c>
      <c r="L325" s="83" t="s">
        <v>88</v>
      </c>
      <c r="M325" s="8" t="s">
        <v>725</v>
      </c>
      <c r="N325" s="8"/>
      <c r="O325" s="8" t="s">
        <v>213</v>
      </c>
      <c r="P325" s="8"/>
      <c r="Q325" s="8">
        <v>11</v>
      </c>
      <c r="R325" s="8" t="s">
        <v>212</v>
      </c>
    </row>
    <row r="326" spans="2:22" x14ac:dyDescent="0.25">
      <c r="B326" s="82"/>
      <c r="C326" s="83"/>
      <c r="D326" s="90"/>
      <c r="E326" s="80"/>
      <c r="F326" s="86" t="s">
        <v>108</v>
      </c>
      <c r="G326" s="82"/>
      <c r="H326" s="82"/>
      <c r="I326" s="82"/>
      <c r="J326" s="82"/>
      <c r="K326" s="26">
        <f>K325*30</f>
        <v>0.32999999999999996</v>
      </c>
      <c r="L326" s="83"/>
      <c r="M326" t="s">
        <v>727</v>
      </c>
      <c r="N326" s="8" t="s">
        <v>112</v>
      </c>
      <c r="O326" s="8"/>
      <c r="P326" s="8"/>
      <c r="Q326" s="8"/>
      <c r="R326" s="8"/>
    </row>
    <row r="327" spans="2:22" x14ac:dyDescent="0.25">
      <c r="B327" s="82"/>
      <c r="C327" s="83"/>
      <c r="D327" s="90"/>
      <c r="E327" s="80"/>
      <c r="F327" s="86"/>
      <c r="G327" s="82"/>
      <c r="H327" s="82"/>
      <c r="I327" s="82"/>
      <c r="J327" s="82"/>
      <c r="K327" s="26">
        <f>K325*100</f>
        <v>1.0999999999999999</v>
      </c>
      <c r="L327" s="83"/>
      <c r="M327" t="s">
        <v>727</v>
      </c>
      <c r="N327" s="8" t="s">
        <v>111</v>
      </c>
      <c r="O327" s="8"/>
      <c r="P327" s="8"/>
      <c r="Q327" s="8"/>
      <c r="R327" s="8"/>
    </row>
    <row r="328" spans="2:22" x14ac:dyDescent="0.25">
      <c r="B328" s="82"/>
      <c r="C328" s="83"/>
      <c r="D328" s="90"/>
      <c r="E328" s="80"/>
      <c r="F328" s="86"/>
      <c r="G328" s="82"/>
      <c r="H328" s="82"/>
      <c r="I328" s="82"/>
      <c r="J328" s="82"/>
      <c r="K328" s="26">
        <f>K325</f>
        <v>1.0999999999999999E-2</v>
      </c>
      <c r="L328" s="83"/>
      <c r="M328" t="s">
        <v>728</v>
      </c>
      <c r="N328" s="8" t="s">
        <v>113</v>
      </c>
      <c r="O328" s="8"/>
      <c r="P328" s="29">
        <f>K328*1000</f>
        <v>11</v>
      </c>
      <c r="Q328" s="8"/>
      <c r="R328" s="8"/>
    </row>
    <row r="329" spans="2:22" x14ac:dyDescent="0.25">
      <c r="B329" s="82"/>
      <c r="C329" s="83">
        <v>11</v>
      </c>
      <c r="D329" s="90" t="s">
        <v>102</v>
      </c>
      <c r="E329" s="80" t="s">
        <v>80</v>
      </c>
      <c r="F329" s="14" t="s">
        <v>214</v>
      </c>
      <c r="G329" s="82">
        <v>1</v>
      </c>
      <c r="H329" s="82" t="s">
        <v>62</v>
      </c>
      <c r="I329" s="82" t="s">
        <v>110</v>
      </c>
      <c r="J329" s="82">
        <v>1</v>
      </c>
      <c r="K329" s="27">
        <f>Q329/1000</f>
        <v>1.0999999999999999E-2</v>
      </c>
      <c r="L329" s="83" t="s">
        <v>89</v>
      </c>
      <c r="M329" s="8" t="s">
        <v>725</v>
      </c>
      <c r="N329" s="8" t="s">
        <v>215</v>
      </c>
      <c r="O329" s="8" t="s">
        <v>213</v>
      </c>
      <c r="P329" s="8"/>
      <c r="Q329" s="8">
        <v>11</v>
      </c>
      <c r="R329" s="8" t="s">
        <v>212</v>
      </c>
    </row>
    <row r="330" spans="2:22" x14ac:dyDescent="0.25">
      <c r="B330" s="82"/>
      <c r="C330" s="83"/>
      <c r="D330" s="90"/>
      <c r="E330" s="80"/>
      <c r="F330" s="87" t="s">
        <v>108</v>
      </c>
      <c r="G330" s="82"/>
      <c r="H330" s="82"/>
      <c r="I330" s="82"/>
      <c r="J330" s="82"/>
      <c r="K330" s="26">
        <f>K329*30</f>
        <v>0.32999999999999996</v>
      </c>
      <c r="L330" s="83"/>
      <c r="M330" t="s">
        <v>727</v>
      </c>
      <c r="N330" s="8" t="s">
        <v>112</v>
      </c>
      <c r="O330" s="8"/>
      <c r="P330" s="8"/>
      <c r="Q330" s="8"/>
      <c r="R330" s="8"/>
    </row>
    <row r="331" spans="2:22" x14ac:dyDescent="0.25">
      <c r="B331" s="82"/>
      <c r="C331" s="83"/>
      <c r="D331" s="90"/>
      <c r="E331" s="80"/>
      <c r="F331" s="87"/>
      <c r="G331" s="82"/>
      <c r="H331" s="82"/>
      <c r="I331" s="82"/>
      <c r="J331" s="82"/>
      <c r="K331" s="26">
        <f>K329*100</f>
        <v>1.0999999999999999</v>
      </c>
      <c r="L331" s="83"/>
      <c r="M331" t="s">
        <v>727</v>
      </c>
      <c r="N331" s="8" t="s">
        <v>111</v>
      </c>
      <c r="O331" s="8"/>
      <c r="P331" s="8"/>
      <c r="Q331" s="8"/>
      <c r="R331" s="8"/>
    </row>
    <row r="332" spans="2:22" x14ac:dyDescent="0.25">
      <c r="B332" s="82"/>
      <c r="C332" s="83"/>
      <c r="D332" s="90"/>
      <c r="E332" s="80"/>
      <c r="F332" s="87"/>
      <c r="G332" s="82"/>
      <c r="H332" s="82"/>
      <c r="I332" s="82"/>
      <c r="J332" s="82"/>
      <c r="K332" s="26">
        <f>K329</f>
        <v>1.0999999999999999E-2</v>
      </c>
      <c r="L332" s="83"/>
      <c r="M332" t="s">
        <v>728</v>
      </c>
      <c r="N332" s="8" t="s">
        <v>113</v>
      </c>
      <c r="O332" s="8"/>
      <c r="P332" s="29">
        <f>K332*1000</f>
        <v>11</v>
      </c>
      <c r="Q332" s="8"/>
      <c r="R332" s="8"/>
    </row>
    <row r="333" spans="2:22" x14ac:dyDescent="0.25">
      <c r="B333" s="82"/>
      <c r="C333" s="83">
        <v>12</v>
      </c>
      <c r="D333" s="90" t="s">
        <v>103</v>
      </c>
      <c r="E333" s="80" t="s">
        <v>80</v>
      </c>
      <c r="F333" t="s">
        <v>211</v>
      </c>
      <c r="G333" s="82">
        <v>1</v>
      </c>
      <c r="H333" s="82" t="s">
        <v>62</v>
      </c>
      <c r="I333" s="82" t="s">
        <v>110</v>
      </c>
      <c r="J333" s="82">
        <v>1</v>
      </c>
      <c r="K333" s="27">
        <f>Q333/1000</f>
        <v>0.18636363636363634</v>
      </c>
      <c r="L333" s="83" t="s">
        <v>90</v>
      </c>
      <c r="M333" s="8" t="s">
        <v>725</v>
      </c>
      <c r="N333" s="8"/>
      <c r="O333" s="22" t="s">
        <v>196</v>
      </c>
      <c r="P333" s="8">
        <f>K333*1000</f>
        <v>186.36363636363635</v>
      </c>
      <c r="Q333" s="8">
        <f>410/2.2</f>
        <v>186.36363636363635</v>
      </c>
      <c r="R333" s="8" t="s">
        <v>210</v>
      </c>
    </row>
    <row r="334" spans="2:22" x14ac:dyDescent="0.25">
      <c r="B334" s="82"/>
      <c r="C334" s="83"/>
      <c r="D334" s="90"/>
      <c r="E334" s="80"/>
      <c r="F334" s="86" t="s">
        <v>108</v>
      </c>
      <c r="G334" s="82"/>
      <c r="H334" s="82"/>
      <c r="I334" s="82"/>
      <c r="J334" s="82"/>
      <c r="K334" s="26">
        <f>K333*30</f>
        <v>5.5909090909090899</v>
      </c>
      <c r="L334" s="83"/>
      <c r="M334" t="s">
        <v>727</v>
      </c>
      <c r="N334" s="8" t="s">
        <v>185</v>
      </c>
      <c r="O334" s="8"/>
      <c r="P334" s="8"/>
      <c r="Q334" s="8"/>
      <c r="R334" s="8"/>
    </row>
    <row r="335" spans="2:22" x14ac:dyDescent="0.25">
      <c r="B335" s="82"/>
      <c r="C335" s="83"/>
      <c r="D335" s="90"/>
      <c r="E335" s="80"/>
      <c r="F335" s="86"/>
      <c r="G335" s="82"/>
      <c r="H335" s="82"/>
      <c r="I335" s="82"/>
      <c r="J335" s="82"/>
      <c r="K335" s="26">
        <f>K333*100</f>
        <v>18.636363636363633</v>
      </c>
      <c r="L335" s="83"/>
      <c r="M335" t="s">
        <v>727</v>
      </c>
      <c r="N335" s="8" t="s">
        <v>111</v>
      </c>
      <c r="O335" s="8"/>
      <c r="P335" s="8"/>
      <c r="Q335" s="8"/>
      <c r="R335" s="8"/>
    </row>
    <row r="336" spans="2:22" x14ac:dyDescent="0.25">
      <c r="B336" s="82"/>
      <c r="C336" s="83"/>
      <c r="D336" s="90"/>
      <c r="E336" s="80"/>
      <c r="F336" s="86"/>
      <c r="G336" s="82"/>
      <c r="H336" s="82"/>
      <c r="I336" s="82"/>
      <c r="J336" s="82"/>
      <c r="K336" s="26">
        <f>0</f>
        <v>0</v>
      </c>
      <c r="L336" s="83"/>
      <c r="M336" t="s">
        <v>728</v>
      </c>
      <c r="N336" s="8" t="s">
        <v>184</v>
      </c>
      <c r="O336" s="8"/>
      <c r="P336" s="29">
        <f>K336*1000</f>
        <v>0</v>
      </c>
      <c r="Q336" s="23"/>
      <c r="R336" s="8"/>
    </row>
    <row r="337" spans="2:19" x14ac:dyDescent="0.25">
      <c r="B337" s="82"/>
      <c r="C337" s="83">
        <v>13</v>
      </c>
      <c r="D337" s="90" t="s">
        <v>104</v>
      </c>
      <c r="E337" s="80" t="s">
        <v>80</v>
      </c>
      <c r="F337" s="14" t="s">
        <v>223</v>
      </c>
      <c r="G337" s="82">
        <v>1</v>
      </c>
      <c r="H337" s="82" t="s">
        <v>62</v>
      </c>
      <c r="I337" s="82" t="s">
        <v>110</v>
      </c>
      <c r="J337" s="82">
        <v>1</v>
      </c>
      <c r="K337" s="7">
        <f>2*Q337/1000</f>
        <v>2.4541267046399997E-2</v>
      </c>
      <c r="L337" s="83" t="s">
        <v>91</v>
      </c>
      <c r="M337" s="8" t="s">
        <v>725</v>
      </c>
      <c r="N337" s="8" t="s">
        <v>221</v>
      </c>
      <c r="O337" s="8" t="s">
        <v>222</v>
      </c>
      <c r="P337" s="8">
        <f>K337*1000</f>
        <v>24.541267046399998</v>
      </c>
      <c r="Q337" s="23">
        <f>(25.4/1000)^3*(2*4*12)*7800</f>
        <v>12.270633523199999</v>
      </c>
      <c r="R337" s="8" t="s">
        <v>208</v>
      </c>
    </row>
    <row r="338" spans="2:19" x14ac:dyDescent="0.25">
      <c r="B338" s="82"/>
      <c r="C338" s="83"/>
      <c r="D338" s="90"/>
      <c r="E338" s="80"/>
      <c r="F338" s="87" t="s">
        <v>108</v>
      </c>
      <c r="G338" s="82"/>
      <c r="H338" s="82"/>
      <c r="I338" s="82"/>
      <c r="J338" s="82"/>
      <c r="K338" s="26">
        <f>K337*30</f>
        <v>0.73623801139199996</v>
      </c>
      <c r="L338" s="83"/>
      <c r="M338" t="s">
        <v>698</v>
      </c>
      <c r="N338" s="8" t="s">
        <v>112</v>
      </c>
      <c r="O338" s="8"/>
      <c r="P338" s="8"/>
      <c r="Q338" s="8"/>
      <c r="R338" s="8"/>
    </row>
    <row r="339" spans="2:19" x14ac:dyDescent="0.25">
      <c r="B339" s="82"/>
      <c r="C339" s="83"/>
      <c r="D339" s="90"/>
      <c r="E339" s="80"/>
      <c r="F339" s="87"/>
      <c r="G339" s="82"/>
      <c r="H339" s="82"/>
      <c r="I339" s="82"/>
      <c r="J339" s="82"/>
      <c r="K339" s="26">
        <f>K337*100</f>
        <v>2.4541267046399997</v>
      </c>
      <c r="L339" s="83"/>
      <c r="M339" t="s">
        <v>698</v>
      </c>
      <c r="N339" s="8" t="s">
        <v>111</v>
      </c>
      <c r="O339" s="8"/>
      <c r="P339" s="8"/>
      <c r="Q339" s="8"/>
      <c r="R339" s="8"/>
    </row>
    <row r="340" spans="2:19" x14ac:dyDescent="0.25">
      <c r="B340" s="82"/>
      <c r="C340" s="83"/>
      <c r="D340" s="90"/>
      <c r="E340" s="80"/>
      <c r="F340" s="87"/>
      <c r="G340" s="82"/>
      <c r="H340" s="82"/>
      <c r="I340" s="82"/>
      <c r="J340" s="82"/>
      <c r="K340" s="26">
        <f>0</f>
        <v>0</v>
      </c>
      <c r="L340" s="83"/>
      <c r="M340" t="s">
        <v>109</v>
      </c>
      <c r="N340" s="8" t="s">
        <v>184</v>
      </c>
      <c r="O340" s="8"/>
      <c r="P340" s="25">
        <f>K340*1000</f>
        <v>0</v>
      </c>
      <c r="Q340" s="8"/>
      <c r="R340" s="8"/>
    </row>
    <row r="341" spans="2:19" x14ac:dyDescent="0.25">
      <c r="B341" s="82"/>
      <c r="C341" s="83">
        <v>15</v>
      </c>
      <c r="D341" s="90" t="s">
        <v>105</v>
      </c>
      <c r="E341" s="80" t="s">
        <v>80</v>
      </c>
      <c r="F341" t="s">
        <v>209</v>
      </c>
      <c r="G341" s="82">
        <v>1</v>
      </c>
      <c r="H341" s="82" t="s">
        <v>62</v>
      </c>
      <c r="I341" s="82" t="s">
        <v>110</v>
      </c>
      <c r="J341" s="82">
        <v>1</v>
      </c>
      <c r="K341" s="7">
        <f>Q341/1000</f>
        <v>2.2028579222592146E-2</v>
      </c>
      <c r="L341" s="83" t="s">
        <v>93</v>
      </c>
      <c r="M341" s="8" t="s">
        <v>760</v>
      </c>
      <c r="N341" s="8" t="s">
        <v>204</v>
      </c>
      <c r="O341" s="8" t="s">
        <v>207</v>
      </c>
      <c r="P341" s="8">
        <f>K341*1000</f>
        <v>22.028579222592146</v>
      </c>
      <c r="Q341" s="8">
        <f>(6*12+9+5/16)*(4*12+10+7/8)*0.036*(25.4/1000)^3*7800</f>
        <v>22.028579222592146</v>
      </c>
      <c r="R341" s="8" t="s">
        <v>206</v>
      </c>
    </row>
    <row r="342" spans="2:19" x14ac:dyDescent="0.25">
      <c r="B342" s="82"/>
      <c r="C342" s="83"/>
      <c r="D342" s="90"/>
      <c r="E342" s="80"/>
      <c r="F342" s="86" t="s">
        <v>108</v>
      </c>
      <c r="G342" s="82"/>
      <c r="H342" s="82"/>
      <c r="I342" s="82"/>
      <c r="J342" s="82"/>
      <c r="K342" s="26">
        <f>K341*30</f>
        <v>0.66085737667776434</v>
      </c>
      <c r="L342" s="83"/>
      <c r="M342" t="s">
        <v>727</v>
      </c>
      <c r="N342" s="8" t="s">
        <v>185</v>
      </c>
      <c r="O342" s="8"/>
      <c r="P342" s="8"/>
      <c r="Q342" s="8"/>
      <c r="R342" s="8"/>
    </row>
    <row r="343" spans="2:19" x14ac:dyDescent="0.25">
      <c r="B343" s="82"/>
      <c r="C343" s="83"/>
      <c r="D343" s="90"/>
      <c r="E343" s="80"/>
      <c r="F343" s="86"/>
      <c r="G343" s="82"/>
      <c r="H343" s="82"/>
      <c r="I343" s="82"/>
      <c r="J343" s="82"/>
      <c r="K343" s="26">
        <f>K341*100</f>
        <v>2.2028579222592146</v>
      </c>
      <c r="L343" s="83"/>
      <c r="M343" t="s">
        <v>727</v>
      </c>
      <c r="N343" s="8" t="s">
        <v>111</v>
      </c>
      <c r="O343" s="8"/>
      <c r="P343" s="8"/>
      <c r="Q343" s="8"/>
      <c r="R343" s="8"/>
    </row>
    <row r="344" spans="2:19" x14ac:dyDescent="0.25">
      <c r="B344" s="82"/>
      <c r="C344" s="83"/>
      <c r="D344" s="90"/>
      <c r="E344" s="80"/>
      <c r="F344" s="86"/>
      <c r="G344" s="82"/>
      <c r="H344" s="82"/>
      <c r="I344" s="82"/>
      <c r="J344" s="82"/>
      <c r="K344" s="26">
        <f>0</f>
        <v>0</v>
      </c>
      <c r="L344" s="83"/>
      <c r="M344" t="s">
        <v>728</v>
      </c>
      <c r="N344" s="8" t="s">
        <v>184</v>
      </c>
      <c r="O344" s="8"/>
      <c r="P344" s="29">
        <f>K344*1000</f>
        <v>0</v>
      </c>
      <c r="Q344" s="8"/>
      <c r="R344" s="8"/>
    </row>
    <row r="345" spans="2:19" x14ac:dyDescent="0.25">
      <c r="B345" s="82"/>
      <c r="C345" s="74">
        <v>16</v>
      </c>
      <c r="D345" s="77" t="s">
        <v>106</v>
      </c>
      <c r="E345" s="35" t="s">
        <v>80</v>
      </c>
      <c r="F345" s="14" t="s">
        <v>205</v>
      </c>
      <c r="G345" s="36">
        <v>1</v>
      </c>
      <c r="H345" s="36" t="s">
        <v>62</v>
      </c>
      <c r="I345" s="36" t="s">
        <v>110</v>
      </c>
      <c r="J345" s="36">
        <v>1</v>
      </c>
      <c r="K345" s="53">
        <v>0</v>
      </c>
      <c r="L345" s="74" t="s">
        <v>498</v>
      </c>
      <c r="M345" s="6" t="s">
        <v>519</v>
      </c>
    </row>
    <row r="346" spans="2:19" x14ac:dyDescent="0.25">
      <c r="B346" s="82"/>
      <c r="C346" s="72">
        <v>14</v>
      </c>
      <c r="D346" s="94" t="s">
        <v>435</v>
      </c>
      <c r="E346" s="82" t="s">
        <v>80</v>
      </c>
      <c r="F346" s="86" t="s">
        <v>440</v>
      </c>
      <c r="G346" s="82">
        <v>1</v>
      </c>
      <c r="H346" s="82" t="s">
        <v>62</v>
      </c>
      <c r="I346" s="82" t="s">
        <v>110</v>
      </c>
      <c r="J346" s="82">
        <v>1</v>
      </c>
      <c r="K346" s="7">
        <f>Q346/1000</f>
        <v>1.6234048151193597E-2</v>
      </c>
      <c r="L346" s="83" t="s">
        <v>92</v>
      </c>
      <c r="M346" s="8" t="s">
        <v>760</v>
      </c>
      <c r="N346" s="8" t="s">
        <v>204</v>
      </c>
      <c r="O346" s="8" t="s">
        <v>207</v>
      </c>
      <c r="P346" s="8">
        <f>K346*1000</f>
        <v>16.234048151193598</v>
      </c>
      <c r="Q346" s="8">
        <f>42*84*0.036*(25.4/1000)^3*7800</f>
        <v>16.234048151193598</v>
      </c>
      <c r="R346" s="8" t="s">
        <v>206</v>
      </c>
    </row>
    <row r="347" spans="2:19" x14ac:dyDescent="0.25">
      <c r="B347" s="82"/>
      <c r="C347" s="72"/>
      <c r="D347" s="94"/>
      <c r="E347" s="82"/>
      <c r="F347" s="86"/>
      <c r="G347" s="82"/>
      <c r="H347" s="82"/>
      <c r="I347" s="82"/>
      <c r="J347" s="82"/>
      <c r="K347" s="26">
        <f>K346*30</f>
        <v>0.48702144453580792</v>
      </c>
      <c r="L347" s="83"/>
      <c r="M347" t="s">
        <v>727</v>
      </c>
      <c r="N347" s="8" t="s">
        <v>185</v>
      </c>
      <c r="O347" s="8"/>
      <c r="P347" s="8"/>
      <c r="Q347" s="8"/>
      <c r="R347" s="8"/>
    </row>
    <row r="348" spans="2:19" x14ac:dyDescent="0.25">
      <c r="B348" s="82"/>
      <c r="C348" s="72"/>
      <c r="D348" s="94"/>
      <c r="E348" s="82"/>
      <c r="F348" s="86"/>
      <c r="G348" s="82"/>
      <c r="H348" s="82"/>
      <c r="I348" s="82"/>
      <c r="J348" s="82"/>
      <c r="K348" s="26">
        <f>K346*100</f>
        <v>1.6234048151193596</v>
      </c>
      <c r="L348" s="83"/>
      <c r="M348" t="s">
        <v>727</v>
      </c>
      <c r="N348" s="8" t="s">
        <v>111</v>
      </c>
      <c r="O348" s="8"/>
      <c r="P348" s="8"/>
      <c r="Q348" s="8"/>
      <c r="R348" s="8"/>
    </row>
    <row r="349" spans="2:19" x14ac:dyDescent="0.25">
      <c r="B349" s="82"/>
      <c r="C349" s="72"/>
      <c r="D349" s="94"/>
      <c r="E349" s="82"/>
      <c r="F349" s="86"/>
      <c r="G349" s="82"/>
      <c r="H349" s="82"/>
      <c r="I349" s="82"/>
      <c r="J349" s="82"/>
      <c r="K349" s="26">
        <f>0</f>
        <v>0</v>
      </c>
      <c r="L349" s="83"/>
      <c r="M349" t="s">
        <v>728</v>
      </c>
      <c r="N349" s="8" t="s">
        <v>184</v>
      </c>
      <c r="O349" s="8"/>
      <c r="P349" s="29">
        <f>K349*1000</f>
        <v>0</v>
      </c>
      <c r="Q349" s="8"/>
      <c r="R349" s="8"/>
    </row>
    <row r="350" spans="2:19" x14ac:dyDescent="0.25">
      <c r="B350" s="82"/>
      <c r="C350" s="74">
        <v>17</v>
      </c>
      <c r="D350" s="46" t="s">
        <v>436</v>
      </c>
      <c r="E350" s="36" t="s">
        <v>80</v>
      </c>
      <c r="F350" s="37" t="s">
        <v>439</v>
      </c>
      <c r="G350" s="36">
        <v>1</v>
      </c>
      <c r="H350" s="36" t="s">
        <v>62</v>
      </c>
      <c r="I350" s="36" t="s">
        <v>110</v>
      </c>
      <c r="J350" s="36">
        <v>1</v>
      </c>
      <c r="K350" s="53">
        <v>0</v>
      </c>
      <c r="L350" s="74" t="s">
        <v>499</v>
      </c>
      <c r="M350" s="6" t="s">
        <v>519</v>
      </c>
      <c r="N350" s="13"/>
      <c r="O350" s="13"/>
    </row>
    <row r="351" spans="2:19" x14ac:dyDescent="0.25">
      <c r="B351" s="21" t="s">
        <v>368</v>
      </c>
      <c r="C351" s="11"/>
      <c r="D351" s="42"/>
      <c r="E351" s="42"/>
      <c r="F351" s="43"/>
      <c r="G351" s="42"/>
      <c r="H351" s="42"/>
      <c r="I351" s="21"/>
      <c r="J351" s="21"/>
      <c r="K351" s="21"/>
      <c r="L351" s="42"/>
      <c r="M351" s="21"/>
      <c r="N351" s="21"/>
      <c r="O351" s="21"/>
    </row>
    <row r="352" spans="2:19" ht="15" customHeight="1" x14ac:dyDescent="0.25">
      <c r="B352" s="82" t="s">
        <v>404</v>
      </c>
      <c r="C352" s="83">
        <v>1</v>
      </c>
      <c r="D352" s="82" t="s">
        <v>402</v>
      </c>
      <c r="E352" s="82" t="s">
        <v>54</v>
      </c>
      <c r="F352" s="6" t="s">
        <v>1133</v>
      </c>
      <c r="G352" s="80">
        <v>1</v>
      </c>
      <c r="H352" s="80" t="s">
        <v>62</v>
      </c>
      <c r="I352" s="82" t="s">
        <v>110</v>
      </c>
      <c r="J352" s="82">
        <v>1</v>
      </c>
      <c r="K352" s="7">
        <f>R352*4/1000</f>
        <v>9.0342720000000001E-4</v>
      </c>
      <c r="L352" s="83" t="s">
        <v>500</v>
      </c>
      <c r="M352" s="8" t="s">
        <v>725</v>
      </c>
      <c r="N352" s="8" t="s">
        <v>180</v>
      </c>
      <c r="O352" s="22" t="s">
        <v>182</v>
      </c>
      <c r="P352" s="8">
        <f>K352*1000</f>
        <v>0.90342719999999999</v>
      </c>
      <c r="Q352" s="8"/>
      <c r="R352" s="8">
        <f>285/1000^2*(4*25.4/1000)*7800</f>
        <v>0.2258568</v>
      </c>
      <c r="S352" s="8" t="s">
        <v>181</v>
      </c>
    </row>
    <row r="353" spans="2:19" ht="15" customHeight="1" x14ac:dyDescent="0.25">
      <c r="B353" s="82"/>
      <c r="C353" s="83"/>
      <c r="D353" s="82"/>
      <c r="E353" s="82"/>
      <c r="F353" s="6"/>
      <c r="G353" s="80"/>
      <c r="H353" s="80"/>
      <c r="I353" s="82"/>
      <c r="J353" s="82"/>
      <c r="K353" s="7">
        <f>P353*1</f>
        <v>1.35</v>
      </c>
      <c r="L353" s="83"/>
      <c r="M353" s="8" t="s">
        <v>1136</v>
      </c>
      <c r="N353" s="8" t="s">
        <v>1134</v>
      </c>
      <c r="O353" s="22" t="s">
        <v>1135</v>
      </c>
      <c r="P353" s="8">
        <v>1.35</v>
      </c>
      <c r="Q353" s="8" t="s">
        <v>183</v>
      </c>
      <c r="R353" s="8"/>
      <c r="S353" s="8"/>
    </row>
    <row r="354" spans="2:19" x14ac:dyDescent="0.25">
      <c r="B354" s="82"/>
      <c r="C354" s="83"/>
      <c r="D354" s="82"/>
      <c r="E354" s="82"/>
      <c r="F354" s="86" t="s">
        <v>108</v>
      </c>
      <c r="G354" s="80"/>
      <c r="H354" s="80"/>
      <c r="I354" s="82"/>
      <c r="J354" s="82"/>
      <c r="K354" s="26">
        <f>(K352+K353)*30</f>
        <v>40.527102816000003</v>
      </c>
      <c r="L354" s="83"/>
      <c r="M354" t="s">
        <v>727</v>
      </c>
      <c r="N354" s="8" t="s">
        <v>112</v>
      </c>
      <c r="O354" s="8"/>
      <c r="P354" s="8"/>
      <c r="Q354" s="8"/>
      <c r="R354" s="8"/>
      <c r="S354" s="8"/>
    </row>
    <row r="355" spans="2:19" x14ac:dyDescent="0.25">
      <c r="B355" s="82"/>
      <c r="C355" s="83"/>
      <c r="D355" s="82"/>
      <c r="E355" s="82"/>
      <c r="F355" s="86"/>
      <c r="G355" s="80"/>
      <c r="H355" s="80"/>
      <c r="I355" s="82"/>
      <c r="J355" s="82"/>
      <c r="K355" s="26">
        <f>(K352+K353)*100</f>
        <v>135.09034272</v>
      </c>
      <c r="L355" s="83"/>
      <c r="M355" t="s">
        <v>727</v>
      </c>
      <c r="N355" s="8" t="s">
        <v>111</v>
      </c>
      <c r="O355" s="8"/>
      <c r="P355" s="8"/>
      <c r="Q355" s="8"/>
      <c r="R355" s="8"/>
      <c r="S355" s="8"/>
    </row>
    <row r="356" spans="2:19" x14ac:dyDescent="0.25">
      <c r="B356" s="82"/>
      <c r="C356" s="83"/>
      <c r="D356" s="82"/>
      <c r="E356" s="82"/>
      <c r="F356" s="86"/>
      <c r="G356" s="80"/>
      <c r="H356" s="80"/>
      <c r="I356" s="82"/>
      <c r="J356" s="82"/>
      <c r="K356" s="26">
        <f>K352*0+K353*0.0505</f>
        <v>6.8175000000000013E-2</v>
      </c>
      <c r="L356" s="83"/>
      <c r="M356" t="s">
        <v>728</v>
      </c>
      <c r="N356" s="8" t="s">
        <v>184</v>
      </c>
      <c r="O356" s="8"/>
      <c r="P356" s="29">
        <f>K356*1000</f>
        <v>68.175000000000011</v>
      </c>
      <c r="Q356" s="8"/>
      <c r="R356" s="8"/>
      <c r="S356" s="8"/>
    </row>
    <row r="357" spans="2:19" x14ac:dyDescent="0.25">
      <c r="B357" s="21" t="s">
        <v>369</v>
      </c>
      <c r="C357" s="11"/>
      <c r="D357" s="42"/>
      <c r="E357" s="42"/>
      <c r="F357" s="43"/>
      <c r="G357" s="42"/>
      <c r="H357" s="42"/>
      <c r="I357" s="21"/>
      <c r="J357" s="21"/>
      <c r="K357" s="21"/>
      <c r="L357" s="42"/>
      <c r="M357" s="21"/>
      <c r="N357" s="21"/>
      <c r="O357" s="21"/>
    </row>
    <row r="358" spans="2:19" ht="15" customHeight="1" x14ac:dyDescent="0.25">
      <c r="B358" s="82" t="s">
        <v>405</v>
      </c>
      <c r="C358" s="83">
        <v>1</v>
      </c>
      <c r="D358" s="80" t="s">
        <v>406</v>
      </c>
      <c r="E358" s="82" t="s">
        <v>55</v>
      </c>
      <c r="F358" s="6" t="s">
        <v>82</v>
      </c>
      <c r="G358" s="80">
        <v>1</v>
      </c>
      <c r="H358" s="80" t="s">
        <v>62</v>
      </c>
      <c r="I358" s="82" t="s">
        <v>110</v>
      </c>
      <c r="J358" s="82">
        <v>1</v>
      </c>
      <c r="K358" s="54">
        <f>(0.85+0.1923+0.6+0.135)+4*R358/1000</f>
        <v>1.7782034272</v>
      </c>
      <c r="L358" s="83" t="s">
        <v>501</v>
      </c>
      <c r="M358" s="8" t="s">
        <v>761</v>
      </c>
      <c r="N358" s="8" t="s">
        <v>187</v>
      </c>
      <c r="O358" s="8" t="s">
        <v>186</v>
      </c>
      <c r="P358" s="8"/>
      <c r="Q358" s="8"/>
      <c r="R358" s="8">
        <f>285/1000^2*(4*25.4/1000)*7800</f>
        <v>0.2258568</v>
      </c>
      <c r="S358" s="8" t="s">
        <v>181</v>
      </c>
    </row>
    <row r="359" spans="2:19" x14ac:dyDescent="0.25">
      <c r="B359" s="82"/>
      <c r="C359" s="83"/>
      <c r="D359" s="80"/>
      <c r="E359" s="82"/>
      <c r="F359" s="86" t="s">
        <v>108</v>
      </c>
      <c r="G359" s="80"/>
      <c r="H359" s="80"/>
      <c r="I359" s="82"/>
      <c r="J359" s="82"/>
      <c r="K359" s="19">
        <f>K358*30</f>
        <v>53.346102815999998</v>
      </c>
      <c r="L359" s="83"/>
      <c r="M359" t="s">
        <v>727</v>
      </c>
      <c r="N359" s="8" t="s">
        <v>185</v>
      </c>
      <c r="O359" s="8"/>
      <c r="P359" s="8"/>
      <c r="Q359" s="8"/>
      <c r="R359" s="8"/>
      <c r="S359" s="8"/>
    </row>
    <row r="360" spans="2:19" x14ac:dyDescent="0.25">
      <c r="B360" s="82"/>
      <c r="C360" s="83"/>
      <c r="D360" s="80"/>
      <c r="E360" s="82"/>
      <c r="F360" s="86"/>
      <c r="G360" s="80"/>
      <c r="H360" s="80"/>
      <c r="I360" s="82"/>
      <c r="J360" s="82"/>
      <c r="K360" s="20">
        <f>K358*100</f>
        <v>177.82034272000001</v>
      </c>
      <c r="L360" s="83"/>
      <c r="M360" t="s">
        <v>727</v>
      </c>
      <c r="N360" s="8" t="s">
        <v>111</v>
      </c>
      <c r="O360" s="8"/>
      <c r="P360" s="8"/>
      <c r="Q360" s="8"/>
      <c r="R360" s="8"/>
      <c r="S360" s="8"/>
    </row>
    <row r="361" spans="2:19" x14ac:dyDescent="0.25">
      <c r="B361" s="82"/>
      <c r="C361" s="83"/>
      <c r="D361" s="80"/>
      <c r="E361" s="82"/>
      <c r="F361" s="86"/>
      <c r="G361" s="80"/>
      <c r="H361" s="80"/>
      <c r="I361" s="82"/>
      <c r="J361" s="82"/>
      <c r="K361" s="19">
        <f>0</f>
        <v>0</v>
      </c>
      <c r="L361" s="83"/>
      <c r="M361" t="s">
        <v>728</v>
      </c>
      <c r="N361" s="8" t="s">
        <v>184</v>
      </c>
      <c r="O361" s="8"/>
      <c r="P361" s="8"/>
      <c r="Q361" s="8"/>
      <c r="R361" s="8"/>
      <c r="S361" s="8"/>
    </row>
    <row r="362" spans="2:19" x14ac:dyDescent="0.25">
      <c r="B362" s="21" t="s">
        <v>370</v>
      </c>
      <c r="C362" s="11"/>
      <c r="D362" s="42"/>
      <c r="E362" s="42"/>
      <c r="F362" s="43"/>
      <c r="G362" s="42"/>
      <c r="H362" s="42"/>
      <c r="I362" s="21"/>
      <c r="J362" s="21"/>
      <c r="K362" s="21"/>
      <c r="L362" s="42"/>
      <c r="M362" s="21"/>
      <c r="N362" s="21"/>
      <c r="O362" s="21"/>
    </row>
    <row r="363" spans="2:19" ht="15" customHeight="1" x14ac:dyDescent="0.25">
      <c r="B363" s="82" t="s">
        <v>407</v>
      </c>
      <c r="C363" s="72">
        <v>1</v>
      </c>
      <c r="D363" s="36" t="s">
        <v>408</v>
      </c>
      <c r="E363" s="36" t="s">
        <v>410</v>
      </c>
      <c r="F363" s="6" t="s">
        <v>80</v>
      </c>
      <c r="G363" s="35">
        <v>1</v>
      </c>
      <c r="H363" s="35" t="s">
        <v>62</v>
      </c>
      <c r="I363" s="36" t="s">
        <v>110</v>
      </c>
      <c r="J363" s="36">
        <v>1</v>
      </c>
      <c r="K363" s="13">
        <v>0</v>
      </c>
      <c r="L363" s="72" t="s">
        <v>502</v>
      </c>
      <c r="M363" s="8" t="s">
        <v>80</v>
      </c>
      <c r="N363" s="8" t="s">
        <v>190</v>
      </c>
      <c r="O363" s="8"/>
      <c r="P363" s="8"/>
      <c r="Q363" s="8"/>
      <c r="R363" s="8"/>
      <c r="S363" s="8"/>
    </row>
    <row r="364" spans="2:19" x14ac:dyDescent="0.25">
      <c r="B364" s="82"/>
      <c r="C364" s="83">
        <v>2</v>
      </c>
      <c r="D364" s="82" t="s">
        <v>409</v>
      </c>
      <c r="E364" s="82" t="s">
        <v>411</v>
      </c>
      <c r="F364" s="15" t="s">
        <v>437</v>
      </c>
      <c r="G364" s="80">
        <v>1</v>
      </c>
      <c r="H364" s="80" t="s">
        <v>62</v>
      </c>
      <c r="I364" s="82" t="s">
        <v>110</v>
      </c>
      <c r="J364" s="82">
        <v>1</v>
      </c>
      <c r="K364" s="7">
        <f>(656.79+4*R364)/1000</f>
        <v>0.65769342720000001</v>
      </c>
      <c r="L364" s="83" t="s">
        <v>503</v>
      </c>
      <c r="M364" s="8" t="s">
        <v>763</v>
      </c>
      <c r="N364" s="8" t="s">
        <v>762</v>
      </c>
      <c r="O364" s="22" t="s">
        <v>189</v>
      </c>
      <c r="P364" s="8">
        <f>K364*1000</f>
        <v>657.69342719999997</v>
      </c>
      <c r="Q364" s="8"/>
      <c r="R364" s="8">
        <f>285/1000^2*(4*25.4/1000)*7800</f>
        <v>0.2258568</v>
      </c>
      <c r="S364" s="8" t="s">
        <v>181</v>
      </c>
    </row>
    <row r="365" spans="2:19" x14ac:dyDescent="0.25">
      <c r="B365" s="82"/>
      <c r="C365" s="83"/>
      <c r="D365" s="82"/>
      <c r="E365" s="82"/>
      <c r="F365" s="87" t="s">
        <v>108</v>
      </c>
      <c r="G365" s="80"/>
      <c r="H365" s="80"/>
      <c r="I365" s="82"/>
      <c r="J365" s="82"/>
      <c r="K365" s="20">
        <f>K364*30</f>
        <v>19.730802816000001</v>
      </c>
      <c r="L365" s="83"/>
      <c r="M365" t="s">
        <v>727</v>
      </c>
      <c r="N365" s="8" t="s">
        <v>185</v>
      </c>
      <c r="O365" s="8"/>
      <c r="P365" s="8"/>
      <c r="Q365" s="8"/>
      <c r="R365" s="8"/>
      <c r="S365" s="8"/>
    </row>
    <row r="366" spans="2:19" x14ac:dyDescent="0.25">
      <c r="B366" s="82"/>
      <c r="C366" s="83"/>
      <c r="D366" s="82"/>
      <c r="E366" s="82"/>
      <c r="F366" s="87"/>
      <c r="G366" s="80"/>
      <c r="H366" s="80"/>
      <c r="I366" s="82"/>
      <c r="J366" s="82"/>
      <c r="K366" s="20">
        <f>K364*100</f>
        <v>65.769342719999997</v>
      </c>
      <c r="L366" s="83"/>
      <c r="M366" t="s">
        <v>727</v>
      </c>
      <c r="N366" s="8" t="s">
        <v>111</v>
      </c>
      <c r="O366" s="8"/>
      <c r="P366" s="8"/>
      <c r="Q366" s="8"/>
      <c r="R366" s="8"/>
      <c r="S366" s="8"/>
    </row>
    <row r="367" spans="2:19" x14ac:dyDescent="0.25">
      <c r="B367" s="82"/>
      <c r="C367" s="83"/>
      <c r="D367" s="82"/>
      <c r="E367" s="82"/>
      <c r="F367" s="87"/>
      <c r="G367" s="80"/>
      <c r="H367" s="80"/>
      <c r="I367" s="82"/>
      <c r="J367" s="82"/>
      <c r="K367" s="19">
        <f>0</f>
        <v>0</v>
      </c>
      <c r="L367" s="83"/>
      <c r="M367" t="s">
        <v>728</v>
      </c>
      <c r="N367" s="8" t="s">
        <v>184</v>
      </c>
      <c r="O367" s="8"/>
      <c r="P367" s="29">
        <f>K367*1000</f>
        <v>0</v>
      </c>
      <c r="Q367" s="8"/>
      <c r="R367" s="8"/>
      <c r="S367" s="8"/>
    </row>
    <row r="368" spans="2:19" x14ac:dyDescent="0.25">
      <c r="B368" s="21" t="s">
        <v>371</v>
      </c>
      <c r="C368" s="11"/>
      <c r="D368" s="42"/>
      <c r="E368" s="42"/>
      <c r="F368" s="43"/>
      <c r="G368" s="42"/>
      <c r="H368" s="42"/>
      <c r="I368" s="21"/>
      <c r="J368" s="21"/>
      <c r="K368" s="21"/>
      <c r="L368" s="42"/>
      <c r="M368" s="21"/>
      <c r="N368" s="21"/>
      <c r="O368" s="21"/>
    </row>
    <row r="369" spans="2:38" ht="15" customHeight="1" x14ac:dyDescent="0.25">
      <c r="B369" s="82" t="s">
        <v>412</v>
      </c>
      <c r="C369" s="83">
        <v>1</v>
      </c>
      <c r="D369" s="80" t="s">
        <v>413</v>
      </c>
      <c r="E369" s="82" t="s">
        <v>414</v>
      </c>
      <c r="F369" s="6" t="s">
        <v>438</v>
      </c>
      <c r="G369" s="80">
        <v>1</v>
      </c>
      <c r="H369" s="80" t="s">
        <v>62</v>
      </c>
      <c r="I369" s="82" t="s">
        <v>110</v>
      </c>
      <c r="J369" s="82">
        <v>1</v>
      </c>
      <c r="K369" s="13">
        <f>R369/1000</f>
        <v>0.11</v>
      </c>
      <c r="L369" s="83" t="s">
        <v>504</v>
      </c>
      <c r="M369" s="6" t="s">
        <v>759</v>
      </c>
      <c r="N369" s="6" t="s">
        <v>523</v>
      </c>
      <c r="O369" s="6" t="s">
        <v>520</v>
      </c>
      <c r="R369">
        <v>110</v>
      </c>
      <c r="S369" t="s">
        <v>139</v>
      </c>
      <c r="T369" t="s">
        <v>521</v>
      </c>
    </row>
    <row r="370" spans="2:38" x14ac:dyDescent="0.25">
      <c r="B370" s="82"/>
      <c r="C370" s="83"/>
      <c r="D370" s="80"/>
      <c r="E370" s="82"/>
      <c r="F370" s="86" t="s">
        <v>108</v>
      </c>
      <c r="G370" s="80"/>
      <c r="H370" s="80"/>
      <c r="I370" s="82"/>
      <c r="J370" s="82"/>
      <c r="K370" s="20">
        <f>K369*30</f>
        <v>3.3</v>
      </c>
      <c r="L370" s="83"/>
      <c r="M370" t="s">
        <v>727</v>
      </c>
      <c r="N370" s="8" t="s">
        <v>185</v>
      </c>
      <c r="O370" s="8"/>
    </row>
    <row r="371" spans="2:38" x14ac:dyDescent="0.25">
      <c r="B371" s="82"/>
      <c r="C371" s="83"/>
      <c r="D371" s="80"/>
      <c r="E371" s="82"/>
      <c r="F371" s="86"/>
      <c r="G371" s="80"/>
      <c r="H371" s="80"/>
      <c r="I371" s="82"/>
      <c r="J371" s="82"/>
      <c r="K371" s="20">
        <f>K369*100</f>
        <v>11</v>
      </c>
      <c r="L371" s="83"/>
      <c r="M371" t="s">
        <v>727</v>
      </c>
      <c r="N371" s="8" t="s">
        <v>111</v>
      </c>
      <c r="O371" s="8"/>
    </row>
    <row r="372" spans="2:38" x14ac:dyDescent="0.25">
      <c r="B372" s="82"/>
      <c r="C372" s="83"/>
      <c r="D372" s="80"/>
      <c r="E372" s="82"/>
      <c r="F372" s="86"/>
      <c r="G372" s="80"/>
      <c r="H372" s="80"/>
      <c r="I372" s="82"/>
      <c r="J372" s="82"/>
      <c r="K372" s="20">
        <f>K369*1</f>
        <v>0.11</v>
      </c>
      <c r="L372" s="83"/>
      <c r="M372" t="s">
        <v>728</v>
      </c>
      <c r="N372" s="8" t="s">
        <v>522</v>
      </c>
      <c r="O372" s="8"/>
    </row>
    <row r="373" spans="2:38" x14ac:dyDescent="0.25">
      <c r="B373" s="21" t="s">
        <v>15</v>
      </c>
      <c r="C373" s="11"/>
      <c r="D373" s="42"/>
      <c r="E373" s="42"/>
      <c r="F373" s="43"/>
      <c r="G373" s="42"/>
      <c r="H373" s="42"/>
      <c r="I373" s="21"/>
      <c r="J373" s="21"/>
      <c r="K373" s="21"/>
      <c r="L373" s="42"/>
      <c r="M373" s="21"/>
      <c r="N373" s="21"/>
      <c r="O373" s="21"/>
    </row>
    <row r="374" spans="2:38" x14ac:dyDescent="0.25">
      <c r="B374" s="82" t="s">
        <v>56</v>
      </c>
      <c r="C374" s="80">
        <v>1</v>
      </c>
      <c r="D374" s="80" t="s">
        <v>80</v>
      </c>
      <c r="E374" s="80" t="s">
        <v>58</v>
      </c>
      <c r="F374" s="16" t="s">
        <v>628</v>
      </c>
      <c r="G374" s="80">
        <v>1</v>
      </c>
      <c r="H374" s="80" t="s">
        <v>62</v>
      </c>
      <c r="I374" s="82" t="s">
        <v>110</v>
      </c>
      <c r="J374" s="82">
        <v>1</v>
      </c>
      <c r="K374" s="65">
        <f>T481/1000</f>
        <v>1349.1962246400001</v>
      </c>
      <c r="L374" s="83" t="s">
        <v>718</v>
      </c>
      <c r="M374" s="6" t="s">
        <v>730</v>
      </c>
      <c r="N374" s="6" t="s">
        <v>651</v>
      </c>
      <c r="O374" s="13" t="s">
        <v>643</v>
      </c>
    </row>
    <row r="375" spans="2:38" x14ac:dyDescent="0.25">
      <c r="B375" s="82"/>
      <c r="C375" s="80"/>
      <c r="D375" s="80"/>
      <c r="E375" s="80"/>
      <c r="F375" s="44" t="s">
        <v>637</v>
      </c>
      <c r="G375" s="80"/>
      <c r="H375" s="80"/>
      <c r="I375" s="82"/>
      <c r="J375" s="82"/>
      <c r="K375" s="65">
        <f>Q375/1000</f>
        <v>12.8</v>
      </c>
      <c r="L375" s="83"/>
      <c r="M375" s="8" t="s">
        <v>729</v>
      </c>
      <c r="N375" s="6" t="s">
        <v>637</v>
      </c>
      <c r="O375" s="13" t="s">
        <v>643</v>
      </c>
      <c r="Q375">
        <v>12800</v>
      </c>
      <c r="R375" t="s">
        <v>706</v>
      </c>
    </row>
    <row r="376" spans="2:38" x14ac:dyDescent="0.25">
      <c r="B376" s="82"/>
      <c r="C376" s="80"/>
      <c r="D376" s="80"/>
      <c r="E376" s="80"/>
      <c r="F376" s="44" t="s">
        <v>635</v>
      </c>
      <c r="G376" s="80"/>
      <c r="H376" s="80"/>
      <c r="I376" s="82"/>
      <c r="J376" s="82"/>
      <c r="K376" s="65">
        <f>Q376*J537/1000</f>
        <v>4.8538464000000001</v>
      </c>
      <c r="L376" s="83"/>
      <c r="M376" s="8" t="s">
        <v>725</v>
      </c>
      <c r="N376" s="6" t="s">
        <v>765</v>
      </c>
      <c r="O376" s="13" t="s">
        <v>643</v>
      </c>
      <c r="P376" s="60">
        <f>K376*1000</f>
        <v>4853.8464000000004</v>
      </c>
      <c r="Q376" s="60">
        <f>Z376*0.01*7800</f>
        <v>6.3866399999999999</v>
      </c>
      <c r="R376" t="s">
        <v>702</v>
      </c>
      <c r="U376">
        <v>89</v>
      </c>
      <c r="V376" t="s">
        <v>549</v>
      </c>
      <c r="W376">
        <v>230</v>
      </c>
      <c r="X376" t="s">
        <v>550</v>
      </c>
      <c r="Z376">
        <f>(U376+U376)*W376/(1000^2)*2</f>
        <v>8.1879999999999994E-2</v>
      </c>
      <c r="AA376" t="s">
        <v>63</v>
      </c>
    </row>
    <row r="377" spans="2:38" x14ac:dyDescent="0.25">
      <c r="B377" s="82"/>
      <c r="C377" s="80"/>
      <c r="D377" s="80"/>
      <c r="E377" s="80"/>
      <c r="F377" s="44" t="s">
        <v>636</v>
      </c>
      <c r="G377" s="80"/>
      <c r="H377" s="80"/>
      <c r="I377" s="82"/>
      <c r="J377" s="82"/>
      <c r="K377" s="65">
        <f>Q377*J538/1000</f>
        <v>2.2464000000000004</v>
      </c>
      <c r="L377" s="83"/>
      <c r="M377" s="8" t="s">
        <v>729</v>
      </c>
      <c r="N377" s="6" t="s">
        <v>766</v>
      </c>
      <c r="O377" s="13" t="s">
        <v>643</v>
      </c>
      <c r="P377" s="60">
        <f>K377*1000</f>
        <v>2246.4000000000005</v>
      </c>
      <c r="Q377">
        <f>(Y377/1000)^2*U377/1000*7800</f>
        <v>62.400000000000013</v>
      </c>
      <c r="R377" t="s">
        <v>705</v>
      </c>
      <c r="U377">
        <v>50</v>
      </c>
      <c r="V377" t="s">
        <v>556</v>
      </c>
      <c r="Y377">
        <v>400</v>
      </c>
      <c r="Z377" t="s">
        <v>557</v>
      </c>
    </row>
    <row r="378" spans="2:38" x14ac:dyDescent="0.25">
      <c r="B378" s="82"/>
      <c r="C378" s="80"/>
      <c r="D378" s="80"/>
      <c r="E378" s="80"/>
      <c r="F378" s="16" t="s">
        <v>633</v>
      </c>
      <c r="G378" s="80"/>
      <c r="H378" s="80"/>
      <c r="I378" s="82"/>
      <c r="J378" s="82"/>
      <c r="K378" s="55">
        <f>T483/1000</f>
        <v>387.62864409600007</v>
      </c>
      <c r="L378" s="83"/>
      <c r="M378" s="8" t="s">
        <v>767</v>
      </c>
      <c r="N378" s="6" t="s">
        <v>648</v>
      </c>
      <c r="O378" s="6" t="s">
        <v>647</v>
      </c>
      <c r="P378" s="60">
        <f>K378*1000</f>
        <v>387628.64409600006</v>
      </c>
    </row>
    <row r="379" spans="2:38" x14ac:dyDescent="0.25">
      <c r="B379" s="82"/>
      <c r="C379" s="80"/>
      <c r="D379" s="80"/>
      <c r="E379" s="80"/>
      <c r="F379" s="16" t="s">
        <v>650</v>
      </c>
      <c r="G379" s="80"/>
      <c r="H379" s="80"/>
      <c r="I379" s="82"/>
      <c r="J379" s="82"/>
      <c r="K379" s="55">
        <f>T482/1000</f>
        <v>348.22180800000001</v>
      </c>
      <c r="L379" s="83"/>
      <c r="M379" s="6" t="s">
        <v>768</v>
      </c>
      <c r="N379" s="6" t="s">
        <v>649</v>
      </c>
      <c r="O379" s="6" t="s">
        <v>647</v>
      </c>
      <c r="P379" s="60">
        <f>K379*1000</f>
        <v>348221.80800000002</v>
      </c>
    </row>
    <row r="380" spans="2:38" x14ac:dyDescent="0.25">
      <c r="B380" s="82"/>
      <c r="C380" s="80"/>
      <c r="D380" s="80"/>
      <c r="E380" s="80"/>
      <c r="F380" s="16" t="s">
        <v>630</v>
      </c>
      <c r="G380" s="80"/>
      <c r="H380" s="80"/>
      <c r="I380" s="82"/>
      <c r="J380" s="82"/>
      <c r="K380" s="58">
        <f>T484/1000</f>
        <v>80.54414858879997</v>
      </c>
      <c r="L380" s="83"/>
      <c r="M380" s="6" t="s">
        <v>787</v>
      </c>
      <c r="N380" s="6" t="s">
        <v>652</v>
      </c>
      <c r="O380" s="6"/>
    </row>
    <row r="381" spans="2:38" x14ac:dyDescent="0.25">
      <c r="B381" s="82"/>
      <c r="C381" s="80"/>
      <c r="D381" s="80"/>
      <c r="E381" s="80"/>
      <c r="F381" s="16" t="s">
        <v>634</v>
      </c>
      <c r="G381" s="80"/>
      <c r="H381" s="80"/>
      <c r="I381" s="82"/>
      <c r="J381" s="82"/>
      <c r="K381" s="65">
        <f>T485*2310/1000</f>
        <v>5963.3648474399988</v>
      </c>
      <c r="L381" s="83"/>
      <c r="M381" s="6" t="s">
        <v>769</v>
      </c>
      <c r="N381" s="6" t="s">
        <v>693</v>
      </c>
      <c r="O381" s="13"/>
      <c r="Q381" s="68">
        <f>K381*1000/2310</f>
        <v>2581.5432239999996</v>
      </c>
      <c r="R381" t="s">
        <v>239</v>
      </c>
    </row>
    <row r="382" spans="2:38" x14ac:dyDescent="0.25">
      <c r="B382" s="82"/>
      <c r="C382" s="80"/>
      <c r="D382" s="80"/>
      <c r="E382" s="80"/>
      <c r="F382" s="16" t="s">
        <v>224</v>
      </c>
      <c r="G382" s="80"/>
      <c r="H382" s="80"/>
      <c r="I382" s="82"/>
      <c r="J382" s="82"/>
      <c r="K382" s="65">
        <f>(9.3*Q382+0.7/76.2*AJ382+AK382+AL382)/1000</f>
        <v>131.7086231223935</v>
      </c>
      <c r="L382" s="83"/>
      <c r="M382" s="8" t="s">
        <v>770</v>
      </c>
      <c r="N382" s="48" t="s">
        <v>283</v>
      </c>
      <c r="O382" s="22" t="s">
        <v>284</v>
      </c>
      <c r="P382" s="8"/>
      <c r="Q382" s="23">
        <f>J511+J512+J513+J514</f>
        <v>13420.283040000002</v>
      </c>
      <c r="R382" s="8" t="s">
        <v>63</v>
      </c>
      <c r="S382" s="25">
        <f>1184*0.3048/(3200*(0.3048^2))</f>
        <v>1.2139107611548556</v>
      </c>
      <c r="T382" s="32" t="s">
        <v>241</v>
      </c>
      <c r="U382" s="8"/>
      <c r="V382" s="8">
        <f>77/(3200*(0.3048^2))/0.70297</f>
        <v>0.36844615616893706</v>
      </c>
      <c r="W382" s="8" t="s">
        <v>242</v>
      </c>
      <c r="X382" s="8"/>
      <c r="Y382" s="8"/>
      <c r="Z382" s="8"/>
      <c r="AA382" s="8">
        <f>(68/400)*5/68/(0.3048^2)</f>
        <v>0.13454888020887154</v>
      </c>
      <c r="AB382" s="8" t="s">
        <v>243</v>
      </c>
      <c r="AC382" s="8"/>
      <c r="AD382" s="8"/>
      <c r="AE382" s="8" t="s">
        <v>244</v>
      </c>
      <c r="AF382" s="8"/>
      <c r="AG382" s="8"/>
      <c r="AH382" s="8"/>
      <c r="AI382" s="8"/>
      <c r="AJ382" s="65">
        <f>Q382*S382</f>
        <v>16291.026000000002</v>
      </c>
      <c r="AK382" s="65">
        <f>V382*Q382</f>
        <v>4944.651700787178</v>
      </c>
      <c r="AL382" s="65">
        <f>AA382*Q382</f>
        <v>1805.6840551181106</v>
      </c>
    </row>
    <row r="383" spans="2:38" x14ac:dyDescent="0.25">
      <c r="B383" s="82"/>
      <c r="C383" s="80"/>
      <c r="D383" s="80"/>
      <c r="E383" s="80"/>
      <c r="F383" s="16" t="s">
        <v>632</v>
      </c>
      <c r="G383" s="80"/>
      <c r="H383" s="80"/>
      <c r="I383" s="82"/>
      <c r="J383" s="82"/>
      <c r="K383" s="78">
        <f>(T383+AE383)/1000</f>
        <v>24.747542846277739</v>
      </c>
      <c r="L383" s="83"/>
      <c r="M383" t="s">
        <v>736</v>
      </c>
      <c r="N383" s="48" t="s">
        <v>286</v>
      </c>
      <c r="O383" s="22" t="s">
        <v>287</v>
      </c>
      <c r="P383" s="8"/>
      <c r="Q383" s="8">
        <f>Q382/(8*0.3048)</f>
        <v>5503.7250000000004</v>
      </c>
      <c r="R383" s="8" t="s">
        <v>248</v>
      </c>
      <c r="S383" s="8" t="s">
        <v>245</v>
      </c>
      <c r="T383" s="23">
        <f>Q383*2*(0.3/2.2/0.3048)</f>
        <v>4924.592877594846</v>
      </c>
      <c r="U383" s="8" t="s">
        <v>247</v>
      </c>
      <c r="V383" s="8"/>
      <c r="W383" s="8" t="s">
        <v>246</v>
      </c>
      <c r="X383" s="8"/>
      <c r="Y383" s="8">
        <f>Q383/(16/12*0.3048)+1</f>
        <v>13543.630413385828</v>
      </c>
      <c r="Z383" s="8"/>
      <c r="AA383" s="8">
        <f>3.22/2.2</f>
        <v>1.4636363636363636</v>
      </c>
      <c r="AB383" s="8" t="s">
        <v>128</v>
      </c>
      <c r="AC383" s="8"/>
      <c r="AD383" s="8" t="s">
        <v>249</v>
      </c>
      <c r="AE383" s="8">
        <f>Y383*AA383</f>
        <v>19822.949968682893</v>
      </c>
      <c r="AF383" s="8"/>
      <c r="AG383" s="8"/>
      <c r="AH383" s="8"/>
      <c r="AI383" s="8"/>
      <c r="AJ383" s="67"/>
      <c r="AK383" s="67"/>
      <c r="AL383" s="65"/>
    </row>
    <row r="384" spans="2:38" x14ac:dyDescent="0.25">
      <c r="B384" s="82"/>
      <c r="C384" s="80"/>
      <c r="D384" s="80"/>
      <c r="E384" s="80"/>
      <c r="F384" s="16" t="s">
        <v>227</v>
      </c>
      <c r="G384" s="80"/>
      <c r="H384" s="80"/>
      <c r="I384" s="82"/>
      <c r="J384" s="82"/>
      <c r="K384" s="65">
        <f>(AJ384+AK384+AL384)/1000</f>
        <v>37.151521567776008</v>
      </c>
      <c r="L384" s="83"/>
      <c r="M384" s="8" t="s">
        <v>771</v>
      </c>
      <c r="N384" s="48" t="s">
        <v>285</v>
      </c>
      <c r="O384" s="8" t="s">
        <v>133</v>
      </c>
      <c r="P384" s="8"/>
      <c r="Q384" s="18">
        <f>J509+J510</f>
        <v>1609.5451680000001</v>
      </c>
      <c r="R384" s="7" t="s">
        <v>63</v>
      </c>
      <c r="S384" s="8">
        <v>4.07</v>
      </c>
      <c r="T384" s="8" t="s">
        <v>130</v>
      </c>
      <c r="U384" s="7"/>
      <c r="V384" s="8">
        <v>18.8</v>
      </c>
      <c r="W384" s="8" t="s">
        <v>132</v>
      </c>
      <c r="X384" s="8"/>
      <c r="Y384" s="8"/>
      <c r="Z384" s="8"/>
      <c r="AA384" s="8">
        <v>0.21199999999999999</v>
      </c>
      <c r="AB384" s="8" t="s">
        <v>134</v>
      </c>
      <c r="AC384" s="8"/>
      <c r="AD384" s="8"/>
      <c r="AE384" s="8" t="s">
        <v>296</v>
      </c>
      <c r="AF384" s="8"/>
      <c r="AG384" s="8"/>
      <c r="AJ384" s="65">
        <f>Q384*S384</f>
        <v>6550.8488337600011</v>
      </c>
      <c r="AK384" s="65">
        <f>Q384*V384</f>
        <v>30259.449158400002</v>
      </c>
      <c r="AL384" s="65">
        <f>Q384*AA384</f>
        <v>341.22357561600001</v>
      </c>
    </row>
    <row r="385" spans="2:39" x14ac:dyDescent="0.25">
      <c r="B385" s="82"/>
      <c r="C385" s="80"/>
      <c r="D385" s="80"/>
      <c r="E385" s="80"/>
      <c r="F385" s="16" t="s">
        <v>226</v>
      </c>
      <c r="G385" s="80"/>
      <c r="H385" s="80"/>
      <c r="I385" s="82"/>
      <c r="J385" s="82"/>
      <c r="K385" s="65">
        <f>45*Q385/1000</f>
        <v>513.59123088000001</v>
      </c>
      <c r="L385" s="83"/>
      <c r="M385" t="s">
        <v>772</v>
      </c>
      <c r="N385" s="6" t="s">
        <v>694</v>
      </c>
      <c r="O385" s="13" t="s">
        <v>695</v>
      </c>
      <c r="Q385" s="64">
        <f>J507+J508</f>
        <v>11413.138464000001</v>
      </c>
      <c r="R385" t="s">
        <v>63</v>
      </c>
    </row>
    <row r="386" spans="2:39" x14ac:dyDescent="0.25">
      <c r="B386" s="82"/>
      <c r="C386" s="80"/>
      <c r="D386" s="80"/>
      <c r="E386" s="80"/>
      <c r="F386" s="16" t="s">
        <v>295</v>
      </c>
      <c r="G386" s="80"/>
      <c r="H386" s="80"/>
      <c r="I386" s="82"/>
      <c r="J386" s="82"/>
      <c r="K386" s="65">
        <f>Q386*(S386+V386)/1000</f>
        <v>110.86886381236361</v>
      </c>
      <c r="L386" s="83"/>
      <c r="M386" s="8" t="s">
        <v>773</v>
      </c>
      <c r="N386" s="48" t="s">
        <v>288</v>
      </c>
      <c r="O386" s="8" t="s">
        <v>289</v>
      </c>
      <c r="P386" s="8"/>
      <c r="Q386" s="23">
        <f>J515</f>
        <v>35744.444640000002</v>
      </c>
      <c r="R386" s="8" t="s">
        <v>63</v>
      </c>
      <c r="S386" s="25">
        <f>0.45/2.2/(0.3048^2)</f>
        <v>2.2017089488724428</v>
      </c>
      <c r="T386" s="8" t="s">
        <v>250</v>
      </c>
      <c r="U386" s="8"/>
      <c r="V386" s="8">
        <v>0.9</v>
      </c>
      <c r="W386" s="8" t="s">
        <v>251</v>
      </c>
      <c r="X386" s="8"/>
      <c r="Y386" s="8"/>
      <c r="Z386" s="8"/>
      <c r="AA386" s="8"/>
      <c r="AB386" s="8"/>
      <c r="AC386" s="8"/>
      <c r="AD386" s="8"/>
      <c r="AE386" s="8" t="s">
        <v>297</v>
      </c>
      <c r="AF386" s="8"/>
      <c r="AG386" s="8"/>
      <c r="AH386" s="8"/>
      <c r="AI386" s="8"/>
      <c r="AJ386" s="8">
        <f>V386*Q386</f>
        <v>32170.000176000001</v>
      </c>
      <c r="AK386" s="7"/>
      <c r="AL386" s="8"/>
      <c r="AM386" s="8"/>
    </row>
    <row r="387" spans="2:39" x14ac:dyDescent="0.25">
      <c r="B387" s="82"/>
      <c r="C387" s="80"/>
      <c r="D387" s="80"/>
      <c r="E387" s="80"/>
      <c r="F387" s="16" t="s">
        <v>225</v>
      </c>
      <c r="G387" s="80"/>
      <c r="H387" s="80"/>
      <c r="I387" s="82"/>
      <c r="J387" s="82"/>
      <c r="K387" s="13">
        <f>Q387/1000</f>
        <v>2</v>
      </c>
      <c r="L387" s="83"/>
      <c r="M387" s="8" t="s">
        <v>775</v>
      </c>
      <c r="N387" s="48" t="s">
        <v>774</v>
      </c>
      <c r="O387" s="8" t="s">
        <v>192</v>
      </c>
      <c r="P387" s="8"/>
      <c r="Q387" s="8">
        <f>2000</f>
        <v>2000</v>
      </c>
      <c r="R387" s="8" t="s">
        <v>252</v>
      </c>
      <c r="S387" s="8"/>
      <c r="T387" s="8"/>
      <c r="U387" s="8"/>
      <c r="V387" s="8"/>
      <c r="W387" s="8"/>
      <c r="X387" s="8"/>
      <c r="Y387" s="8"/>
      <c r="Z387" s="8"/>
      <c r="AA387" s="8"/>
      <c r="AB387" s="8"/>
      <c r="AC387" s="8"/>
      <c r="AD387" s="8"/>
      <c r="AE387" s="8"/>
      <c r="AF387" s="8"/>
      <c r="AG387" s="8"/>
      <c r="AH387" s="8"/>
      <c r="AI387" s="8"/>
      <c r="AJ387" s="8"/>
      <c r="AK387" s="8"/>
      <c r="AL387" s="8"/>
    </row>
    <row r="388" spans="2:39" x14ac:dyDescent="0.25">
      <c r="B388" s="82"/>
      <c r="C388" s="80"/>
      <c r="D388" s="80"/>
      <c r="E388" s="80"/>
      <c r="F388" s="16" t="s">
        <v>232</v>
      </c>
      <c r="G388" s="80"/>
      <c r="H388" s="80"/>
      <c r="I388" s="82"/>
      <c r="J388" s="82"/>
      <c r="K388" s="30">
        <f>(AL388+AM388)/1000</f>
        <v>67.546163621639835</v>
      </c>
      <c r="L388" s="83"/>
      <c r="M388" s="8" t="s">
        <v>776</v>
      </c>
      <c r="N388" s="48" t="s">
        <v>290</v>
      </c>
      <c r="O388" s="8" t="s">
        <v>146</v>
      </c>
      <c r="P388" s="8"/>
      <c r="Q388" s="66">
        <f>J526+J527</f>
        <v>25923.24</v>
      </c>
      <c r="R388" s="8" t="s">
        <v>64</v>
      </c>
      <c r="S388" s="8">
        <v>2.5</v>
      </c>
      <c r="T388" s="8" t="s">
        <v>255</v>
      </c>
      <c r="U388" s="8"/>
      <c r="V388" s="8"/>
      <c r="W388" s="8">
        <f>Q388/12/0.3048</f>
        <v>7087.5</v>
      </c>
      <c r="X388" s="8" t="s">
        <v>254</v>
      </c>
      <c r="Y388" s="8"/>
      <c r="Z388" s="8"/>
      <c r="AA388" s="24">
        <f>AE388+AH388</f>
        <v>0.3863229095788126</v>
      </c>
      <c r="AB388" s="8" t="s">
        <v>256</v>
      </c>
      <c r="AC388" s="8"/>
      <c r="AD388" s="8"/>
      <c r="AE388" s="8">
        <f>15.9/100</f>
        <v>0.159</v>
      </c>
      <c r="AF388" s="8" t="s">
        <v>153</v>
      </c>
      <c r="AG388" s="8"/>
      <c r="AH388" s="24">
        <f>(3/8*25.4/1000)^2*PI()/4*(16*25.4/1000)*7850</f>
        <v>0.2273229095788126</v>
      </c>
      <c r="AI388" s="8" t="s">
        <v>154</v>
      </c>
      <c r="AJ388" s="8"/>
      <c r="AK388" s="8" t="s">
        <v>696</v>
      </c>
      <c r="AL388" s="8">
        <f>S388*Q388</f>
        <v>64808.100000000006</v>
      </c>
      <c r="AM388" s="8">
        <f>AA388*W388</f>
        <v>2738.0636216398343</v>
      </c>
    </row>
    <row r="389" spans="2:39" x14ac:dyDescent="0.25">
      <c r="B389" s="82"/>
      <c r="C389" s="80"/>
      <c r="D389" s="80"/>
      <c r="E389" s="80"/>
      <c r="F389" s="16" t="s">
        <v>233</v>
      </c>
      <c r="G389" s="80"/>
      <c r="H389" s="80"/>
      <c r="I389" s="82"/>
      <c r="J389" s="82"/>
      <c r="K389" s="58">
        <f>Q389*S389/1000</f>
        <v>3.4506000000000001</v>
      </c>
      <c r="L389" s="83"/>
      <c r="M389" s="8" t="s">
        <v>751</v>
      </c>
      <c r="N389" s="48" t="s">
        <v>152</v>
      </c>
      <c r="O389" s="22" t="s">
        <v>174</v>
      </c>
      <c r="P389" s="8"/>
      <c r="Q389" s="8">
        <f>(J528+J529)</f>
        <v>3834</v>
      </c>
      <c r="R389" s="8" t="s">
        <v>257</v>
      </c>
      <c r="S389" s="8">
        <v>0.9</v>
      </c>
      <c r="T389" s="8" t="s">
        <v>175</v>
      </c>
      <c r="U389" s="8"/>
      <c r="V389" s="8"/>
      <c r="W389" s="8"/>
      <c r="X389" s="8"/>
      <c r="Y389" s="8"/>
      <c r="Z389" s="8"/>
      <c r="AA389" s="8"/>
      <c r="AB389" s="8"/>
      <c r="AC389" s="8"/>
      <c r="AD389" s="8"/>
      <c r="AE389" s="8"/>
    </row>
    <row r="390" spans="2:39" x14ac:dyDescent="0.25">
      <c r="B390" s="82"/>
      <c r="C390" s="80"/>
      <c r="D390" s="80"/>
      <c r="E390" s="80"/>
      <c r="F390" s="16" t="s">
        <v>228</v>
      </c>
      <c r="G390" s="80"/>
      <c r="H390" s="80"/>
      <c r="I390" s="82"/>
      <c r="J390" s="82"/>
      <c r="K390" s="58">
        <f>Q390*S390/1000</f>
        <v>8.3486000000000011</v>
      </c>
      <c r="L390" s="83"/>
      <c r="M390" t="s">
        <v>742</v>
      </c>
      <c r="N390" s="48" t="s">
        <v>150</v>
      </c>
      <c r="O390" s="8" t="s">
        <v>149</v>
      </c>
      <c r="P390" s="33"/>
      <c r="Q390" s="66">
        <f>J525</f>
        <v>6422</v>
      </c>
      <c r="R390" s="8" t="s">
        <v>257</v>
      </c>
      <c r="S390" s="8">
        <v>1.3</v>
      </c>
      <c r="T390" s="8" t="s">
        <v>139</v>
      </c>
      <c r="U390" s="8"/>
    </row>
    <row r="391" spans="2:39" x14ac:dyDescent="0.25">
      <c r="B391" s="82"/>
      <c r="C391" s="80"/>
      <c r="D391" s="80"/>
      <c r="E391" s="80"/>
      <c r="F391" s="16" t="s">
        <v>697</v>
      </c>
      <c r="G391" s="80"/>
      <c r="H391" s="80"/>
      <c r="I391" s="82"/>
      <c r="J391" s="82"/>
      <c r="K391" s="30">
        <f>(Q391*S391+W391*AA391)/1000</f>
        <v>14.138336487991776</v>
      </c>
      <c r="L391" s="83"/>
      <c r="M391" s="32" t="s">
        <v>777</v>
      </c>
      <c r="N391" s="48" t="s">
        <v>700</v>
      </c>
      <c r="O391" s="8" t="s">
        <v>699</v>
      </c>
      <c r="P391" s="8"/>
      <c r="Q391" s="64">
        <f>J516+J517</f>
        <v>5390.3879999999999</v>
      </c>
      <c r="R391" s="8" t="s">
        <v>701</v>
      </c>
      <c r="S391" s="25">
        <f>1.69*0.454/0.3048</f>
        <v>2.517257217847769</v>
      </c>
      <c r="T391" s="8" t="s">
        <v>562</v>
      </c>
      <c r="U391" s="8"/>
      <c r="V391" s="8"/>
      <c r="W391" s="66">
        <f>Q391/12/0.3048</f>
        <v>1473.75</v>
      </c>
      <c r="X391" s="8" t="s">
        <v>254</v>
      </c>
      <c r="Y391" s="8"/>
      <c r="Z391" s="8"/>
      <c r="AA391" s="24">
        <f>AE391+AH391</f>
        <v>0.3863229095788126</v>
      </c>
      <c r="AB391" s="8" t="s">
        <v>256</v>
      </c>
      <c r="AC391" s="8"/>
      <c r="AD391" s="8"/>
      <c r="AE391" s="8">
        <f>15.9/100</f>
        <v>0.159</v>
      </c>
      <c r="AF391" s="8" t="s">
        <v>153</v>
      </c>
      <c r="AG391" s="8"/>
      <c r="AH391" s="24">
        <f>(3/8*25.4/1000)^2*PI()/4*(16*25.4/1000)*7850</f>
        <v>0.2273229095788126</v>
      </c>
      <c r="AI391" s="8" t="s">
        <v>154</v>
      </c>
      <c r="AJ391" s="8"/>
      <c r="AK391" s="8" t="s">
        <v>696</v>
      </c>
      <c r="AL391">
        <f>S391*Q391</f>
        <v>13568.9931</v>
      </c>
      <c r="AM391" s="8">
        <f>W391*AE391</f>
        <v>234.32625000000002</v>
      </c>
    </row>
    <row r="392" spans="2:39" x14ac:dyDescent="0.25">
      <c r="B392" s="82"/>
      <c r="C392" s="80"/>
      <c r="D392" s="80"/>
      <c r="E392" s="80"/>
      <c r="F392" s="16" t="s">
        <v>234</v>
      </c>
      <c r="G392" s="80"/>
      <c r="H392" s="80"/>
      <c r="I392" s="82"/>
      <c r="J392" s="82"/>
      <c r="K392" s="58">
        <f>Q392*S392/1000</f>
        <v>75.326713862400013</v>
      </c>
      <c r="L392" s="83"/>
      <c r="M392" s="8" t="s">
        <v>778</v>
      </c>
      <c r="N392" s="48" t="s">
        <v>178</v>
      </c>
      <c r="O392" s="8" t="s">
        <v>177</v>
      </c>
      <c r="P392" s="8"/>
      <c r="Q392" s="66">
        <f>J510+J509</f>
        <v>1609.5451680000001</v>
      </c>
      <c r="R392" s="8" t="s">
        <v>63</v>
      </c>
      <c r="S392" s="8">
        <v>46.8</v>
      </c>
      <c r="T392" s="8" t="s">
        <v>131</v>
      </c>
      <c r="U392" s="8"/>
      <c r="V392" s="8"/>
      <c r="W392" s="8"/>
    </row>
    <row r="393" spans="2:39" x14ac:dyDescent="0.25">
      <c r="B393" s="82"/>
      <c r="C393" s="80"/>
      <c r="D393" s="80"/>
      <c r="E393" s="80"/>
      <c r="F393" s="16" t="s">
        <v>230</v>
      </c>
      <c r="G393" s="80"/>
      <c r="H393" s="80"/>
      <c r="I393" s="82"/>
      <c r="J393" s="82"/>
      <c r="K393" s="30">
        <f>(Q393*S393+W393*AA393)/1000</f>
        <v>91.699772727272716</v>
      </c>
      <c r="L393" s="83"/>
      <c r="M393" s="8" t="s">
        <v>779</v>
      </c>
      <c r="N393" s="48" t="s">
        <v>291</v>
      </c>
      <c r="O393" s="8" t="s">
        <v>151</v>
      </c>
      <c r="P393" s="8"/>
      <c r="Q393" s="66">
        <f>J518+J519+J520+J521</f>
        <v>12104.37</v>
      </c>
      <c r="R393" s="8" t="s">
        <v>248</v>
      </c>
      <c r="S393" s="8">
        <f>5/2.2/0.3048</f>
        <v>7.4564543068480065</v>
      </c>
      <c r="T393" s="8" t="s">
        <v>259</v>
      </c>
      <c r="U393" s="8"/>
      <c r="V393" s="8"/>
      <c r="W393" s="66">
        <f>Q393/(5*0.3048)</f>
        <v>7942.5</v>
      </c>
      <c r="X393" s="8" t="s">
        <v>261</v>
      </c>
      <c r="Y393" s="8"/>
      <c r="Z393" s="8"/>
      <c r="AA393" s="24">
        <f>AE393+AH393</f>
        <v>0.18181818181818182</v>
      </c>
      <c r="AB393" s="8" t="s">
        <v>260</v>
      </c>
      <c r="AC393" s="8"/>
      <c r="AD393" s="8"/>
      <c r="AE393" s="8">
        <f>0.4/2.2</f>
        <v>0.18181818181818182</v>
      </c>
      <c r="AF393" s="8" t="s">
        <v>153</v>
      </c>
      <c r="AG393" s="8"/>
      <c r="AH393" s="24">
        <v>0</v>
      </c>
      <c r="AI393" s="8" t="s">
        <v>155</v>
      </c>
      <c r="AJ393" s="8"/>
      <c r="AK393" s="8"/>
      <c r="AL393" s="8">
        <f>S393*Q393</f>
        <v>90255.681818181809</v>
      </c>
      <c r="AM393" s="8"/>
    </row>
    <row r="394" spans="2:39" x14ac:dyDescent="0.25">
      <c r="B394" s="82"/>
      <c r="C394" s="80"/>
      <c r="D394" s="80"/>
      <c r="E394" s="80"/>
      <c r="F394" s="16" t="s">
        <v>229</v>
      </c>
      <c r="G394" s="80"/>
      <c r="H394" s="80"/>
      <c r="I394" s="82"/>
      <c r="J394" s="82"/>
      <c r="K394" s="30">
        <f>Q394*J522/1000</f>
        <v>12.898619999999999</v>
      </c>
      <c r="L394" s="83"/>
      <c r="M394" s="8" t="s">
        <v>781</v>
      </c>
      <c r="N394" s="48" t="s">
        <v>168</v>
      </c>
      <c r="O394" s="22" t="s">
        <v>164</v>
      </c>
      <c r="P394" s="8"/>
      <c r="Q394" s="8">
        <v>3.53</v>
      </c>
      <c r="R394" s="8" t="s">
        <v>166</v>
      </c>
      <c r="S394" s="8">
        <v>0.97</v>
      </c>
      <c r="T394" s="8" t="s">
        <v>167</v>
      </c>
      <c r="U394" s="8">
        <f>0.002*1*1*7800</f>
        <v>15.6</v>
      </c>
      <c r="V394" s="8" t="s">
        <v>165</v>
      </c>
      <c r="W394" s="8"/>
      <c r="X394" s="8"/>
      <c r="Y394" s="8">
        <f>Q394*0.97</f>
        <v>3.4240999999999997</v>
      </c>
      <c r="Z394" s="8">
        <f>Y394/U394</f>
        <v>0.21949358974358973</v>
      </c>
      <c r="AA394" s="8"/>
      <c r="AB394" s="8"/>
      <c r="AC394" s="8">
        <f>S394*K394*1000</f>
        <v>12511.661399999999</v>
      </c>
      <c r="AD394" s="8" t="s">
        <v>282</v>
      </c>
      <c r="AE394" s="8"/>
      <c r="AF394" s="8">
        <f>AC394/U394</f>
        <v>802.02957692307689</v>
      </c>
      <c r="AG394" t="s">
        <v>780</v>
      </c>
    </row>
    <row r="395" spans="2:39" x14ac:dyDescent="0.25">
      <c r="B395" s="82"/>
      <c r="C395" s="80"/>
      <c r="D395" s="80"/>
      <c r="E395" s="80"/>
      <c r="F395" s="16" t="s">
        <v>231</v>
      </c>
      <c r="G395" s="80"/>
      <c r="H395" s="80"/>
      <c r="I395" s="82"/>
      <c r="J395" s="82"/>
      <c r="K395" s="30">
        <f>(Q395+S395)*(J523+J524)/1000</f>
        <v>87.084000000000003</v>
      </c>
      <c r="L395" s="83"/>
      <c r="M395" s="8" t="s">
        <v>782</v>
      </c>
      <c r="N395" s="48" t="s">
        <v>292</v>
      </c>
      <c r="O395" s="22" t="s">
        <v>293</v>
      </c>
      <c r="P395" s="8"/>
      <c r="Q395" s="8">
        <v>17</v>
      </c>
      <c r="R395" s="8" t="s">
        <v>262</v>
      </c>
      <c r="S395" s="8">
        <v>24</v>
      </c>
      <c r="T395" s="8" t="s">
        <v>298</v>
      </c>
      <c r="U395" s="8"/>
      <c r="V395" s="8">
        <f>K395*1000</f>
        <v>87084</v>
      </c>
    </row>
    <row r="396" spans="2:39" x14ac:dyDescent="0.25">
      <c r="B396" s="82"/>
      <c r="C396" s="80"/>
      <c r="D396" s="80"/>
      <c r="E396" s="80"/>
      <c r="F396" s="16" t="s">
        <v>235</v>
      </c>
      <c r="G396" s="80"/>
      <c r="H396" s="80"/>
      <c r="I396" s="82"/>
      <c r="J396" s="82"/>
      <c r="K396" s="13">
        <f>Q396*J533</f>
        <v>21.6</v>
      </c>
      <c r="L396" s="83"/>
      <c r="M396" s="8" t="s">
        <v>1136</v>
      </c>
      <c r="N396" s="8" t="s">
        <v>1134</v>
      </c>
      <c r="O396" s="22" t="s">
        <v>1135</v>
      </c>
      <c r="P396" s="8"/>
      <c r="Q396" s="8">
        <v>1.35</v>
      </c>
      <c r="R396" s="8" t="s">
        <v>183</v>
      </c>
      <c r="S396" s="8"/>
      <c r="T396" s="8"/>
    </row>
    <row r="397" spans="2:39" x14ac:dyDescent="0.25">
      <c r="B397" s="82"/>
      <c r="C397" s="80"/>
      <c r="D397" s="80"/>
      <c r="E397" s="80"/>
      <c r="F397" s="16" t="s">
        <v>236</v>
      </c>
      <c r="G397" s="80"/>
      <c r="H397" s="80"/>
      <c r="I397" s="82"/>
      <c r="J397" s="82"/>
      <c r="K397" s="30">
        <f>Q397*J533</f>
        <v>28.4512548352</v>
      </c>
      <c r="L397" s="83"/>
      <c r="M397" s="8" t="s">
        <v>783</v>
      </c>
      <c r="N397" s="48" t="s">
        <v>187</v>
      </c>
      <c r="O397" s="8" t="s">
        <v>186</v>
      </c>
      <c r="P397" s="8"/>
      <c r="Q397" s="25">
        <f>(0.85+0.1923+0.6+0.135)+4*R352/1000</f>
        <v>1.7782034272</v>
      </c>
      <c r="R397" s="8" t="s">
        <v>263</v>
      </c>
      <c r="S397" s="8"/>
    </row>
    <row r="398" spans="2:39" x14ac:dyDescent="0.25">
      <c r="B398" s="82"/>
      <c r="C398" s="80"/>
      <c r="D398" s="80"/>
      <c r="E398" s="80"/>
      <c r="F398" s="16" t="s">
        <v>237</v>
      </c>
      <c r="G398" s="80"/>
      <c r="H398" s="80"/>
      <c r="I398" s="82"/>
      <c r="J398" s="82"/>
      <c r="K398" s="30">
        <f>Q398*J535</f>
        <v>46.696233331199998</v>
      </c>
      <c r="L398" s="83"/>
      <c r="M398" s="8" t="s">
        <v>763</v>
      </c>
      <c r="N398" s="8" t="s">
        <v>762</v>
      </c>
      <c r="O398" s="22" t="s">
        <v>189</v>
      </c>
      <c r="P398" s="8"/>
      <c r="Q398" s="25">
        <f>(656.79+4*R364)/1000</f>
        <v>0.65769342720000001</v>
      </c>
      <c r="R398" s="8" t="s">
        <v>264</v>
      </c>
      <c r="S398" s="8"/>
      <c r="T398" s="8"/>
    </row>
    <row r="399" spans="2:39" x14ac:dyDescent="0.25">
      <c r="B399" s="82"/>
      <c r="C399" s="80"/>
      <c r="D399" s="80"/>
      <c r="E399" s="80"/>
      <c r="F399" s="44" t="s">
        <v>638</v>
      </c>
      <c r="G399" s="80"/>
      <c r="H399" s="80"/>
      <c r="I399" s="82"/>
      <c r="J399" s="82"/>
      <c r="K399" s="58">
        <f>Q399*X399/1000</f>
        <v>0.40343212010188806</v>
      </c>
      <c r="L399" s="83"/>
      <c r="M399" t="s">
        <v>740</v>
      </c>
      <c r="N399" s="13"/>
      <c r="O399" s="50" t="s">
        <v>508</v>
      </c>
      <c r="Q399" s="64">
        <f>S399*(J513+J514)</f>
        <v>2763.2336993280005</v>
      </c>
      <c r="R399" t="s">
        <v>63</v>
      </c>
      <c r="S399">
        <f>9*0.3048</f>
        <v>2.7432000000000003</v>
      </c>
      <c r="T399" t="s">
        <v>455</v>
      </c>
      <c r="X399">
        <v>0.14599999999999999</v>
      </c>
      <c r="Y399" t="s">
        <v>131</v>
      </c>
    </row>
    <row r="400" spans="2:39" x14ac:dyDescent="0.25">
      <c r="B400" s="82"/>
      <c r="C400" s="80"/>
      <c r="D400" s="80"/>
      <c r="E400" s="80"/>
      <c r="F400" s="44" t="s">
        <v>639</v>
      </c>
      <c r="G400" s="80"/>
      <c r="H400" s="80"/>
      <c r="I400" s="82"/>
      <c r="J400" s="82"/>
      <c r="K400" s="58">
        <f>Q400*J530/1000</f>
        <v>26.847000000000001</v>
      </c>
      <c r="L400" s="83"/>
      <c r="M400" s="8" t="s">
        <v>751</v>
      </c>
      <c r="N400" s="6" t="s">
        <v>526</v>
      </c>
      <c r="O400" s="50" t="s">
        <v>525</v>
      </c>
      <c r="Q400">
        <f>(314+157)</f>
        <v>471</v>
      </c>
      <c r="R400" s="8" t="s">
        <v>707</v>
      </c>
    </row>
    <row r="401" spans="2:31" x14ac:dyDescent="0.25">
      <c r="B401" s="82"/>
      <c r="C401" s="80"/>
      <c r="D401" s="80"/>
      <c r="E401" s="80"/>
      <c r="F401" s="44" t="s">
        <v>784</v>
      </c>
      <c r="G401" s="80"/>
      <c r="H401" s="80"/>
      <c r="I401" s="82"/>
      <c r="J401" s="82"/>
      <c r="K401" s="58">
        <f>Q401*J531/1000</f>
        <v>5.7</v>
      </c>
      <c r="L401" s="83"/>
      <c r="M401" s="6" t="s">
        <v>759</v>
      </c>
      <c r="N401" s="6" t="s">
        <v>523</v>
      </c>
      <c r="O401" s="13" t="s">
        <v>524</v>
      </c>
      <c r="Q401">
        <v>300</v>
      </c>
      <c r="R401" t="s">
        <v>139</v>
      </c>
    </row>
    <row r="402" spans="2:31" x14ac:dyDescent="0.25">
      <c r="B402" s="82"/>
      <c r="C402" s="80"/>
      <c r="D402" s="80"/>
      <c r="E402" s="80"/>
      <c r="F402" s="44" t="s">
        <v>641</v>
      </c>
      <c r="G402" s="80"/>
      <c r="H402" s="80"/>
      <c r="I402" s="82"/>
      <c r="J402" s="82"/>
      <c r="K402" s="58">
        <f>Q402*J536/1000</f>
        <v>1.87</v>
      </c>
      <c r="L402" s="83"/>
      <c r="M402" s="6" t="s">
        <v>759</v>
      </c>
      <c r="N402" s="6" t="s">
        <v>523</v>
      </c>
      <c r="O402" s="6" t="s">
        <v>520</v>
      </c>
      <c r="Q402">
        <v>110</v>
      </c>
      <c r="R402" t="s">
        <v>139</v>
      </c>
      <c r="S402" t="s">
        <v>521</v>
      </c>
    </row>
    <row r="403" spans="2:31" x14ac:dyDescent="0.25">
      <c r="B403" s="82"/>
      <c r="C403" s="80"/>
      <c r="D403" s="80"/>
      <c r="E403" s="80"/>
      <c r="F403" s="44" t="s">
        <v>642</v>
      </c>
      <c r="G403" s="80"/>
      <c r="H403" s="80"/>
      <c r="I403" s="82"/>
      <c r="J403" s="82"/>
      <c r="K403" s="65">
        <f>Q403*S403/1000</f>
        <v>343.7214331478537</v>
      </c>
      <c r="L403" s="83"/>
      <c r="M403" s="6" t="s">
        <v>752</v>
      </c>
      <c r="N403" s="8" t="s">
        <v>530</v>
      </c>
      <c r="O403" s="8" t="s">
        <v>528</v>
      </c>
      <c r="Q403" s="64">
        <f>(30*5*0.3048)^2*19-Q384</f>
        <v>38106.504432000002</v>
      </c>
      <c r="R403" t="s">
        <v>63</v>
      </c>
      <c r="S403" s="60">
        <f>(34.83*0.454)/(18.87*(0.3048^2))</f>
        <v>9.0200200273214524</v>
      </c>
      <c r="T403" t="s">
        <v>131</v>
      </c>
    </row>
    <row r="404" spans="2:31" x14ac:dyDescent="0.25">
      <c r="B404" s="82"/>
      <c r="C404" s="80"/>
      <c r="D404" s="80"/>
      <c r="E404" s="80"/>
      <c r="F404" s="44" t="s">
        <v>708</v>
      </c>
      <c r="G404" s="80"/>
      <c r="H404" s="80"/>
      <c r="I404" s="82"/>
      <c r="J404" s="82"/>
      <c r="K404" s="65">
        <f>T404*2310/1000+W404/1000</f>
        <v>1087.657238448</v>
      </c>
      <c r="L404" s="83"/>
      <c r="M404" s="8" t="s">
        <v>785</v>
      </c>
      <c r="N404" s="8" t="s">
        <v>709</v>
      </c>
      <c r="O404" s="8"/>
      <c r="P404" s="8"/>
      <c r="Q404" s="23">
        <f>((30*5*0.3048)^2*0.2+0.2*4*(30*5*0.3048)*1)</f>
        <v>454.63968000000006</v>
      </c>
      <c r="R404" s="8" t="s">
        <v>240</v>
      </c>
      <c r="S404" s="8"/>
      <c r="T404" s="25">
        <f>Q404*0.985</f>
        <v>447.82008480000007</v>
      </c>
      <c r="U404" s="8" t="s">
        <v>281</v>
      </c>
      <c r="V404" s="8"/>
      <c r="W404" s="8">
        <f>Q404*0.015*7800</f>
        <v>53192.842560000005</v>
      </c>
      <c r="X404" s="8" t="s">
        <v>282</v>
      </c>
      <c r="Y404" s="8"/>
      <c r="Z404" s="8"/>
      <c r="AA404" s="8"/>
    </row>
    <row r="405" spans="2:31" x14ac:dyDescent="0.25">
      <c r="B405" s="82"/>
      <c r="C405" s="80"/>
      <c r="D405" s="80"/>
      <c r="E405" s="80"/>
      <c r="F405" s="44" t="s">
        <v>294</v>
      </c>
      <c r="G405" s="80"/>
      <c r="H405" s="80"/>
      <c r="I405" s="82"/>
      <c r="J405" s="82"/>
      <c r="K405" s="20">
        <v>0</v>
      </c>
      <c r="L405" s="83"/>
      <c r="M405" s="8" t="s">
        <v>786</v>
      </c>
      <c r="N405" s="8" t="s">
        <v>710</v>
      </c>
      <c r="O405" s="8" t="s">
        <v>114</v>
      </c>
      <c r="P405" s="8"/>
      <c r="Q405" s="23">
        <f>Q381+T404</f>
        <v>3029.3633087999997</v>
      </c>
      <c r="R405" s="8" t="s">
        <v>265</v>
      </c>
    </row>
    <row r="406" spans="2:31" x14ac:dyDescent="0.25">
      <c r="B406" s="82"/>
      <c r="C406" s="80"/>
      <c r="D406" s="80"/>
      <c r="E406" s="80"/>
      <c r="F406" s="85" t="s">
        <v>108</v>
      </c>
      <c r="G406" s="80"/>
      <c r="H406" s="80"/>
      <c r="I406" s="82"/>
      <c r="J406" s="82"/>
      <c r="K406" s="69">
        <f>SUM(K374:K404)*30</f>
        <v>326770.89299925807</v>
      </c>
      <c r="L406" s="83"/>
      <c r="M406" t="s">
        <v>727</v>
      </c>
      <c r="N406" s="8" t="s">
        <v>711</v>
      </c>
      <c r="O406" s="8"/>
      <c r="P406" s="8"/>
      <c r="Q406" s="8"/>
      <c r="R406" s="8"/>
      <c r="S406" s="8"/>
      <c r="T406" s="8"/>
      <c r="U406" s="8"/>
      <c r="V406" s="8"/>
      <c r="W406" s="8"/>
      <c r="X406" s="8"/>
    </row>
    <row r="407" spans="2:31" x14ac:dyDescent="0.25">
      <c r="B407" s="82"/>
      <c r="C407" s="80"/>
      <c r="D407" s="80"/>
      <c r="E407" s="80"/>
      <c r="F407" s="85"/>
      <c r="G407" s="80"/>
      <c r="H407" s="80"/>
      <c r="I407" s="82"/>
      <c r="J407" s="82"/>
      <c r="K407" s="69">
        <f>(K374+K391)*1700*0+(K385)*1200*0+(K381*0.996+K404*0.99)*20+(K382+K384+K386+K387+K390+K392+K393+K394+K395+K396+K397+K398+K399+K401+K402+K403)*100</f>
        <v>240878.74793493134</v>
      </c>
      <c r="L407" s="83"/>
      <c r="M407" t="s">
        <v>727</v>
      </c>
      <c r="N407" s="8" t="s">
        <v>713</v>
      </c>
      <c r="O407" s="8"/>
      <c r="P407" s="8"/>
      <c r="Q407" s="8"/>
      <c r="R407" s="8"/>
      <c r="S407" s="8"/>
      <c r="T407" s="8"/>
      <c r="U407" s="8"/>
      <c r="V407" s="8"/>
      <c r="W407" s="8"/>
      <c r="X407" s="8"/>
    </row>
    <row r="408" spans="2:31" x14ac:dyDescent="0.25">
      <c r="B408" s="82"/>
      <c r="C408" s="80"/>
      <c r="D408" s="80"/>
      <c r="E408" s="80"/>
      <c r="F408" s="85"/>
      <c r="G408" s="80"/>
      <c r="H408" s="80"/>
      <c r="I408" s="82"/>
      <c r="J408" s="82"/>
      <c r="K408" s="69">
        <f>(K375+K376+K377+K378+K383+K400)*2200+(K379+K380+K388+K389)*1500</f>
        <v>1759715.6336686709</v>
      </c>
      <c r="L408" s="83"/>
      <c r="M408" t="s">
        <v>714</v>
      </c>
      <c r="N408" s="8" t="s">
        <v>712</v>
      </c>
      <c r="O408" s="8"/>
      <c r="P408" s="8"/>
      <c r="Q408" s="8"/>
      <c r="R408" s="8"/>
      <c r="S408" s="8"/>
      <c r="T408" s="8"/>
      <c r="U408" s="8"/>
      <c r="V408" s="8"/>
      <c r="W408" s="8"/>
      <c r="X408" s="8"/>
    </row>
    <row r="409" spans="2:31" x14ac:dyDescent="0.25">
      <c r="B409" s="82"/>
      <c r="C409" s="80"/>
      <c r="D409" s="80"/>
      <c r="E409" s="80"/>
      <c r="F409" s="85"/>
      <c r="G409" s="80"/>
      <c r="H409" s="80"/>
      <c r="I409" s="82"/>
      <c r="J409" s="82"/>
      <c r="K409" s="69">
        <f>K403+K402+K401+K399+K392+K386+K385+K384+K382+(K381-Q381*0.004)+(K404-W404/1000)</f>
        <v>8207.8448889448882</v>
      </c>
      <c r="L409" s="83"/>
      <c r="M409" t="s">
        <v>728</v>
      </c>
      <c r="N409" s="8" t="s">
        <v>266</v>
      </c>
      <c r="O409" s="8"/>
      <c r="P409" s="29"/>
      <c r="Q409" s="8"/>
      <c r="R409" s="8"/>
      <c r="S409" s="8"/>
      <c r="T409" s="8"/>
      <c r="U409" s="8"/>
      <c r="V409" s="8"/>
      <c r="W409" s="8"/>
      <c r="X409" s="8"/>
    </row>
    <row r="410" spans="2:31" x14ac:dyDescent="0.25">
      <c r="B410" s="82"/>
      <c r="C410" s="80"/>
      <c r="D410" s="80"/>
      <c r="E410" s="80"/>
      <c r="F410" s="85" t="s">
        <v>258</v>
      </c>
      <c r="G410" s="80"/>
      <c r="H410" s="80"/>
      <c r="I410" s="82"/>
      <c r="J410" s="82"/>
      <c r="K410" s="20">
        <f>Q410/1000</f>
        <v>4600.9978743502152</v>
      </c>
      <c r="L410" s="83"/>
      <c r="M410" s="8" t="s">
        <v>276</v>
      </c>
      <c r="N410" s="48" t="s">
        <v>280</v>
      </c>
      <c r="O410" s="8" t="s">
        <v>267</v>
      </c>
      <c r="P410" s="8"/>
      <c r="Q410" s="23">
        <f>780*V410*1000</f>
        <v>4600997.8743502153</v>
      </c>
      <c r="R410" s="8" t="s">
        <v>268</v>
      </c>
      <c r="S410" s="8"/>
      <c r="T410" s="8"/>
      <c r="U410" s="7"/>
      <c r="V410" s="25">
        <f>(30*5*0.3048)^2*19/6733</f>
        <v>5.898715223525917</v>
      </c>
      <c r="W410" s="8" t="s">
        <v>270</v>
      </c>
      <c r="X410" s="8"/>
      <c r="Y410" s="7"/>
      <c r="Z410" s="7"/>
      <c r="AA410" s="8"/>
      <c r="AB410" s="8"/>
      <c r="AC410" s="8"/>
      <c r="AD410" s="7"/>
      <c r="AE410" s="7"/>
    </row>
    <row r="411" spans="2:31" x14ac:dyDescent="0.25">
      <c r="B411" s="82"/>
      <c r="C411" s="80"/>
      <c r="D411" s="80"/>
      <c r="E411" s="80"/>
      <c r="F411" s="85"/>
      <c r="G411" s="80"/>
      <c r="H411" s="80"/>
      <c r="I411" s="82"/>
      <c r="J411" s="82"/>
      <c r="K411" s="20">
        <v>0</v>
      </c>
      <c r="L411" s="83"/>
      <c r="M411" s="8" t="s">
        <v>277</v>
      </c>
      <c r="N411" s="48" t="s">
        <v>278</v>
      </c>
      <c r="O411" s="8" t="s">
        <v>267</v>
      </c>
      <c r="P411" s="8"/>
      <c r="Q411" s="23">
        <f>21200*V410</f>
        <v>125052.76273874944</v>
      </c>
      <c r="R411" s="8" t="s">
        <v>269</v>
      </c>
      <c r="S411" s="8"/>
      <c r="T411" s="8"/>
      <c r="U411" s="8"/>
      <c r="V411" s="8"/>
      <c r="W411" s="8"/>
      <c r="X411" s="8"/>
      <c r="Y411" s="8"/>
      <c r="Z411" s="8"/>
      <c r="AA411" s="8"/>
      <c r="AB411" s="8"/>
      <c r="AC411" s="8"/>
      <c r="AD411" s="8"/>
      <c r="AE411" s="8"/>
    </row>
    <row r="412" spans="2:31" x14ac:dyDescent="0.25">
      <c r="B412" s="82"/>
      <c r="C412" s="80"/>
      <c r="D412" s="80"/>
      <c r="E412" s="80"/>
      <c r="F412" s="85"/>
      <c r="G412" s="80"/>
      <c r="H412" s="80"/>
      <c r="I412" s="82"/>
      <c r="J412" s="82"/>
      <c r="K412" s="20">
        <v>0</v>
      </c>
      <c r="L412" s="83"/>
      <c r="M412" s="8" t="s">
        <v>271</v>
      </c>
      <c r="N412" s="48" t="s">
        <v>279</v>
      </c>
      <c r="O412" s="22" t="s">
        <v>267</v>
      </c>
      <c r="P412" s="8"/>
      <c r="Q412" s="25">
        <f>V412*Z412/AD412</f>
        <v>29161.584489487956</v>
      </c>
      <c r="R412" s="8" t="s">
        <v>273</v>
      </c>
      <c r="S412" s="8"/>
      <c r="T412" s="8"/>
      <c r="U412" s="8"/>
      <c r="V412" s="66">
        <f>V410*29400</f>
        <v>173422.22757166196</v>
      </c>
      <c r="W412" s="8" t="s">
        <v>272</v>
      </c>
      <c r="X412" s="8"/>
      <c r="Y412" s="8"/>
      <c r="Z412" s="8">
        <v>0.85</v>
      </c>
      <c r="AA412" s="8" t="s">
        <v>274</v>
      </c>
      <c r="AB412" s="8"/>
      <c r="AC412" s="8"/>
      <c r="AD412" s="8">
        <v>5.0548999999999999</v>
      </c>
      <c r="AE412" s="8" t="s">
        <v>275</v>
      </c>
    </row>
    <row r="413" spans="2:31" x14ac:dyDescent="0.25">
      <c r="B413" s="21" t="s">
        <v>719</v>
      </c>
      <c r="C413" s="11"/>
      <c r="D413" s="42"/>
      <c r="E413" s="42"/>
      <c r="F413" s="43"/>
      <c r="G413" s="42"/>
      <c r="H413" s="42"/>
      <c r="I413" s="21"/>
      <c r="J413" s="21"/>
      <c r="K413" s="21"/>
      <c r="L413" s="42"/>
      <c r="M413" s="21"/>
      <c r="N413" s="21"/>
      <c r="O413" s="21"/>
    </row>
    <row r="414" spans="2:31" x14ac:dyDescent="0.25">
      <c r="B414" s="82" t="s">
        <v>57</v>
      </c>
      <c r="C414" s="80">
        <v>1</v>
      </c>
      <c r="D414" s="80" t="s">
        <v>80</v>
      </c>
      <c r="E414" s="82" t="s">
        <v>59</v>
      </c>
      <c r="F414" s="16" t="s">
        <v>628</v>
      </c>
      <c r="G414" s="80">
        <v>1</v>
      </c>
      <c r="H414" s="80" t="s">
        <v>62</v>
      </c>
      <c r="I414" s="82" t="s">
        <v>110</v>
      </c>
      <c r="J414" s="82">
        <v>1</v>
      </c>
      <c r="K414" s="65">
        <f>T481/1000</f>
        <v>1349.1962246400001</v>
      </c>
      <c r="L414" s="80" t="s">
        <v>717</v>
      </c>
      <c r="M414" s="6" t="s">
        <v>730</v>
      </c>
      <c r="N414" s="6" t="s">
        <v>651</v>
      </c>
      <c r="O414" s="13" t="s">
        <v>643</v>
      </c>
    </row>
    <row r="415" spans="2:31" x14ac:dyDescent="0.25">
      <c r="B415" s="82"/>
      <c r="C415" s="80"/>
      <c r="D415" s="80"/>
      <c r="E415" s="82"/>
      <c r="F415" s="44" t="s">
        <v>637</v>
      </c>
      <c r="G415" s="80"/>
      <c r="H415" s="80"/>
      <c r="I415" s="82"/>
      <c r="J415" s="82"/>
      <c r="K415" s="65">
        <f>Q415/1000</f>
        <v>12.8</v>
      </c>
      <c r="L415" s="80"/>
      <c r="M415" s="8" t="s">
        <v>729</v>
      </c>
      <c r="N415" s="6"/>
      <c r="O415" s="13" t="s">
        <v>643</v>
      </c>
      <c r="Q415">
        <v>12800</v>
      </c>
      <c r="R415" t="s">
        <v>706</v>
      </c>
    </row>
    <row r="416" spans="2:31" x14ac:dyDescent="0.25">
      <c r="B416" s="82"/>
      <c r="C416" s="80"/>
      <c r="D416" s="80"/>
      <c r="E416" s="82"/>
      <c r="F416" s="44" t="s">
        <v>635</v>
      </c>
      <c r="G416" s="80"/>
      <c r="H416" s="80"/>
      <c r="I416" s="82"/>
      <c r="J416" s="82"/>
      <c r="K416" s="65">
        <f>Q416*J537/1000</f>
        <v>4.8538464000000001</v>
      </c>
      <c r="L416" s="80"/>
      <c r="M416" s="8" t="s">
        <v>725</v>
      </c>
      <c r="N416" s="6" t="s">
        <v>703</v>
      </c>
      <c r="O416" s="13" t="s">
        <v>643</v>
      </c>
      <c r="Q416" s="60">
        <f>Z416*0.01*7800</f>
        <v>6.3866399999999999</v>
      </c>
      <c r="R416" t="s">
        <v>702</v>
      </c>
      <c r="U416">
        <v>89</v>
      </c>
      <c r="V416" t="s">
        <v>549</v>
      </c>
      <c r="W416">
        <v>230</v>
      </c>
      <c r="X416" t="s">
        <v>550</v>
      </c>
      <c r="Z416">
        <f>(U416+U416)*W416/(1000^2)*2</f>
        <v>8.1879999999999994E-2</v>
      </c>
      <c r="AA416" t="s">
        <v>63</v>
      </c>
    </row>
    <row r="417" spans="2:42" x14ac:dyDescent="0.25">
      <c r="B417" s="82"/>
      <c r="C417" s="80"/>
      <c r="D417" s="80"/>
      <c r="E417" s="82"/>
      <c r="F417" s="44" t="s">
        <v>636</v>
      </c>
      <c r="G417" s="80"/>
      <c r="H417" s="80"/>
      <c r="I417" s="82"/>
      <c r="J417" s="82"/>
      <c r="K417" s="65">
        <f>Q417*J538/1000</f>
        <v>2.2464000000000004</v>
      </c>
      <c r="L417" s="80"/>
      <c r="M417" s="8" t="s">
        <v>729</v>
      </c>
      <c r="N417" s="6" t="s">
        <v>704</v>
      </c>
      <c r="O417" s="13" t="s">
        <v>643</v>
      </c>
      <c r="Q417">
        <f>(Y417/1000)^2*U417/1000*7800</f>
        <v>62.400000000000013</v>
      </c>
      <c r="R417" t="s">
        <v>705</v>
      </c>
      <c r="U417">
        <v>50</v>
      </c>
      <c r="V417" t="s">
        <v>556</v>
      </c>
      <c r="Y417">
        <v>400</v>
      </c>
      <c r="Z417" t="s">
        <v>557</v>
      </c>
    </row>
    <row r="418" spans="2:42" x14ac:dyDescent="0.25">
      <c r="B418" s="82"/>
      <c r="C418" s="80"/>
      <c r="D418" s="80"/>
      <c r="E418" s="82"/>
      <c r="F418" s="16" t="s">
        <v>633</v>
      </c>
      <c r="G418" s="80"/>
      <c r="H418" s="80"/>
      <c r="I418" s="82"/>
      <c r="J418" s="82"/>
      <c r="K418" s="58">
        <f>T483/1000</f>
        <v>387.62864409600007</v>
      </c>
      <c r="L418" s="80"/>
      <c r="M418" s="8" t="s">
        <v>767</v>
      </c>
      <c r="N418" s="6" t="s">
        <v>648</v>
      </c>
      <c r="O418" s="6" t="s">
        <v>647</v>
      </c>
    </row>
    <row r="419" spans="2:42" x14ac:dyDescent="0.25">
      <c r="B419" s="82"/>
      <c r="C419" s="80"/>
      <c r="D419" s="80"/>
      <c r="E419" s="82"/>
      <c r="F419" s="16" t="s">
        <v>650</v>
      </c>
      <c r="G419" s="80"/>
      <c r="H419" s="80"/>
      <c r="I419" s="82"/>
      <c r="J419" s="82"/>
      <c r="K419" s="58">
        <f>T482/1000</f>
        <v>348.22180800000001</v>
      </c>
      <c r="L419" s="80"/>
      <c r="M419" s="6" t="s">
        <v>768</v>
      </c>
      <c r="N419" s="6" t="s">
        <v>649</v>
      </c>
      <c r="O419" s="6" t="s">
        <v>647</v>
      </c>
    </row>
    <row r="420" spans="2:42" x14ac:dyDescent="0.25">
      <c r="B420" s="82"/>
      <c r="C420" s="80"/>
      <c r="D420" s="80"/>
      <c r="E420" s="82"/>
      <c r="F420" s="16" t="s">
        <v>630</v>
      </c>
      <c r="G420" s="80"/>
      <c r="H420" s="80"/>
      <c r="I420" s="82"/>
      <c r="J420" s="82"/>
      <c r="K420" s="58">
        <f>T484/1000</f>
        <v>80.54414858879997</v>
      </c>
      <c r="L420" s="80"/>
      <c r="M420" s="6" t="s">
        <v>787</v>
      </c>
      <c r="N420" s="6" t="s">
        <v>652</v>
      </c>
      <c r="O420" s="6"/>
    </row>
    <row r="421" spans="2:42" x14ac:dyDescent="0.25">
      <c r="B421" s="82"/>
      <c r="C421" s="80"/>
      <c r="D421" s="80"/>
      <c r="E421" s="82"/>
      <c r="F421" s="16" t="s">
        <v>634</v>
      </c>
      <c r="G421" s="80"/>
      <c r="H421" s="80"/>
      <c r="I421" s="82"/>
      <c r="J421" s="82"/>
      <c r="K421" s="65">
        <f>T485*2310/1000</f>
        <v>5963.3648474399988</v>
      </c>
      <c r="L421" s="80"/>
      <c r="M421" s="6" t="s">
        <v>769</v>
      </c>
      <c r="N421" s="6" t="s">
        <v>693</v>
      </c>
      <c r="O421" s="13"/>
      <c r="Q421" s="68">
        <f>K421*1000/2310</f>
        <v>2581.5432239999996</v>
      </c>
      <c r="R421" t="s">
        <v>239</v>
      </c>
    </row>
    <row r="422" spans="2:42" x14ac:dyDescent="0.25">
      <c r="B422" s="82"/>
      <c r="C422" s="80"/>
      <c r="D422" s="80"/>
      <c r="E422" s="82"/>
      <c r="F422" s="16" t="s">
        <v>224</v>
      </c>
      <c r="G422" s="80"/>
      <c r="H422" s="80"/>
      <c r="I422" s="82"/>
      <c r="J422" s="82"/>
      <c r="K422" s="65">
        <f>(9.3*Q422+0.7/76.2*AJ422+AK422+AL422)/1000</f>
        <v>131.7086231223935</v>
      </c>
      <c r="L422" s="80"/>
      <c r="M422" s="8" t="s">
        <v>770</v>
      </c>
      <c r="N422" s="48" t="s">
        <v>283</v>
      </c>
      <c r="O422" s="22" t="s">
        <v>284</v>
      </c>
      <c r="P422" s="8"/>
      <c r="Q422" s="23">
        <f>J511+J512+J513+J514</f>
        <v>13420.283040000002</v>
      </c>
      <c r="R422" s="8" t="s">
        <v>63</v>
      </c>
      <c r="S422" s="25">
        <f>1184*0.3048/(3200*(0.3048^2))</f>
        <v>1.2139107611548556</v>
      </c>
      <c r="T422" s="32" t="s">
        <v>241</v>
      </c>
      <c r="U422" s="8"/>
      <c r="V422" s="8">
        <f>77/(3200*(0.3048^2))/0.70297</f>
        <v>0.36844615616893706</v>
      </c>
      <c r="W422" s="8" t="s">
        <v>242</v>
      </c>
      <c r="X422" s="8"/>
      <c r="Y422" s="8"/>
      <c r="Z422" s="8"/>
      <c r="AA422" s="8">
        <f>(68/400)*5/68/(0.3048^2)</f>
        <v>0.13454888020887154</v>
      </c>
      <c r="AB422" s="8" t="s">
        <v>243</v>
      </c>
      <c r="AC422" s="8"/>
      <c r="AD422" s="8"/>
      <c r="AE422" s="8" t="s">
        <v>244</v>
      </c>
      <c r="AF422" s="8"/>
      <c r="AG422" s="8"/>
      <c r="AH422" s="8"/>
      <c r="AI422" s="8"/>
      <c r="AJ422" s="65">
        <f>Q422*S422</f>
        <v>16291.026000000002</v>
      </c>
      <c r="AK422" s="65">
        <f>V422*Q422</f>
        <v>4944.651700787178</v>
      </c>
      <c r="AL422" s="65">
        <f>AA422*Q422</f>
        <v>1805.6840551181106</v>
      </c>
    </row>
    <row r="423" spans="2:42" x14ac:dyDescent="0.25">
      <c r="B423" s="82"/>
      <c r="C423" s="80"/>
      <c r="D423" s="80"/>
      <c r="E423" s="82"/>
      <c r="F423" s="16" t="s">
        <v>632</v>
      </c>
      <c r="G423" s="80"/>
      <c r="H423" s="80"/>
      <c r="I423" s="82"/>
      <c r="J423" s="82"/>
      <c r="K423" s="78">
        <f>(T423+AE423)/1000</f>
        <v>24.747542846277739</v>
      </c>
      <c r="L423" s="80"/>
      <c r="M423" t="s">
        <v>736</v>
      </c>
      <c r="N423" s="48" t="s">
        <v>286</v>
      </c>
      <c r="O423" s="22" t="s">
        <v>287</v>
      </c>
      <c r="P423" s="8"/>
      <c r="Q423" s="8">
        <f>Q422/(8*0.3048)</f>
        <v>5503.7250000000004</v>
      </c>
      <c r="R423" s="8" t="s">
        <v>248</v>
      </c>
      <c r="S423" s="8" t="s">
        <v>245</v>
      </c>
      <c r="T423" s="23">
        <f>Q423*2*(0.3/2.2/0.3048)</f>
        <v>4924.592877594846</v>
      </c>
      <c r="U423" s="8" t="s">
        <v>247</v>
      </c>
      <c r="V423" s="8"/>
      <c r="W423" s="8" t="s">
        <v>246</v>
      </c>
      <c r="X423" s="8"/>
      <c r="Y423" s="8">
        <f>Q423/(16/12*0.3048)+1</f>
        <v>13543.630413385828</v>
      </c>
      <c r="Z423" s="8"/>
      <c r="AA423" s="8">
        <f>3.22/2.2</f>
        <v>1.4636363636363636</v>
      </c>
      <c r="AB423" s="8" t="s">
        <v>128</v>
      </c>
      <c r="AC423" s="8"/>
      <c r="AD423" s="8" t="s">
        <v>249</v>
      </c>
      <c r="AE423" s="8">
        <f>Y423*AA423</f>
        <v>19822.949968682893</v>
      </c>
      <c r="AF423" s="8"/>
      <c r="AG423" s="8"/>
      <c r="AH423" s="8"/>
      <c r="AI423" s="8"/>
      <c r="AJ423" s="67"/>
      <c r="AK423" s="67"/>
      <c r="AL423" s="65"/>
    </row>
    <row r="424" spans="2:42" x14ac:dyDescent="0.25">
      <c r="B424" s="82"/>
      <c r="C424" s="80"/>
      <c r="D424" s="80"/>
      <c r="E424" s="82"/>
      <c r="F424" s="16" t="s">
        <v>227</v>
      </c>
      <c r="G424" s="80"/>
      <c r="H424" s="80"/>
      <c r="I424" s="82"/>
      <c r="J424" s="82"/>
      <c r="K424" s="65">
        <f>(AJ424+AK424+AL424)/1000</f>
        <v>37.151521567776008</v>
      </c>
      <c r="L424" s="80"/>
      <c r="M424" s="8" t="s">
        <v>771</v>
      </c>
      <c r="N424" s="48" t="s">
        <v>285</v>
      </c>
      <c r="O424" s="8" t="s">
        <v>133</v>
      </c>
      <c r="P424" s="8"/>
      <c r="Q424" s="18">
        <f>J509+J510</f>
        <v>1609.5451680000001</v>
      </c>
      <c r="R424" s="7" t="s">
        <v>63</v>
      </c>
      <c r="S424" s="8">
        <v>4.07</v>
      </c>
      <c r="T424" s="8" t="s">
        <v>130</v>
      </c>
      <c r="U424" s="7"/>
      <c r="V424" s="8">
        <v>18.8</v>
      </c>
      <c r="W424" s="8" t="s">
        <v>132</v>
      </c>
      <c r="X424" s="8"/>
      <c r="Y424" s="8"/>
      <c r="Z424" s="8"/>
      <c r="AA424" s="8">
        <v>0.21199999999999999</v>
      </c>
      <c r="AB424" s="8" t="s">
        <v>134</v>
      </c>
      <c r="AC424" s="8"/>
      <c r="AD424" s="8"/>
      <c r="AE424" s="8" t="s">
        <v>296</v>
      </c>
      <c r="AF424" s="8"/>
      <c r="AG424" s="8"/>
      <c r="AJ424" s="65">
        <f>Q424*S424</f>
        <v>6550.8488337600011</v>
      </c>
      <c r="AK424" s="65">
        <f>Q424*V424</f>
        <v>30259.449158400002</v>
      </c>
      <c r="AL424" s="65">
        <f>Q424*AA424</f>
        <v>341.22357561600001</v>
      </c>
    </row>
    <row r="425" spans="2:42" x14ac:dyDescent="0.25">
      <c r="B425" s="82"/>
      <c r="C425" s="80"/>
      <c r="D425" s="80"/>
      <c r="E425" s="82"/>
      <c r="F425" s="16" t="s">
        <v>226</v>
      </c>
      <c r="G425" s="80"/>
      <c r="H425" s="80"/>
      <c r="I425" s="82"/>
      <c r="J425" s="82"/>
      <c r="K425" s="65">
        <f>45*Q425/1000</f>
        <v>513.59123088000001</v>
      </c>
      <c r="L425" s="80"/>
      <c r="M425" t="s">
        <v>772</v>
      </c>
      <c r="N425" s="6" t="s">
        <v>694</v>
      </c>
      <c r="O425" s="13" t="s">
        <v>695</v>
      </c>
      <c r="Q425" s="64">
        <f>J507+J508</f>
        <v>11413.138464000001</v>
      </c>
      <c r="R425" t="s">
        <v>63</v>
      </c>
    </row>
    <row r="426" spans="2:42" x14ac:dyDescent="0.25">
      <c r="B426" s="82"/>
      <c r="C426" s="80"/>
      <c r="D426" s="80"/>
      <c r="E426" s="82"/>
      <c r="F426" s="16" t="s">
        <v>295</v>
      </c>
      <c r="G426" s="80"/>
      <c r="H426" s="80"/>
      <c r="I426" s="82"/>
      <c r="J426" s="82"/>
      <c r="K426" s="65">
        <f>Q426*(S426+V426)/1000</f>
        <v>110.86886381236361</v>
      </c>
      <c r="L426" s="80"/>
      <c r="M426" s="8" t="s">
        <v>773</v>
      </c>
      <c r="N426" s="48" t="s">
        <v>288</v>
      </c>
      <c r="O426" s="8" t="s">
        <v>289</v>
      </c>
      <c r="P426" s="8"/>
      <c r="Q426" s="23">
        <f>J515</f>
        <v>35744.444640000002</v>
      </c>
      <c r="R426" s="8" t="s">
        <v>63</v>
      </c>
      <c r="S426" s="25">
        <f>0.45/2.2/(0.3048^2)</f>
        <v>2.2017089488724428</v>
      </c>
      <c r="T426" s="8" t="s">
        <v>250</v>
      </c>
      <c r="U426" s="8"/>
      <c r="V426" s="8">
        <v>0.9</v>
      </c>
      <c r="W426" s="8" t="s">
        <v>251</v>
      </c>
      <c r="X426" s="8"/>
      <c r="Y426" s="8"/>
      <c r="Z426" s="8"/>
      <c r="AA426" s="8"/>
      <c r="AB426" s="8"/>
      <c r="AC426" s="8"/>
      <c r="AD426" s="8"/>
      <c r="AE426" s="8" t="s">
        <v>297</v>
      </c>
      <c r="AF426" s="8"/>
      <c r="AG426" s="8"/>
      <c r="AH426" s="8"/>
      <c r="AI426" s="8"/>
      <c r="AJ426" s="8">
        <f>V426*Q426</f>
        <v>32170.000176000001</v>
      </c>
      <c r="AK426" s="7"/>
      <c r="AL426" s="8"/>
      <c r="AM426" s="8"/>
      <c r="AN426" s="8"/>
      <c r="AO426" s="8"/>
      <c r="AP426" s="8"/>
    </row>
    <row r="427" spans="2:42" x14ac:dyDescent="0.25">
      <c r="B427" s="82"/>
      <c r="C427" s="80"/>
      <c r="D427" s="80"/>
      <c r="E427" s="82"/>
      <c r="F427" s="16" t="s">
        <v>225</v>
      </c>
      <c r="G427" s="80"/>
      <c r="H427" s="80"/>
      <c r="I427" s="82"/>
      <c r="J427" s="82"/>
      <c r="K427" s="13">
        <f>Q427/1000</f>
        <v>2</v>
      </c>
      <c r="L427" s="80"/>
      <c r="M427" s="8" t="s">
        <v>775</v>
      </c>
      <c r="N427" s="48" t="s">
        <v>253</v>
      </c>
      <c r="O427" s="8" t="s">
        <v>192</v>
      </c>
      <c r="P427" s="8"/>
      <c r="Q427" s="8">
        <f>2000</f>
        <v>2000</v>
      </c>
      <c r="R427" s="8" t="s">
        <v>252</v>
      </c>
      <c r="S427" s="8"/>
      <c r="T427" s="8"/>
      <c r="U427" s="8"/>
      <c r="V427" s="8"/>
      <c r="W427" s="8"/>
      <c r="X427" s="8"/>
      <c r="Y427" s="8"/>
      <c r="Z427" s="8"/>
      <c r="AA427" s="8"/>
      <c r="AB427" s="8"/>
      <c r="AC427" s="8"/>
      <c r="AD427" s="8"/>
      <c r="AE427" s="8"/>
      <c r="AF427" s="8"/>
      <c r="AG427" s="8"/>
      <c r="AH427" s="8"/>
      <c r="AI427" s="8"/>
      <c r="AJ427" s="8"/>
      <c r="AK427" s="8"/>
      <c r="AL427" s="8"/>
    </row>
    <row r="428" spans="2:42" x14ac:dyDescent="0.25">
      <c r="B428" s="82"/>
      <c r="C428" s="80"/>
      <c r="D428" s="80"/>
      <c r="E428" s="82"/>
      <c r="F428" s="16" t="s">
        <v>232</v>
      </c>
      <c r="G428" s="80"/>
      <c r="H428" s="80"/>
      <c r="I428" s="82"/>
      <c r="J428" s="82"/>
      <c r="K428" s="30">
        <f>(AL428+AM428)/1000</f>
        <v>67.546163621639835</v>
      </c>
      <c r="L428" s="80"/>
      <c r="M428" s="8" t="s">
        <v>776</v>
      </c>
      <c r="N428" s="48" t="s">
        <v>290</v>
      </c>
      <c r="O428" s="8" t="s">
        <v>146</v>
      </c>
      <c r="P428" s="8"/>
      <c r="Q428" s="66">
        <f>J526+J527</f>
        <v>25923.24</v>
      </c>
      <c r="R428" s="8" t="s">
        <v>64</v>
      </c>
      <c r="S428" s="8">
        <v>2.5</v>
      </c>
      <c r="T428" s="8" t="s">
        <v>255</v>
      </c>
      <c r="U428" s="8"/>
      <c r="V428" s="8"/>
      <c r="W428" s="8">
        <f>Q428/12/0.3048</f>
        <v>7087.5</v>
      </c>
      <c r="X428" s="8" t="s">
        <v>254</v>
      </c>
      <c r="Y428" s="8"/>
      <c r="Z428" s="8"/>
      <c r="AA428" s="24">
        <f>AE428+AH428</f>
        <v>0.3863229095788126</v>
      </c>
      <c r="AB428" s="8" t="s">
        <v>256</v>
      </c>
      <c r="AC428" s="8"/>
      <c r="AD428" s="8"/>
      <c r="AE428" s="8">
        <f>15.9/100</f>
        <v>0.159</v>
      </c>
      <c r="AF428" s="8" t="s">
        <v>153</v>
      </c>
      <c r="AG428" s="8"/>
      <c r="AH428" s="24">
        <f>(3/8*25.4/1000)^2*PI()/4*(16*25.4/1000)*7850</f>
        <v>0.2273229095788126</v>
      </c>
      <c r="AI428" s="8" t="s">
        <v>154</v>
      </c>
      <c r="AJ428" s="8"/>
      <c r="AK428" s="8" t="s">
        <v>696</v>
      </c>
      <c r="AL428" s="8">
        <f>S428*Q428</f>
        <v>64808.100000000006</v>
      </c>
      <c r="AM428" s="8">
        <f>AA428*W428</f>
        <v>2738.0636216398343</v>
      </c>
    </row>
    <row r="429" spans="2:42" x14ac:dyDescent="0.25">
      <c r="B429" s="82"/>
      <c r="C429" s="80"/>
      <c r="D429" s="80"/>
      <c r="E429" s="82"/>
      <c r="F429" s="16" t="s">
        <v>233</v>
      </c>
      <c r="G429" s="80"/>
      <c r="H429" s="80"/>
      <c r="I429" s="82"/>
      <c r="J429" s="82"/>
      <c r="K429" s="58">
        <f>Q429*S429/1000</f>
        <v>3.4506000000000001</v>
      </c>
      <c r="L429" s="80"/>
      <c r="M429" s="8" t="s">
        <v>125</v>
      </c>
      <c r="N429" s="48" t="s">
        <v>152</v>
      </c>
      <c r="O429" s="22" t="s">
        <v>174</v>
      </c>
      <c r="P429" s="8"/>
      <c r="Q429" s="8">
        <f>(J528+J529)</f>
        <v>3834</v>
      </c>
      <c r="R429" s="8" t="s">
        <v>257</v>
      </c>
      <c r="S429" s="8">
        <v>0.9</v>
      </c>
      <c r="T429" s="8" t="s">
        <v>175</v>
      </c>
      <c r="U429" s="8"/>
      <c r="V429" s="8"/>
      <c r="W429" s="8"/>
      <c r="X429" s="8"/>
      <c r="Y429" s="8"/>
      <c r="Z429" s="8"/>
      <c r="AA429" s="8"/>
      <c r="AB429" s="8"/>
      <c r="AC429" s="8"/>
      <c r="AD429" s="8"/>
      <c r="AE429" s="8"/>
    </row>
    <row r="430" spans="2:42" x14ac:dyDescent="0.25">
      <c r="B430" s="82"/>
      <c r="C430" s="80"/>
      <c r="D430" s="80"/>
      <c r="E430" s="82"/>
      <c r="F430" s="16" t="s">
        <v>228</v>
      </c>
      <c r="G430" s="80"/>
      <c r="H430" s="80"/>
      <c r="I430" s="82"/>
      <c r="J430" s="82"/>
      <c r="K430" s="58">
        <f>Q430*S430/1000</f>
        <v>8.3486000000000011</v>
      </c>
      <c r="L430" s="80"/>
      <c r="M430" t="s">
        <v>742</v>
      </c>
      <c r="N430" s="48" t="s">
        <v>150</v>
      </c>
      <c r="O430" s="8" t="s">
        <v>149</v>
      </c>
      <c r="P430" s="33"/>
      <c r="Q430" s="66">
        <f>J525</f>
        <v>6422</v>
      </c>
      <c r="R430" s="8" t="s">
        <v>257</v>
      </c>
      <c r="S430" s="8">
        <v>1.3</v>
      </c>
      <c r="T430" s="8" t="s">
        <v>139</v>
      </c>
      <c r="U430" s="8"/>
    </row>
    <row r="431" spans="2:42" x14ac:dyDescent="0.25">
      <c r="B431" s="82"/>
      <c r="C431" s="80"/>
      <c r="D431" s="80"/>
      <c r="E431" s="82"/>
      <c r="F431" s="16" t="s">
        <v>697</v>
      </c>
      <c r="G431" s="80"/>
      <c r="H431" s="80"/>
      <c r="I431" s="82"/>
      <c r="J431" s="82"/>
      <c r="K431" s="30">
        <f>(Q431*S431+W431*AA431)/1000</f>
        <v>14.138336487991776</v>
      </c>
      <c r="L431" s="80"/>
      <c r="M431" s="32" t="s">
        <v>777</v>
      </c>
      <c r="N431" s="48" t="s">
        <v>700</v>
      </c>
      <c r="O431" s="8" t="s">
        <v>699</v>
      </c>
      <c r="P431" s="8"/>
      <c r="Q431" s="64">
        <f>J516+J517</f>
        <v>5390.3879999999999</v>
      </c>
      <c r="R431" s="8" t="s">
        <v>701</v>
      </c>
      <c r="S431" s="25">
        <f>1.69*0.454/0.3048</f>
        <v>2.517257217847769</v>
      </c>
      <c r="T431" s="8" t="s">
        <v>562</v>
      </c>
      <c r="U431" s="8"/>
      <c r="V431" s="8"/>
      <c r="W431" s="66">
        <f>Q431/12/0.3048</f>
        <v>1473.75</v>
      </c>
      <c r="X431" s="8" t="s">
        <v>254</v>
      </c>
      <c r="Y431" s="8"/>
      <c r="Z431" s="8"/>
      <c r="AA431" s="24">
        <f>AE431+AH431</f>
        <v>0.3863229095788126</v>
      </c>
      <c r="AB431" s="8" t="s">
        <v>256</v>
      </c>
      <c r="AC431" s="8"/>
      <c r="AD431" s="8"/>
      <c r="AE431" s="8">
        <f>15.9/100</f>
        <v>0.159</v>
      </c>
      <c r="AF431" s="8" t="s">
        <v>153</v>
      </c>
      <c r="AG431" s="8"/>
      <c r="AH431" s="24">
        <f>(3/8*25.4/1000)^2*PI()/4*(16*25.4/1000)*7850</f>
        <v>0.2273229095788126</v>
      </c>
      <c r="AI431" s="8" t="s">
        <v>154</v>
      </c>
      <c r="AJ431" s="8"/>
      <c r="AK431" s="8" t="s">
        <v>696</v>
      </c>
      <c r="AL431">
        <f>S431*Q431</f>
        <v>13568.9931</v>
      </c>
      <c r="AM431" s="8">
        <f>W431*AE431</f>
        <v>234.32625000000002</v>
      </c>
      <c r="AN431" s="8">
        <f>AH431*W431</f>
        <v>335.01713799177509</v>
      </c>
      <c r="AO431" s="8"/>
      <c r="AP431" s="8"/>
    </row>
    <row r="432" spans="2:42" x14ac:dyDescent="0.25">
      <c r="B432" s="82"/>
      <c r="C432" s="80"/>
      <c r="D432" s="80"/>
      <c r="E432" s="82"/>
      <c r="F432" s="16" t="s">
        <v>234</v>
      </c>
      <c r="G432" s="80"/>
      <c r="H432" s="80"/>
      <c r="I432" s="82"/>
      <c r="J432" s="82"/>
      <c r="K432" s="58">
        <f>Q432*S432/1000</f>
        <v>75.326713862400013</v>
      </c>
      <c r="L432" s="80"/>
      <c r="M432" s="8" t="s">
        <v>778</v>
      </c>
      <c r="N432" s="48" t="s">
        <v>178</v>
      </c>
      <c r="O432" s="8" t="s">
        <v>177</v>
      </c>
      <c r="P432" s="8"/>
      <c r="Q432" s="66">
        <f>J510+J509</f>
        <v>1609.5451680000001</v>
      </c>
      <c r="R432" s="8" t="s">
        <v>63</v>
      </c>
      <c r="S432" s="8">
        <v>46.8</v>
      </c>
      <c r="T432" s="8" t="s">
        <v>131</v>
      </c>
      <c r="U432" s="8"/>
      <c r="V432" s="8"/>
      <c r="W432" s="8"/>
    </row>
    <row r="433" spans="2:41" x14ac:dyDescent="0.25">
      <c r="B433" s="82"/>
      <c r="C433" s="80"/>
      <c r="D433" s="80"/>
      <c r="E433" s="82"/>
      <c r="F433" s="16" t="s">
        <v>230</v>
      </c>
      <c r="G433" s="80"/>
      <c r="H433" s="80"/>
      <c r="I433" s="82"/>
      <c r="J433" s="82"/>
      <c r="K433" s="30">
        <f>(Q433*S433+W433*AA433)/1000</f>
        <v>91.699772727272716</v>
      </c>
      <c r="L433" s="80"/>
      <c r="M433" s="8" t="s">
        <v>779</v>
      </c>
      <c r="N433" s="48" t="s">
        <v>291</v>
      </c>
      <c r="O433" s="8" t="s">
        <v>151</v>
      </c>
      <c r="P433" s="8"/>
      <c r="Q433" s="66">
        <f>J518+J519+J520+J521</f>
        <v>12104.37</v>
      </c>
      <c r="R433" s="8" t="s">
        <v>248</v>
      </c>
      <c r="S433" s="8">
        <f>5/2.2/0.3048</f>
        <v>7.4564543068480065</v>
      </c>
      <c r="T433" s="8" t="s">
        <v>259</v>
      </c>
      <c r="U433" s="8"/>
      <c r="V433" s="8"/>
      <c r="W433" s="66">
        <f>Q433/(5*0.3048)</f>
        <v>7942.5</v>
      </c>
      <c r="X433" s="8" t="s">
        <v>261</v>
      </c>
      <c r="Y433" s="8"/>
      <c r="Z433" s="8"/>
      <c r="AA433" s="24">
        <f>AE433+AH433</f>
        <v>0.18181818181818182</v>
      </c>
      <c r="AB433" s="8" t="s">
        <v>260</v>
      </c>
      <c r="AC433" s="8"/>
      <c r="AD433" s="8"/>
      <c r="AE433" s="8">
        <f>0.4/2.2</f>
        <v>0.18181818181818182</v>
      </c>
      <c r="AF433" s="8" t="s">
        <v>153</v>
      </c>
      <c r="AG433" s="8"/>
      <c r="AH433" s="24">
        <v>0</v>
      </c>
      <c r="AI433" s="8" t="s">
        <v>155</v>
      </c>
      <c r="AJ433" s="8"/>
      <c r="AK433" s="8"/>
      <c r="AL433" s="8">
        <f>S433*Q433</f>
        <v>90255.681818181809</v>
      </c>
      <c r="AM433" s="8"/>
      <c r="AN433" s="8">
        <f>W433*AA433</f>
        <v>1444.0909090909092</v>
      </c>
      <c r="AO433" s="8"/>
    </row>
    <row r="434" spans="2:41" x14ac:dyDescent="0.25">
      <c r="B434" s="82"/>
      <c r="C434" s="80"/>
      <c r="D434" s="80"/>
      <c r="E434" s="82"/>
      <c r="F434" s="16" t="s">
        <v>229</v>
      </c>
      <c r="G434" s="80"/>
      <c r="H434" s="80"/>
      <c r="I434" s="82"/>
      <c r="J434" s="82"/>
      <c r="K434" s="30">
        <f>Q434*J522/1000</f>
        <v>12.898619999999999</v>
      </c>
      <c r="L434" s="80"/>
      <c r="M434" s="8" t="s">
        <v>781</v>
      </c>
      <c r="N434" s="48" t="s">
        <v>168</v>
      </c>
      <c r="O434" s="22" t="s">
        <v>164</v>
      </c>
      <c r="P434" s="8"/>
      <c r="Q434" s="8">
        <v>3.53</v>
      </c>
      <c r="R434" s="8" t="s">
        <v>166</v>
      </c>
      <c r="S434" s="8">
        <v>0.97</v>
      </c>
      <c r="T434" s="8" t="s">
        <v>167</v>
      </c>
      <c r="U434" s="8">
        <f>0.002*1*1*7800</f>
        <v>15.6</v>
      </c>
      <c r="V434" s="8" t="s">
        <v>165</v>
      </c>
      <c r="W434" s="8"/>
      <c r="X434" s="8"/>
      <c r="Y434" s="8">
        <f>Q434*0.97</f>
        <v>3.4240999999999997</v>
      </c>
      <c r="Z434" s="8">
        <f>Y434/U434</f>
        <v>0.21949358974358973</v>
      </c>
      <c r="AA434" s="8"/>
      <c r="AB434" s="8"/>
      <c r="AC434" s="8"/>
      <c r="AD434" s="8"/>
      <c r="AE434" s="8"/>
      <c r="AF434" s="8"/>
    </row>
    <row r="435" spans="2:41" x14ac:dyDescent="0.25">
      <c r="B435" s="82"/>
      <c r="C435" s="80"/>
      <c r="D435" s="80"/>
      <c r="E435" s="82"/>
      <c r="F435" s="16" t="s">
        <v>231</v>
      </c>
      <c r="G435" s="80"/>
      <c r="H435" s="80"/>
      <c r="I435" s="82"/>
      <c r="J435" s="82"/>
      <c r="K435" s="30">
        <f>(Q435+S435)*(J523+J524)/1000</f>
        <v>87.084000000000003</v>
      </c>
      <c r="L435" s="80"/>
      <c r="M435" s="8" t="s">
        <v>782</v>
      </c>
      <c r="N435" s="48" t="s">
        <v>292</v>
      </c>
      <c r="O435" s="22" t="s">
        <v>293</v>
      </c>
      <c r="P435" s="8"/>
      <c r="Q435" s="8">
        <v>17</v>
      </c>
      <c r="R435" s="8" t="s">
        <v>262</v>
      </c>
      <c r="S435" s="8">
        <v>24</v>
      </c>
      <c r="T435" s="8" t="s">
        <v>298</v>
      </c>
      <c r="U435" s="8"/>
      <c r="V435" s="8"/>
    </row>
    <row r="436" spans="2:41" x14ac:dyDescent="0.25">
      <c r="B436" s="82"/>
      <c r="C436" s="80"/>
      <c r="D436" s="80"/>
      <c r="E436" s="82"/>
      <c r="F436" s="16" t="s">
        <v>235</v>
      </c>
      <c r="G436" s="80"/>
      <c r="H436" s="80"/>
      <c r="I436" s="82"/>
      <c r="J436" s="82"/>
      <c r="K436" s="13">
        <f>Q436*J533</f>
        <v>21.6</v>
      </c>
      <c r="L436" s="80"/>
      <c r="M436" s="8" t="s">
        <v>1136</v>
      </c>
      <c r="N436" s="8" t="s">
        <v>1134</v>
      </c>
      <c r="O436" s="22" t="s">
        <v>1135</v>
      </c>
      <c r="P436" s="8"/>
      <c r="Q436" s="8">
        <v>1.35</v>
      </c>
      <c r="R436" s="8" t="s">
        <v>183</v>
      </c>
      <c r="S436" s="8"/>
      <c r="T436" s="8"/>
    </row>
    <row r="437" spans="2:41" x14ac:dyDescent="0.25">
      <c r="B437" s="82"/>
      <c r="C437" s="80"/>
      <c r="D437" s="80"/>
      <c r="E437" s="82"/>
      <c r="F437" s="16" t="s">
        <v>236</v>
      </c>
      <c r="G437" s="80"/>
      <c r="H437" s="80"/>
      <c r="I437" s="82"/>
      <c r="J437" s="82"/>
      <c r="K437" s="30">
        <f>Q437*J533</f>
        <v>28.4512548352</v>
      </c>
      <c r="L437" s="80"/>
      <c r="M437" s="8" t="s">
        <v>783</v>
      </c>
      <c r="N437" s="48" t="s">
        <v>187</v>
      </c>
      <c r="O437" s="8" t="s">
        <v>186</v>
      </c>
      <c r="P437" s="8"/>
      <c r="Q437" s="25">
        <f>(0.85+0.1923+0.6+0.135)+4*R358/1000</f>
        <v>1.7782034272</v>
      </c>
      <c r="R437" s="8" t="s">
        <v>263</v>
      </c>
      <c r="S437" s="8"/>
    </row>
    <row r="438" spans="2:41" x14ac:dyDescent="0.25">
      <c r="B438" s="82"/>
      <c r="C438" s="80"/>
      <c r="D438" s="80"/>
      <c r="E438" s="82"/>
      <c r="F438" s="16" t="s">
        <v>237</v>
      </c>
      <c r="G438" s="80"/>
      <c r="H438" s="80"/>
      <c r="I438" s="82"/>
      <c r="J438" s="82"/>
      <c r="K438" s="30">
        <f>Q438*J535</f>
        <v>120.76414333119999</v>
      </c>
      <c r="L438" s="80"/>
      <c r="M438" s="8" t="s">
        <v>763</v>
      </c>
      <c r="N438" s="48" t="s">
        <v>188</v>
      </c>
      <c r="O438" s="22" t="s">
        <v>189</v>
      </c>
      <c r="P438" s="8"/>
      <c r="Q438" s="25">
        <f>(1700+4*R364)/1000</f>
        <v>1.7009034271999999</v>
      </c>
      <c r="R438" s="8" t="s">
        <v>264</v>
      </c>
      <c r="S438" s="8"/>
      <c r="T438" s="8"/>
    </row>
    <row r="439" spans="2:41" x14ac:dyDescent="0.25">
      <c r="B439" s="82"/>
      <c r="C439" s="80"/>
      <c r="D439" s="80"/>
      <c r="E439" s="82"/>
      <c r="F439" s="44" t="s">
        <v>638</v>
      </c>
      <c r="G439" s="80"/>
      <c r="H439" s="80"/>
      <c r="I439" s="82"/>
      <c r="J439" s="82"/>
      <c r="K439" s="55">
        <f>Q439*X439/1000</f>
        <v>0.40343212010188806</v>
      </c>
      <c r="L439" s="80"/>
      <c r="M439" t="s">
        <v>740</v>
      </c>
      <c r="N439" s="13"/>
      <c r="O439" s="50" t="s">
        <v>508</v>
      </c>
      <c r="Q439" s="64">
        <f>S439*(J513+J514)</f>
        <v>2763.2336993280005</v>
      </c>
      <c r="R439" t="s">
        <v>63</v>
      </c>
      <c r="S439">
        <f>9*0.3048</f>
        <v>2.7432000000000003</v>
      </c>
      <c r="T439" t="s">
        <v>455</v>
      </c>
      <c r="X439">
        <v>0.14599999999999999</v>
      </c>
      <c r="Y439" t="s">
        <v>131</v>
      </c>
    </row>
    <row r="440" spans="2:41" x14ac:dyDescent="0.25">
      <c r="B440" s="82"/>
      <c r="C440" s="80"/>
      <c r="D440" s="80"/>
      <c r="E440" s="82"/>
      <c r="F440" s="44" t="s">
        <v>639</v>
      </c>
      <c r="G440" s="80"/>
      <c r="H440" s="80"/>
      <c r="I440" s="82"/>
      <c r="J440" s="82"/>
      <c r="K440" s="55">
        <f>Q440*J530/1000</f>
        <v>26.847000000000001</v>
      </c>
      <c r="L440" s="80"/>
      <c r="M440" s="8" t="s">
        <v>751</v>
      </c>
      <c r="N440" s="6" t="s">
        <v>526</v>
      </c>
      <c r="O440" s="50" t="s">
        <v>525</v>
      </c>
      <c r="Q440">
        <f>(314+157)</f>
        <v>471</v>
      </c>
      <c r="R440" s="8" t="s">
        <v>707</v>
      </c>
    </row>
    <row r="441" spans="2:41" x14ac:dyDescent="0.25">
      <c r="B441" s="82"/>
      <c r="C441" s="80"/>
      <c r="D441" s="80"/>
      <c r="E441" s="82"/>
      <c r="F441" s="44" t="s">
        <v>640</v>
      </c>
      <c r="G441" s="80"/>
      <c r="H441" s="80"/>
      <c r="I441" s="82"/>
      <c r="J441" s="82"/>
      <c r="K441" s="58">
        <f>Q441*J531/1000</f>
        <v>5.7</v>
      </c>
      <c r="L441" s="80"/>
      <c r="M441" s="6" t="s">
        <v>759</v>
      </c>
      <c r="N441" s="6" t="s">
        <v>523</v>
      </c>
      <c r="O441" s="13" t="s">
        <v>524</v>
      </c>
      <c r="Q441">
        <v>300</v>
      </c>
      <c r="R441" t="s">
        <v>139</v>
      </c>
    </row>
    <row r="442" spans="2:41" x14ac:dyDescent="0.25">
      <c r="B442" s="82"/>
      <c r="C442" s="80"/>
      <c r="D442" s="80"/>
      <c r="E442" s="82"/>
      <c r="F442" s="44" t="s">
        <v>641</v>
      </c>
      <c r="G442" s="80"/>
      <c r="H442" s="80"/>
      <c r="I442" s="82"/>
      <c r="J442" s="82"/>
      <c r="K442" s="58">
        <f>Q442*J536/1000</f>
        <v>1.87</v>
      </c>
      <c r="L442" s="80"/>
      <c r="M442" s="6" t="s">
        <v>759</v>
      </c>
      <c r="N442" s="6" t="s">
        <v>523</v>
      </c>
      <c r="O442" s="6" t="s">
        <v>520</v>
      </c>
      <c r="Q442">
        <v>110</v>
      </c>
      <c r="R442" t="s">
        <v>139</v>
      </c>
      <c r="S442" t="s">
        <v>521</v>
      </c>
    </row>
    <row r="443" spans="2:41" x14ac:dyDescent="0.25">
      <c r="B443" s="82"/>
      <c r="C443" s="80"/>
      <c r="D443" s="80"/>
      <c r="E443" s="82"/>
      <c r="F443" s="44" t="s">
        <v>642</v>
      </c>
      <c r="G443" s="80"/>
      <c r="H443" s="80"/>
      <c r="I443" s="82"/>
      <c r="J443" s="82"/>
      <c r="K443" s="65">
        <f>Q443*S443/1000</f>
        <v>343.7214331478537</v>
      </c>
      <c r="L443" s="80"/>
      <c r="M443" s="6" t="s">
        <v>752</v>
      </c>
      <c r="N443" s="8" t="s">
        <v>530</v>
      </c>
      <c r="O443" s="8" t="s">
        <v>528</v>
      </c>
      <c r="Q443" s="64">
        <f>(30*5*0.3048)^2*19-Q424</f>
        <v>38106.504432000002</v>
      </c>
      <c r="R443" t="s">
        <v>63</v>
      </c>
      <c r="S443" s="60">
        <f>(34.83*0.454)/(18.87*(0.3048^2))</f>
        <v>9.0200200273214524</v>
      </c>
      <c r="T443" t="s">
        <v>131</v>
      </c>
    </row>
    <row r="444" spans="2:41" x14ac:dyDescent="0.25">
      <c r="B444" s="82"/>
      <c r="C444" s="80"/>
      <c r="D444" s="80"/>
      <c r="E444" s="82"/>
      <c r="F444" s="44" t="s">
        <v>708</v>
      </c>
      <c r="G444" s="80"/>
      <c r="H444" s="80"/>
      <c r="I444" s="82"/>
      <c r="J444" s="82"/>
      <c r="K444" s="65">
        <f>T444*2310/1000+W444/1000</f>
        <v>1087.657238448</v>
      </c>
      <c r="L444" s="80"/>
      <c r="M444" s="8" t="s">
        <v>785</v>
      </c>
      <c r="N444" s="8" t="s">
        <v>709</v>
      </c>
      <c r="O444" s="8"/>
      <c r="P444" s="8"/>
      <c r="Q444" s="23">
        <f>((30*5*0.3048)^2*0.2+0.2*4*(30*5*0.3048)*1)</f>
        <v>454.63968000000006</v>
      </c>
      <c r="R444" s="8" t="s">
        <v>240</v>
      </c>
      <c r="S444" s="8"/>
      <c r="T444" s="25">
        <f>Q444*0.985</f>
        <v>447.82008480000007</v>
      </c>
      <c r="U444" s="8" t="s">
        <v>281</v>
      </c>
      <c r="V444" s="8"/>
      <c r="W444" s="8">
        <f>Q444*0.015*7800</f>
        <v>53192.842560000005</v>
      </c>
      <c r="X444" s="8" t="s">
        <v>282</v>
      </c>
      <c r="Y444" s="8"/>
      <c r="Z444" s="8"/>
      <c r="AA444" s="8"/>
    </row>
    <row r="445" spans="2:41" x14ac:dyDescent="0.25">
      <c r="B445" s="82"/>
      <c r="C445" s="80"/>
      <c r="D445" s="80"/>
      <c r="E445" s="82"/>
      <c r="F445" s="44" t="s">
        <v>294</v>
      </c>
      <c r="G445" s="80"/>
      <c r="H445" s="80"/>
      <c r="I445" s="82"/>
      <c r="J445" s="82"/>
      <c r="K445" s="20">
        <v>0</v>
      </c>
      <c r="L445" s="80"/>
      <c r="M445" s="8" t="s">
        <v>786</v>
      </c>
      <c r="N445" s="8" t="s">
        <v>716</v>
      </c>
      <c r="O445" s="8" t="s">
        <v>114</v>
      </c>
      <c r="P445" s="8"/>
      <c r="Q445" s="23">
        <f>Q421+T444</f>
        <v>3029.3633087999997</v>
      </c>
      <c r="R445" s="8" t="s">
        <v>265</v>
      </c>
    </row>
    <row r="446" spans="2:41" x14ac:dyDescent="0.25">
      <c r="B446" s="82"/>
      <c r="C446" s="80"/>
      <c r="D446" s="80"/>
      <c r="E446" s="82"/>
      <c r="F446" s="85" t="s">
        <v>108</v>
      </c>
      <c r="G446" s="80"/>
      <c r="H446" s="80"/>
      <c r="I446" s="82"/>
      <c r="J446" s="82"/>
      <c r="K446" s="69">
        <f>SUM(K414:K444)*30</f>
        <v>328992.93029925809</v>
      </c>
      <c r="L446" s="80"/>
      <c r="M446" t="s">
        <v>727</v>
      </c>
      <c r="N446" s="8" t="s">
        <v>711</v>
      </c>
      <c r="O446" s="8"/>
      <c r="P446" s="8"/>
      <c r="Q446" s="8"/>
      <c r="R446" s="8"/>
      <c r="S446" s="8"/>
      <c r="T446" s="8"/>
      <c r="U446" s="8"/>
      <c r="V446" s="8"/>
      <c r="W446" s="8"/>
      <c r="X446" s="8"/>
    </row>
    <row r="447" spans="2:41" x14ac:dyDescent="0.25">
      <c r="B447" s="82"/>
      <c r="C447" s="80"/>
      <c r="D447" s="80"/>
      <c r="E447" s="82"/>
      <c r="F447" s="85"/>
      <c r="G447" s="80"/>
      <c r="H447" s="80"/>
      <c r="I447" s="82"/>
      <c r="J447" s="82"/>
      <c r="K447" s="69">
        <f>(K414+K431)*1700+(K425)*1200+(K421*0.996+K444*0.99)*20+(K422+K424+K426+K427+K430+K432+K433+K434+K435+K436+K437+K438+K439+K441+K442+K443)*100</f>
        <v>3182263.7699085181</v>
      </c>
      <c r="L447" s="80"/>
      <c r="M447" t="s">
        <v>727</v>
      </c>
      <c r="N447" s="8" t="s">
        <v>713</v>
      </c>
      <c r="O447" s="8"/>
      <c r="P447" s="8"/>
      <c r="Q447" s="8"/>
      <c r="R447" s="8"/>
      <c r="S447" s="8"/>
      <c r="T447" s="8"/>
      <c r="U447" s="8"/>
      <c r="V447" s="8"/>
      <c r="W447" s="8"/>
      <c r="X447" s="8"/>
    </row>
    <row r="448" spans="2:41" x14ac:dyDescent="0.25">
      <c r="B448" s="82"/>
      <c r="C448" s="80"/>
      <c r="D448" s="80"/>
      <c r="E448" s="82"/>
      <c r="F448" s="85"/>
      <c r="G448" s="80"/>
      <c r="H448" s="80"/>
      <c r="I448" s="82"/>
      <c r="J448" s="82"/>
      <c r="K448" s="69">
        <f>(K415+K416+K417+K418+K423+K440)*2200+(K419+K420+K428+K429)*1500</f>
        <v>1759715.6336686709</v>
      </c>
      <c r="L448" s="80"/>
      <c r="M448" t="s">
        <v>714</v>
      </c>
      <c r="N448" s="8" t="s">
        <v>712</v>
      </c>
      <c r="O448" s="8"/>
      <c r="P448" s="8"/>
      <c r="Q448" s="8"/>
      <c r="R448" s="8"/>
      <c r="S448" s="8"/>
      <c r="T448" s="8"/>
      <c r="U448" s="8"/>
      <c r="V448" s="8"/>
      <c r="W448" s="8"/>
      <c r="X448" s="8"/>
    </row>
    <row r="449" spans="2:31" x14ac:dyDescent="0.25">
      <c r="B449" s="82"/>
      <c r="C449" s="80"/>
      <c r="D449" s="80"/>
      <c r="E449" s="82"/>
      <c r="F449" s="85"/>
      <c r="G449" s="80"/>
      <c r="H449" s="80"/>
      <c r="I449" s="82"/>
      <c r="J449" s="82"/>
      <c r="K449" s="69">
        <f>K443+K442+K441+K439+K432+K426+K425+K424+K422+(K421-Q421*0.004)+(K444-W444/1000)</f>
        <v>8207.8448889448882</v>
      </c>
      <c r="L449" s="80"/>
      <c r="M449" t="s">
        <v>728</v>
      </c>
      <c r="N449" s="8" t="s">
        <v>266</v>
      </c>
      <c r="O449" s="8"/>
      <c r="P449" s="29"/>
      <c r="Q449" s="8"/>
      <c r="R449" s="8"/>
      <c r="S449" s="8"/>
      <c r="T449" s="8"/>
      <c r="U449" s="8"/>
      <c r="V449" s="8"/>
      <c r="W449" s="8"/>
      <c r="X449" s="8"/>
    </row>
    <row r="450" spans="2:31" x14ac:dyDescent="0.25">
      <c r="B450" s="82"/>
      <c r="C450" s="80"/>
      <c r="D450" s="80"/>
      <c r="E450" s="82"/>
      <c r="F450" s="85" t="s">
        <v>258</v>
      </c>
      <c r="G450" s="80"/>
      <c r="H450" s="80"/>
      <c r="I450" s="82"/>
      <c r="J450" s="82"/>
      <c r="K450" s="20">
        <f>Q450/1000</f>
        <v>4600.9978743502152</v>
      </c>
      <c r="L450" s="80"/>
      <c r="M450" s="8" t="s">
        <v>276</v>
      </c>
      <c r="N450" s="48" t="s">
        <v>280</v>
      </c>
      <c r="O450" s="8" t="s">
        <v>267</v>
      </c>
      <c r="P450" s="8"/>
      <c r="Q450" s="23">
        <f>780*V450*1000</f>
        <v>4600997.8743502153</v>
      </c>
      <c r="R450" s="8" t="s">
        <v>268</v>
      </c>
      <c r="S450" s="8"/>
      <c r="T450" s="8"/>
      <c r="U450" s="7"/>
      <c r="V450" s="25">
        <f>(30*5*0.3048)^2*19/6733</f>
        <v>5.898715223525917</v>
      </c>
      <c r="W450" s="8" t="s">
        <v>270</v>
      </c>
      <c r="X450" s="8"/>
      <c r="Y450" s="7"/>
      <c r="Z450" s="7"/>
      <c r="AA450" s="8"/>
      <c r="AB450" s="8"/>
      <c r="AC450" s="8"/>
      <c r="AD450" s="7"/>
      <c r="AE450" s="7"/>
    </row>
    <row r="451" spans="2:31" x14ac:dyDescent="0.25">
      <c r="B451" s="82"/>
      <c r="C451" s="80"/>
      <c r="D451" s="80"/>
      <c r="E451" s="82"/>
      <c r="F451" s="85"/>
      <c r="G451" s="80"/>
      <c r="H451" s="80"/>
      <c r="I451" s="82"/>
      <c r="J451" s="82"/>
      <c r="K451" s="20">
        <v>0</v>
      </c>
      <c r="L451" s="80"/>
      <c r="M451" s="8" t="s">
        <v>277</v>
      </c>
      <c r="N451" s="48" t="s">
        <v>278</v>
      </c>
      <c r="O451" s="8" t="s">
        <v>267</v>
      </c>
      <c r="P451" s="8"/>
      <c r="Q451" s="23">
        <f>21200*V450</f>
        <v>125052.76273874944</v>
      </c>
      <c r="R451" s="8" t="s">
        <v>269</v>
      </c>
      <c r="S451" s="8"/>
      <c r="T451" s="8"/>
      <c r="U451" s="8"/>
      <c r="V451" s="8"/>
      <c r="W451" s="8"/>
      <c r="X451" s="8"/>
      <c r="Y451" s="8"/>
      <c r="Z451" s="8"/>
      <c r="AA451" s="8"/>
      <c r="AB451" s="8"/>
      <c r="AC451" s="8"/>
      <c r="AD451" s="8"/>
      <c r="AE451" s="8"/>
    </row>
    <row r="452" spans="2:31" ht="15.75" thickBot="1" x14ac:dyDescent="0.3">
      <c r="B452" s="84"/>
      <c r="C452" s="81"/>
      <c r="D452" s="81"/>
      <c r="E452" s="84"/>
      <c r="F452" s="93"/>
      <c r="G452" s="81"/>
      <c r="H452" s="81"/>
      <c r="I452" s="84"/>
      <c r="J452" s="84"/>
      <c r="K452" s="34">
        <v>0</v>
      </c>
      <c r="L452" s="81"/>
      <c r="M452" s="70" t="s">
        <v>271</v>
      </c>
      <c r="N452" s="70" t="s">
        <v>279</v>
      </c>
      <c r="O452" s="71" t="s">
        <v>267</v>
      </c>
      <c r="P452" s="12"/>
      <c r="Q452" s="25">
        <f>V452*Z452/AD452</f>
        <v>29161.584489487956</v>
      </c>
      <c r="R452" s="8" t="s">
        <v>273</v>
      </c>
      <c r="S452" s="8"/>
      <c r="T452" s="8"/>
      <c r="U452" s="8"/>
      <c r="V452" s="66">
        <f>V450*29400</f>
        <v>173422.22757166196</v>
      </c>
      <c r="W452" s="8" t="s">
        <v>272</v>
      </c>
      <c r="X452" s="8"/>
      <c r="Y452" s="8"/>
      <c r="Z452" s="8">
        <v>0.85</v>
      </c>
      <c r="AA452" s="8" t="s">
        <v>274</v>
      </c>
      <c r="AB452" s="8"/>
      <c r="AC452" s="8"/>
      <c r="AD452" s="8">
        <v>5.0548999999999999</v>
      </c>
      <c r="AE452" s="8" t="s">
        <v>275</v>
      </c>
    </row>
    <row r="453" spans="2:31" x14ac:dyDescent="0.25">
      <c r="B453" s="36"/>
      <c r="C453" s="8"/>
      <c r="D453" s="35"/>
      <c r="E453" s="35"/>
      <c r="F453" s="13"/>
      <c r="G453" s="35"/>
      <c r="H453" s="35"/>
      <c r="I453" s="13"/>
      <c r="J453" s="13"/>
      <c r="K453" s="13"/>
      <c r="L453" s="13"/>
      <c r="M453" s="13"/>
      <c r="N453" s="13"/>
      <c r="O453" s="13"/>
    </row>
    <row r="454" spans="2:31" s="1" customFormat="1" x14ac:dyDescent="0.25"/>
    <row r="456" spans="2:31" x14ac:dyDescent="0.25">
      <c r="H456" t="s">
        <v>238</v>
      </c>
      <c r="J456" s="60">
        <f>(30*0.3048)^2</f>
        <v>83.612735999999998</v>
      </c>
      <c r="K456" t="s">
        <v>63</v>
      </c>
    </row>
    <row r="457" spans="2:31" x14ac:dyDescent="0.25">
      <c r="B457" t="s">
        <v>580</v>
      </c>
      <c r="E457" t="s">
        <v>581</v>
      </c>
      <c r="H457" t="s">
        <v>627</v>
      </c>
      <c r="J457" s="60">
        <f>5*5*J456</f>
        <v>2090.3184000000001</v>
      </c>
      <c r="K457" t="s">
        <v>63</v>
      </c>
    </row>
    <row r="458" spans="2:31" x14ac:dyDescent="0.25">
      <c r="J458" s="60"/>
    </row>
    <row r="459" spans="2:31" x14ac:dyDescent="0.25">
      <c r="G459" s="13" t="s">
        <v>582</v>
      </c>
      <c r="H459" s="13" t="s">
        <v>615</v>
      </c>
      <c r="I459" s="13" t="s">
        <v>583</v>
      </c>
      <c r="J459" s="13" t="s">
        <v>587</v>
      </c>
      <c r="K459" s="13" t="s">
        <v>644</v>
      </c>
      <c r="L459" s="13" t="s">
        <v>584</v>
      </c>
      <c r="M459" s="13" t="s">
        <v>585</v>
      </c>
      <c r="N459" s="13" t="s">
        <v>586</v>
      </c>
      <c r="P459" s="13"/>
    </row>
    <row r="460" spans="2:31" x14ac:dyDescent="0.25">
      <c r="G460">
        <v>19</v>
      </c>
      <c r="H460" s="55">
        <f>13*0.3048</f>
        <v>3.9624000000000001</v>
      </c>
      <c r="I460" s="13" t="s">
        <v>588</v>
      </c>
      <c r="J460" t="s">
        <v>596</v>
      </c>
      <c r="K460" s="13" t="s">
        <v>594</v>
      </c>
      <c r="L460" s="13" t="s">
        <v>603</v>
      </c>
      <c r="M460" s="13" t="s">
        <v>607</v>
      </c>
      <c r="N460" s="13" t="s">
        <v>614</v>
      </c>
    </row>
    <row r="461" spans="2:31" x14ac:dyDescent="0.25">
      <c r="G461">
        <v>18</v>
      </c>
      <c r="H461" s="55">
        <f t="shared" ref="H461:H477" si="23">13*0.3048</f>
        <v>3.9624000000000001</v>
      </c>
      <c r="I461" s="13" t="s">
        <v>588</v>
      </c>
      <c r="J461" t="s">
        <v>597</v>
      </c>
      <c r="K461" s="13" t="s">
        <v>594</v>
      </c>
      <c r="L461" s="13" t="s">
        <v>603</v>
      </c>
      <c r="M461" s="13" t="s">
        <v>607</v>
      </c>
      <c r="N461" s="13" t="s">
        <v>614</v>
      </c>
    </row>
    <row r="462" spans="2:31" x14ac:dyDescent="0.25">
      <c r="G462">
        <v>17</v>
      </c>
      <c r="H462" s="55">
        <f t="shared" si="23"/>
        <v>3.9624000000000001</v>
      </c>
      <c r="I462" s="13" t="s">
        <v>588</v>
      </c>
      <c r="J462" t="s">
        <v>597</v>
      </c>
      <c r="K462" s="13" t="s">
        <v>594</v>
      </c>
      <c r="L462" s="13" t="s">
        <v>603</v>
      </c>
      <c r="M462" s="13" t="s">
        <v>607</v>
      </c>
      <c r="N462" s="13" t="s">
        <v>614</v>
      </c>
    </row>
    <row r="463" spans="2:31" x14ac:dyDescent="0.25">
      <c r="G463">
        <v>16</v>
      </c>
      <c r="H463" s="55">
        <f t="shared" si="23"/>
        <v>3.9624000000000001</v>
      </c>
      <c r="I463" s="13" t="s">
        <v>588</v>
      </c>
      <c r="J463" t="s">
        <v>597</v>
      </c>
      <c r="K463" s="13" t="s">
        <v>595</v>
      </c>
      <c r="L463" s="13" t="s">
        <v>603</v>
      </c>
      <c r="M463" s="13" t="s">
        <v>607</v>
      </c>
      <c r="N463" s="13" t="s">
        <v>613</v>
      </c>
    </row>
    <row r="464" spans="2:31" x14ac:dyDescent="0.25">
      <c r="G464">
        <v>15</v>
      </c>
      <c r="H464" s="55">
        <f t="shared" si="23"/>
        <v>3.9624000000000001</v>
      </c>
      <c r="I464" s="13" t="s">
        <v>589</v>
      </c>
      <c r="J464" t="s">
        <v>597</v>
      </c>
      <c r="K464" s="13" t="s">
        <v>595</v>
      </c>
      <c r="L464" s="13" t="s">
        <v>602</v>
      </c>
      <c r="M464" s="13" t="s">
        <v>606</v>
      </c>
      <c r="N464" s="13" t="s">
        <v>613</v>
      </c>
    </row>
    <row r="465" spans="7:17" x14ac:dyDescent="0.25">
      <c r="G465">
        <v>14</v>
      </c>
      <c r="H465" s="55">
        <f t="shared" si="23"/>
        <v>3.9624000000000001</v>
      </c>
      <c r="I465" s="13" t="s">
        <v>589</v>
      </c>
      <c r="J465" t="s">
        <v>597</v>
      </c>
      <c r="K465" s="13" t="s">
        <v>595</v>
      </c>
      <c r="L465" s="13" t="s">
        <v>602</v>
      </c>
      <c r="M465" s="13" t="s">
        <v>606</v>
      </c>
      <c r="N465" s="13" t="s">
        <v>613</v>
      </c>
    </row>
    <row r="466" spans="7:17" x14ac:dyDescent="0.25">
      <c r="G466">
        <v>13</v>
      </c>
      <c r="H466" s="55">
        <f t="shared" si="23"/>
        <v>3.9624000000000001</v>
      </c>
      <c r="I466" s="13" t="s">
        <v>589</v>
      </c>
      <c r="J466" t="s">
        <v>597</v>
      </c>
      <c r="K466" s="13" t="s">
        <v>595</v>
      </c>
      <c r="L466" s="13" t="s">
        <v>602</v>
      </c>
      <c r="M466" s="13" t="s">
        <v>606</v>
      </c>
      <c r="N466" s="13" t="s">
        <v>612</v>
      </c>
    </row>
    <row r="467" spans="7:17" x14ac:dyDescent="0.25">
      <c r="G467">
        <v>12</v>
      </c>
      <c r="H467" s="55">
        <f t="shared" si="23"/>
        <v>3.9624000000000001</v>
      </c>
      <c r="I467" s="13" t="s">
        <v>590</v>
      </c>
      <c r="J467" t="s">
        <v>597</v>
      </c>
      <c r="K467" s="13" t="s">
        <v>595</v>
      </c>
      <c r="L467" s="13" t="s">
        <v>601</v>
      </c>
      <c r="M467" s="13" t="s">
        <v>605</v>
      </c>
      <c r="N467" s="13" t="s">
        <v>612</v>
      </c>
    </row>
    <row r="468" spans="7:17" x14ac:dyDescent="0.25">
      <c r="G468">
        <v>11</v>
      </c>
      <c r="H468" s="55">
        <f t="shared" si="23"/>
        <v>3.9624000000000001</v>
      </c>
      <c r="I468" s="13" t="s">
        <v>590</v>
      </c>
      <c r="J468" t="s">
        <v>597</v>
      </c>
      <c r="K468" s="13" t="s">
        <v>595</v>
      </c>
      <c r="L468" s="13" t="s">
        <v>601</v>
      </c>
      <c r="M468" s="13" t="s">
        <v>605</v>
      </c>
      <c r="N468" s="13" t="s">
        <v>612</v>
      </c>
    </row>
    <row r="469" spans="7:17" x14ac:dyDescent="0.25">
      <c r="G469">
        <v>10</v>
      </c>
      <c r="H469" s="55">
        <f t="shared" si="23"/>
        <v>3.9624000000000001</v>
      </c>
      <c r="I469" s="13" t="s">
        <v>590</v>
      </c>
      <c r="J469" t="s">
        <v>597</v>
      </c>
      <c r="K469" s="13" t="s">
        <v>595</v>
      </c>
      <c r="L469" s="13" t="s">
        <v>601</v>
      </c>
      <c r="M469" s="13" t="s">
        <v>605</v>
      </c>
      <c r="N469" s="13" t="s">
        <v>611</v>
      </c>
    </row>
    <row r="470" spans="7:17" x14ac:dyDescent="0.25">
      <c r="G470">
        <v>9</v>
      </c>
      <c r="H470" s="55">
        <f t="shared" si="23"/>
        <v>3.9624000000000001</v>
      </c>
      <c r="I470" s="13" t="s">
        <v>591</v>
      </c>
      <c r="J470" t="s">
        <v>597</v>
      </c>
      <c r="K470" s="13" t="s">
        <v>595</v>
      </c>
      <c r="L470" s="13" t="s">
        <v>600</v>
      </c>
      <c r="M470" s="13" t="s">
        <v>601</v>
      </c>
      <c r="N470" s="13" t="s">
        <v>611</v>
      </c>
    </row>
    <row r="471" spans="7:17" x14ac:dyDescent="0.25">
      <c r="G471">
        <v>8</v>
      </c>
      <c r="H471" s="55">
        <f t="shared" si="23"/>
        <v>3.9624000000000001</v>
      </c>
      <c r="I471" s="13" t="s">
        <v>591</v>
      </c>
      <c r="J471" t="s">
        <v>597</v>
      </c>
      <c r="K471" s="13" t="s">
        <v>595</v>
      </c>
      <c r="L471" s="13" t="s">
        <v>600</v>
      </c>
      <c r="M471" s="13" t="s">
        <v>601</v>
      </c>
      <c r="N471" s="13" t="s">
        <v>611</v>
      </c>
    </row>
    <row r="472" spans="7:17" x14ac:dyDescent="0.25">
      <c r="G472">
        <v>7</v>
      </c>
      <c r="H472" s="55">
        <f t="shared" si="23"/>
        <v>3.9624000000000001</v>
      </c>
      <c r="I472" s="13" t="s">
        <v>591</v>
      </c>
      <c r="J472" t="s">
        <v>597</v>
      </c>
      <c r="K472" s="13" t="s">
        <v>595</v>
      </c>
      <c r="L472" s="13" t="s">
        <v>600</v>
      </c>
      <c r="M472" s="13" t="s">
        <v>601</v>
      </c>
      <c r="N472" s="13" t="s">
        <v>610</v>
      </c>
    </row>
    <row r="473" spans="7:17" x14ac:dyDescent="0.25">
      <c r="G473">
        <v>6</v>
      </c>
      <c r="H473" s="55">
        <f t="shared" si="23"/>
        <v>3.9624000000000001</v>
      </c>
      <c r="I473" s="13" t="s">
        <v>592</v>
      </c>
      <c r="J473" t="s">
        <v>597</v>
      </c>
      <c r="K473" s="13" t="s">
        <v>595</v>
      </c>
      <c r="L473" s="13" t="s">
        <v>599</v>
      </c>
      <c r="M473" s="13" t="s">
        <v>604</v>
      </c>
      <c r="N473" s="13" t="s">
        <v>610</v>
      </c>
    </row>
    <row r="474" spans="7:17" x14ac:dyDescent="0.25">
      <c r="G474">
        <v>5</v>
      </c>
      <c r="H474" s="55">
        <f t="shared" si="23"/>
        <v>3.9624000000000001</v>
      </c>
      <c r="I474" s="13" t="s">
        <v>592</v>
      </c>
      <c r="J474" t="s">
        <v>597</v>
      </c>
      <c r="K474" s="13" t="s">
        <v>595</v>
      </c>
      <c r="L474" s="13" t="s">
        <v>599</v>
      </c>
      <c r="M474" s="13" t="s">
        <v>604</v>
      </c>
      <c r="N474" s="13" t="s">
        <v>610</v>
      </c>
    </row>
    <row r="475" spans="7:17" x14ac:dyDescent="0.25">
      <c r="G475">
        <v>4</v>
      </c>
      <c r="H475" s="55">
        <f t="shared" si="23"/>
        <v>3.9624000000000001</v>
      </c>
      <c r="I475" s="13" t="s">
        <v>592</v>
      </c>
      <c r="J475" t="s">
        <v>597</v>
      </c>
      <c r="K475" s="13" t="s">
        <v>595</v>
      </c>
      <c r="L475" s="13" t="s">
        <v>599</v>
      </c>
      <c r="M475" s="13" t="s">
        <v>604</v>
      </c>
      <c r="N475" s="13" t="s">
        <v>609</v>
      </c>
    </row>
    <row r="476" spans="7:17" x14ac:dyDescent="0.25">
      <c r="G476">
        <v>3</v>
      </c>
      <c r="H476" s="55">
        <f t="shared" si="23"/>
        <v>3.9624000000000001</v>
      </c>
      <c r="I476" s="13" t="s">
        <v>593</v>
      </c>
      <c r="J476" t="s">
        <v>597</v>
      </c>
      <c r="K476" s="13" t="s">
        <v>595</v>
      </c>
      <c r="L476" s="13" t="s">
        <v>598</v>
      </c>
      <c r="M476" s="13" t="s">
        <v>624</v>
      </c>
      <c r="N476" s="13" t="s">
        <v>609</v>
      </c>
    </row>
    <row r="477" spans="7:17" x14ac:dyDescent="0.25">
      <c r="G477">
        <v>2</v>
      </c>
      <c r="H477" s="55">
        <f t="shared" si="23"/>
        <v>3.9624000000000001</v>
      </c>
      <c r="I477" s="13" t="s">
        <v>593</v>
      </c>
      <c r="J477" t="s">
        <v>597</v>
      </c>
      <c r="K477" s="13" t="s">
        <v>595</v>
      </c>
      <c r="L477" s="13" t="s">
        <v>598</v>
      </c>
      <c r="M477" s="13" t="s">
        <v>625</v>
      </c>
      <c r="N477" s="13" t="s">
        <v>608</v>
      </c>
    </row>
    <row r="478" spans="7:17" x14ac:dyDescent="0.25">
      <c r="G478">
        <v>1</v>
      </c>
      <c r="H478" s="55">
        <f>26*0.3048</f>
        <v>7.9248000000000003</v>
      </c>
      <c r="I478" s="13" t="s">
        <v>593</v>
      </c>
      <c r="J478" t="s">
        <v>597</v>
      </c>
      <c r="K478" s="13" t="s">
        <v>595</v>
      </c>
      <c r="L478" s="13" t="s">
        <v>598</v>
      </c>
      <c r="M478" s="13" t="s">
        <v>626</v>
      </c>
      <c r="N478" s="13" t="s">
        <v>608</v>
      </c>
    </row>
    <row r="480" spans="7:17" x14ac:dyDescent="0.25">
      <c r="G480" s="13" t="s">
        <v>582</v>
      </c>
      <c r="I480" t="s">
        <v>616</v>
      </c>
      <c r="J480" s="13" t="s">
        <v>617</v>
      </c>
      <c r="K480" s="13" t="s">
        <v>645</v>
      </c>
      <c r="L480" s="13" t="s">
        <v>618</v>
      </c>
      <c r="M480" s="13" t="s">
        <v>619</v>
      </c>
      <c r="N480" s="13" t="s">
        <v>620</v>
      </c>
      <c r="O480" s="13" t="s">
        <v>621</v>
      </c>
      <c r="P480" s="13" t="s">
        <v>622</v>
      </c>
      <c r="Q480" s="13" t="s">
        <v>623</v>
      </c>
    </row>
    <row r="481" spans="2:21" x14ac:dyDescent="0.25">
      <c r="G481">
        <v>19</v>
      </c>
      <c r="I481" s="65">
        <f>16*H460*72.9</f>
        <v>4621.7433600000004</v>
      </c>
      <c r="J481" s="65">
        <f>5*4*(30*0.3048)*113.4</f>
        <v>20738.592000000001</v>
      </c>
      <c r="K481" s="65">
        <f>((4+1)*5*5-1*5)*(30*0.3048)*20.4</f>
        <v>22384.511999999999</v>
      </c>
      <c r="L481" s="65">
        <f>2*2*H460*285.3</f>
        <v>4521.8908799999999</v>
      </c>
      <c r="M481" s="65">
        <f>2*4*H460*289.1</f>
        <v>9164.2387200000012</v>
      </c>
      <c r="N481" s="65">
        <f>2*5*(30*0.3048)*84.7</f>
        <v>7744.9679999999998</v>
      </c>
      <c r="O481" s="65">
        <f>9.76*$J$457</f>
        <v>20401.507583999999</v>
      </c>
      <c r="P481" s="65">
        <f>0.002*(1*1*0.065)*2*7800*$J$457</f>
        <v>4239.1657152000007</v>
      </c>
      <c r="Q481" s="30">
        <f>0.065*$J$457</f>
        <v>135.87069600000001</v>
      </c>
      <c r="S481" t="s">
        <v>628</v>
      </c>
      <c r="T481" s="64">
        <f>SUM(I481:J499)+SUM(L481:N499)</f>
        <v>1349196.2246400001</v>
      </c>
      <c r="U481" t="s">
        <v>247</v>
      </c>
    </row>
    <row r="482" spans="2:21" x14ac:dyDescent="0.25">
      <c r="G482">
        <v>18</v>
      </c>
      <c r="I482" s="65">
        <f>16*H461*72.9</f>
        <v>4621.7433600000004</v>
      </c>
      <c r="J482" s="65">
        <f>5*4*(30*0.3048)*101.7</f>
        <v>18598.896000000001</v>
      </c>
      <c r="K482" s="65">
        <f>((4+1)*5*5-1*5)*(30*0.3048)*20.4</f>
        <v>22384.511999999999</v>
      </c>
      <c r="L482" s="65">
        <f t="shared" ref="L482:L483" si="24">2*2*H461*285.3</f>
        <v>4521.8908799999999</v>
      </c>
      <c r="M482" s="65">
        <f t="shared" ref="M482:M484" si="25">2*4*H461*289.1</f>
        <v>9164.2387200000012</v>
      </c>
      <c r="N482" s="65">
        <f t="shared" ref="N482:N483" si="26">2*5*(30*0.3048)*84.7</f>
        <v>7744.9679999999998</v>
      </c>
      <c r="O482" s="65">
        <f t="shared" ref="O482:O499" si="27">9.76*$J$457</f>
        <v>20401.507583999999</v>
      </c>
      <c r="P482" s="65">
        <f t="shared" ref="P482:P499" si="28">0.002*(1*1*0.065)*2*7800*$J$457</f>
        <v>4239.1657152000007</v>
      </c>
      <c r="Q482" s="30">
        <f t="shared" ref="Q482:Q499" si="29">0.065*$J$457</f>
        <v>135.87069600000001</v>
      </c>
      <c r="S482" t="s">
        <v>646</v>
      </c>
      <c r="T482" s="64">
        <f>SUM(K481:K499)</f>
        <v>348221.80800000002</v>
      </c>
      <c r="U482" t="s">
        <v>247</v>
      </c>
    </row>
    <row r="483" spans="2:21" x14ac:dyDescent="0.25">
      <c r="G483">
        <v>17</v>
      </c>
      <c r="I483" s="65">
        <f>16*H462*72.9</f>
        <v>4621.7433600000004</v>
      </c>
      <c r="J483" s="65">
        <f t="shared" ref="J483:J499" si="30">5*4*(30*0.3048)*101.7</f>
        <v>18598.896000000001</v>
      </c>
      <c r="K483" s="65">
        <f>((3+1)*5*5-1*5)*(30*0.3048)*20.4</f>
        <v>17721.072</v>
      </c>
      <c r="L483" s="65">
        <f t="shared" si="24"/>
        <v>4521.8908799999999</v>
      </c>
      <c r="M483" s="65">
        <f t="shared" si="25"/>
        <v>9164.2387200000012</v>
      </c>
      <c r="N483" s="65">
        <f t="shared" si="26"/>
        <v>7744.9679999999998</v>
      </c>
      <c r="O483" s="65">
        <f t="shared" si="27"/>
        <v>20401.507583999999</v>
      </c>
      <c r="P483" s="65">
        <f t="shared" si="28"/>
        <v>4239.1657152000007</v>
      </c>
      <c r="Q483" s="30">
        <f t="shared" si="29"/>
        <v>135.87069600000001</v>
      </c>
      <c r="S483" t="s">
        <v>629</v>
      </c>
      <c r="T483" s="64">
        <f>SUM(O481:O499)</f>
        <v>387628.64409600006</v>
      </c>
      <c r="U483" t="s">
        <v>247</v>
      </c>
    </row>
    <row r="484" spans="2:21" x14ac:dyDescent="0.25">
      <c r="G484">
        <v>16</v>
      </c>
      <c r="I484" s="65">
        <f>16*H463*72.9</f>
        <v>4621.7433600000004</v>
      </c>
      <c r="J484" s="65">
        <f t="shared" si="30"/>
        <v>18598.896000000001</v>
      </c>
      <c r="K484" s="65">
        <f>((2+1)*5*5-1*5)*(30*0.3048)*27.9</f>
        <v>17858.232</v>
      </c>
      <c r="L484" s="65">
        <f>2*2*H463*285.3</f>
        <v>4521.8908799999999</v>
      </c>
      <c r="M484" s="65">
        <f t="shared" si="25"/>
        <v>9164.2387200000012</v>
      </c>
      <c r="N484" s="65">
        <f>2*5*(30*0.3048)*289.1</f>
        <v>26435.304</v>
      </c>
      <c r="O484" s="65">
        <f t="shared" si="27"/>
        <v>20401.507583999999</v>
      </c>
      <c r="P484" s="65">
        <f t="shared" si="28"/>
        <v>4239.1657152000007</v>
      </c>
      <c r="Q484" s="30">
        <f t="shared" si="29"/>
        <v>135.87069600000001</v>
      </c>
      <c r="S484" t="s">
        <v>630</v>
      </c>
      <c r="T484" s="64">
        <f>SUM(P481:P499)</f>
        <v>80544.148588799973</v>
      </c>
      <c r="U484" t="s">
        <v>247</v>
      </c>
    </row>
    <row r="485" spans="2:21" x14ac:dyDescent="0.25">
      <c r="G485">
        <v>15</v>
      </c>
      <c r="I485" s="65">
        <f>16*H464*106.9</f>
        <v>6777.2889600000008</v>
      </c>
      <c r="J485" s="65">
        <f t="shared" si="30"/>
        <v>18598.896000000001</v>
      </c>
      <c r="K485" s="65">
        <f t="shared" ref="K485:K499" si="31">((2+1)*5*5-1*5)*(30*0.3048)*27.9</f>
        <v>17858.232</v>
      </c>
      <c r="L485" s="65">
        <f>2*2*H464*299.9</f>
        <v>4753.29504</v>
      </c>
      <c r="M485" s="65">
        <f>2*4*H464*330</f>
        <v>10460.736000000001</v>
      </c>
      <c r="N485" s="65">
        <f t="shared" ref="N485:N486" si="32">2*5*(30*0.3048)*289.1</f>
        <v>26435.304</v>
      </c>
      <c r="O485" s="65">
        <f t="shared" si="27"/>
        <v>20401.507583999999</v>
      </c>
      <c r="P485" s="65">
        <f t="shared" si="28"/>
        <v>4239.1657152000007</v>
      </c>
      <c r="Q485" s="30">
        <f t="shared" si="29"/>
        <v>135.87069600000001</v>
      </c>
      <c r="S485" t="s">
        <v>631</v>
      </c>
      <c r="T485" s="60">
        <f>SUM(Q481:Q499)</f>
        <v>2581.5432239999996</v>
      </c>
      <c r="U485" t="s">
        <v>239</v>
      </c>
    </row>
    <row r="486" spans="2:21" x14ac:dyDescent="0.25">
      <c r="B486" t="s">
        <v>715</v>
      </c>
      <c r="G486">
        <v>14</v>
      </c>
      <c r="I486" s="65">
        <f t="shared" ref="I486:I487" si="33">16*H465*106.9</f>
        <v>6777.2889600000008</v>
      </c>
      <c r="J486" s="65">
        <f t="shared" si="30"/>
        <v>18598.896000000001</v>
      </c>
      <c r="K486" s="65">
        <f t="shared" si="31"/>
        <v>17858.232</v>
      </c>
      <c r="L486" s="65">
        <f t="shared" ref="L486:L487" si="34">2*2*H465*299.9</f>
        <v>4753.29504</v>
      </c>
      <c r="M486" s="65">
        <f t="shared" ref="M486:M487" si="35">2*4*H465*330</f>
        <v>10460.736000000001</v>
      </c>
      <c r="N486" s="65">
        <f t="shared" si="32"/>
        <v>26435.304</v>
      </c>
      <c r="O486" s="65">
        <f t="shared" si="27"/>
        <v>20401.507583999999</v>
      </c>
      <c r="P486" s="65">
        <f t="shared" si="28"/>
        <v>4239.1657152000007</v>
      </c>
      <c r="Q486" s="30">
        <f t="shared" si="29"/>
        <v>135.87069600000001</v>
      </c>
    </row>
    <row r="487" spans="2:21" x14ac:dyDescent="0.25">
      <c r="G487">
        <v>13</v>
      </c>
      <c r="I487" s="65">
        <f t="shared" si="33"/>
        <v>6777.2889600000008</v>
      </c>
      <c r="J487" s="65">
        <f t="shared" si="30"/>
        <v>18598.896000000001</v>
      </c>
      <c r="K487" s="65">
        <f t="shared" si="31"/>
        <v>17858.232</v>
      </c>
      <c r="L487" s="65">
        <f t="shared" si="34"/>
        <v>4753.29504</v>
      </c>
      <c r="M487" s="65">
        <f t="shared" si="35"/>
        <v>10460.736000000001</v>
      </c>
      <c r="N487" s="65">
        <f>2*5*(30*0.3048)*193.5</f>
        <v>17693.64</v>
      </c>
      <c r="O487" s="65">
        <f t="shared" si="27"/>
        <v>20401.507583999999</v>
      </c>
      <c r="P487" s="65">
        <f t="shared" si="28"/>
        <v>4239.1657152000007</v>
      </c>
      <c r="Q487" s="30">
        <f t="shared" si="29"/>
        <v>135.87069600000001</v>
      </c>
    </row>
    <row r="488" spans="2:21" x14ac:dyDescent="0.25">
      <c r="G488">
        <v>12</v>
      </c>
      <c r="I488" s="65">
        <f>16*H467*129.6</f>
        <v>8216.4326399999991</v>
      </c>
      <c r="J488" s="65">
        <f t="shared" si="30"/>
        <v>18598.896000000001</v>
      </c>
      <c r="K488" s="65">
        <f t="shared" si="31"/>
        <v>17858.232</v>
      </c>
      <c r="L488" s="65">
        <f>2*2*H467*388</f>
        <v>6149.6448</v>
      </c>
      <c r="M488" s="65">
        <f>2*4*H467*344.8</f>
        <v>10929.884160000001</v>
      </c>
      <c r="N488" s="65">
        <f t="shared" ref="N488:N489" si="36">2*5*(30*0.3048)*193.5</f>
        <v>17693.64</v>
      </c>
      <c r="O488" s="65">
        <f t="shared" si="27"/>
        <v>20401.507583999999</v>
      </c>
      <c r="P488" s="65">
        <f t="shared" si="28"/>
        <v>4239.1657152000007</v>
      </c>
      <c r="Q488" s="30">
        <f t="shared" si="29"/>
        <v>135.87069600000001</v>
      </c>
    </row>
    <row r="489" spans="2:21" x14ac:dyDescent="0.25">
      <c r="G489">
        <v>11</v>
      </c>
      <c r="I489" s="65">
        <f t="shared" ref="I489" si="37">16*H468*129.6</f>
        <v>8216.4326399999991</v>
      </c>
      <c r="J489" s="65">
        <f t="shared" si="30"/>
        <v>18598.896000000001</v>
      </c>
      <c r="K489" s="65">
        <f t="shared" si="31"/>
        <v>17858.232</v>
      </c>
      <c r="L489" s="65">
        <f t="shared" ref="L489:L490" si="38">2*2*H468*388</f>
        <v>6149.6448</v>
      </c>
      <c r="M489" s="65">
        <f t="shared" ref="M489:M490" si="39">2*4*H468*344.8</f>
        <v>10929.884160000001</v>
      </c>
      <c r="N489" s="65">
        <f t="shared" si="36"/>
        <v>17693.64</v>
      </c>
      <c r="O489" s="65">
        <f t="shared" si="27"/>
        <v>20401.507583999999</v>
      </c>
      <c r="P489" s="65">
        <f t="shared" si="28"/>
        <v>4239.1657152000007</v>
      </c>
      <c r="Q489" s="30">
        <f t="shared" si="29"/>
        <v>135.87069600000001</v>
      </c>
    </row>
    <row r="490" spans="2:21" x14ac:dyDescent="0.25">
      <c r="G490">
        <v>10</v>
      </c>
      <c r="I490" s="65">
        <f>16*H469*129.6</f>
        <v>8216.4326399999991</v>
      </c>
      <c r="J490" s="65">
        <f t="shared" si="30"/>
        <v>18598.896000000001</v>
      </c>
      <c r="K490" s="65">
        <f t="shared" si="31"/>
        <v>17858.232</v>
      </c>
      <c r="L490" s="65">
        <f t="shared" si="38"/>
        <v>6149.6448</v>
      </c>
      <c r="M490" s="65">
        <f t="shared" si="39"/>
        <v>10929.884160000001</v>
      </c>
      <c r="N490" s="65">
        <f>2*5*(30*0.3048)*223.9</f>
        <v>20473.416000000001</v>
      </c>
      <c r="O490" s="65">
        <f t="shared" si="27"/>
        <v>20401.507583999999</v>
      </c>
      <c r="P490" s="65">
        <f t="shared" si="28"/>
        <v>4239.1657152000007</v>
      </c>
      <c r="Q490" s="30">
        <f t="shared" si="29"/>
        <v>135.87069600000001</v>
      </c>
    </row>
    <row r="491" spans="2:21" x14ac:dyDescent="0.25">
      <c r="G491">
        <v>9</v>
      </c>
      <c r="I491" s="65">
        <f>16*H470*157.4</f>
        <v>9978.9081600000009</v>
      </c>
      <c r="J491" s="65">
        <f t="shared" si="30"/>
        <v>18598.896000000001</v>
      </c>
      <c r="K491" s="65">
        <f t="shared" si="31"/>
        <v>17858.232</v>
      </c>
      <c r="L491" s="65">
        <f>2*2*H470*419.2</f>
        <v>6644.1523200000001</v>
      </c>
      <c r="M491" s="65">
        <f>2*4*H470*388</f>
        <v>12299.2896</v>
      </c>
      <c r="N491" s="65">
        <f t="shared" ref="N491:N492" si="40">2*5*(30*0.3048)*223.9</f>
        <v>20473.416000000001</v>
      </c>
      <c r="O491" s="65">
        <f t="shared" si="27"/>
        <v>20401.507583999999</v>
      </c>
      <c r="P491" s="65">
        <f t="shared" si="28"/>
        <v>4239.1657152000007</v>
      </c>
      <c r="Q491" s="30">
        <f t="shared" si="29"/>
        <v>135.87069600000001</v>
      </c>
    </row>
    <row r="492" spans="2:21" x14ac:dyDescent="0.25">
      <c r="G492">
        <v>8</v>
      </c>
      <c r="I492" s="65">
        <f t="shared" ref="I492:I493" si="41">16*H471*157.4</f>
        <v>9978.9081600000009</v>
      </c>
      <c r="J492" s="65">
        <f t="shared" si="30"/>
        <v>18598.896000000001</v>
      </c>
      <c r="K492" s="65">
        <f t="shared" si="31"/>
        <v>17858.232</v>
      </c>
      <c r="L492" s="65">
        <f t="shared" ref="L492:L493" si="42">2*2*H471*419.2</f>
        <v>6644.1523200000001</v>
      </c>
      <c r="M492" s="65">
        <f>2*4*H471*388</f>
        <v>12299.2896</v>
      </c>
      <c r="N492" s="65">
        <f t="shared" si="40"/>
        <v>20473.416000000001</v>
      </c>
      <c r="O492" s="65">
        <f t="shared" si="27"/>
        <v>20401.507583999999</v>
      </c>
      <c r="P492" s="65">
        <f t="shared" si="28"/>
        <v>4239.1657152000007</v>
      </c>
      <c r="Q492" s="30">
        <f t="shared" si="29"/>
        <v>135.87069600000001</v>
      </c>
    </row>
    <row r="493" spans="2:21" x14ac:dyDescent="0.25">
      <c r="G493">
        <v>7</v>
      </c>
      <c r="I493" s="65">
        <f t="shared" si="41"/>
        <v>9978.9081600000009</v>
      </c>
      <c r="J493" s="65">
        <f t="shared" si="30"/>
        <v>18598.896000000001</v>
      </c>
      <c r="K493" s="65">
        <f t="shared" si="31"/>
        <v>17858.232</v>
      </c>
      <c r="L493" s="65">
        <f t="shared" si="42"/>
        <v>6644.1523200000001</v>
      </c>
      <c r="M493" s="65">
        <f>2*4*H472*388</f>
        <v>12299.2896</v>
      </c>
      <c r="N493" s="65">
        <f>2*5*(30*0.3048)*253.4</f>
        <v>23170.896000000001</v>
      </c>
      <c r="O493" s="65">
        <f t="shared" si="27"/>
        <v>20401.507583999999</v>
      </c>
      <c r="P493" s="65">
        <f t="shared" si="28"/>
        <v>4239.1657152000007</v>
      </c>
      <c r="Q493" s="30">
        <f t="shared" si="29"/>
        <v>135.87069600000001</v>
      </c>
    </row>
    <row r="494" spans="2:21" x14ac:dyDescent="0.25">
      <c r="G494">
        <v>6</v>
      </c>
      <c r="I494" s="65">
        <f>16*H473*178.7</f>
        <v>11329.29408</v>
      </c>
      <c r="J494" s="65">
        <f t="shared" si="30"/>
        <v>18598.896000000001</v>
      </c>
      <c r="K494" s="65">
        <f t="shared" si="31"/>
        <v>17858.232</v>
      </c>
      <c r="L494" s="65">
        <f>2*2*H473*489.3</f>
        <v>7755.20928</v>
      </c>
      <c r="M494" s="65">
        <f>2*4*H473*448.5</f>
        <v>14217.091200000001</v>
      </c>
      <c r="N494" s="65">
        <f t="shared" ref="N494:N495" si="43">2*5*(30*0.3048)*253.4</f>
        <v>23170.896000000001</v>
      </c>
      <c r="O494" s="65">
        <f t="shared" si="27"/>
        <v>20401.507583999999</v>
      </c>
      <c r="P494" s="65">
        <f t="shared" si="28"/>
        <v>4239.1657152000007</v>
      </c>
      <c r="Q494" s="30">
        <f t="shared" si="29"/>
        <v>135.87069600000001</v>
      </c>
    </row>
    <row r="495" spans="2:21" x14ac:dyDescent="0.25">
      <c r="G495">
        <v>5</v>
      </c>
      <c r="I495" s="65">
        <f t="shared" ref="I495:I496" si="44">16*H474*178.7</f>
        <v>11329.29408</v>
      </c>
      <c r="J495" s="65">
        <f t="shared" si="30"/>
        <v>18598.896000000001</v>
      </c>
      <c r="K495" s="65">
        <f t="shared" si="31"/>
        <v>17858.232</v>
      </c>
      <c r="L495" s="65">
        <f t="shared" ref="L495:L496" si="45">2*2*H474*489.3</f>
        <v>7755.20928</v>
      </c>
      <c r="M495" s="65">
        <f t="shared" ref="M495:M496" si="46">2*4*H474*448.5</f>
        <v>14217.091200000001</v>
      </c>
      <c r="N495" s="65">
        <f t="shared" si="43"/>
        <v>23170.896000000001</v>
      </c>
      <c r="O495" s="65">
        <f t="shared" si="27"/>
        <v>20401.507583999999</v>
      </c>
      <c r="P495" s="65">
        <f t="shared" si="28"/>
        <v>4239.1657152000007</v>
      </c>
      <c r="Q495" s="30">
        <f t="shared" si="29"/>
        <v>135.87069600000001</v>
      </c>
    </row>
    <row r="496" spans="2:21" x14ac:dyDescent="0.25">
      <c r="G496">
        <v>4</v>
      </c>
      <c r="I496" s="65">
        <f t="shared" si="44"/>
        <v>11329.29408</v>
      </c>
      <c r="J496" s="65">
        <f t="shared" si="30"/>
        <v>18598.896000000001</v>
      </c>
      <c r="K496" s="65">
        <f t="shared" si="31"/>
        <v>17858.232</v>
      </c>
      <c r="L496" s="65">
        <f t="shared" si="45"/>
        <v>7755.20928</v>
      </c>
      <c r="M496" s="65">
        <f t="shared" si="46"/>
        <v>14217.091200000001</v>
      </c>
      <c r="N496" s="65">
        <f>2*5*(30*0.3048)*288.3</f>
        <v>26362.152000000002</v>
      </c>
      <c r="O496" s="65">
        <f t="shared" si="27"/>
        <v>20401.507583999999</v>
      </c>
      <c r="P496" s="65">
        <f t="shared" si="28"/>
        <v>4239.1657152000007</v>
      </c>
      <c r="Q496" s="30">
        <f t="shared" si="29"/>
        <v>135.87069600000001</v>
      </c>
    </row>
    <row r="497" spans="1:17" x14ac:dyDescent="0.25">
      <c r="G497">
        <v>3</v>
      </c>
      <c r="I497" s="65">
        <f>16*H476*313.4</f>
        <v>19869.058559999998</v>
      </c>
      <c r="J497" s="65">
        <f t="shared" si="30"/>
        <v>18598.896000000001</v>
      </c>
      <c r="K497" s="65">
        <f t="shared" si="31"/>
        <v>17858.232</v>
      </c>
      <c r="L497" s="65">
        <f>2*2*H476*655.7</f>
        <v>10392.58272</v>
      </c>
      <c r="M497" s="65">
        <f>2*4*H476*587.2</f>
        <v>18613.770240000002</v>
      </c>
      <c r="N497" s="65">
        <f t="shared" ref="N497" si="47">2*5*(30*0.3048)*288.3</f>
        <v>26362.152000000002</v>
      </c>
      <c r="O497" s="65">
        <f t="shared" si="27"/>
        <v>20401.507583999999</v>
      </c>
      <c r="P497" s="65">
        <f t="shared" si="28"/>
        <v>4239.1657152000007</v>
      </c>
      <c r="Q497" s="30">
        <f t="shared" si="29"/>
        <v>135.87069600000001</v>
      </c>
    </row>
    <row r="498" spans="1:17" x14ac:dyDescent="0.25">
      <c r="G498">
        <v>2</v>
      </c>
      <c r="I498" s="65">
        <f t="shared" ref="I498:I499" si="48">16*H477*313.4</f>
        <v>19869.058559999998</v>
      </c>
      <c r="J498" s="65">
        <f t="shared" si="30"/>
        <v>18598.896000000001</v>
      </c>
      <c r="K498" s="65">
        <f t="shared" si="31"/>
        <v>17858.232</v>
      </c>
      <c r="L498" s="65">
        <f t="shared" ref="L498:L499" si="49">2*2*H477*655.7</f>
        <v>10392.58272</v>
      </c>
      <c r="M498" s="65">
        <f t="shared" ref="M498:M499" si="50">2*4*H477*587.2</f>
        <v>18613.770240000002</v>
      </c>
      <c r="N498" s="65">
        <f>2*5*(30*0.3048)*312.4</f>
        <v>28565.855999999996</v>
      </c>
      <c r="O498" s="65">
        <f t="shared" si="27"/>
        <v>20401.507583999999</v>
      </c>
      <c r="P498" s="65">
        <f t="shared" si="28"/>
        <v>4239.1657152000007</v>
      </c>
      <c r="Q498" s="30">
        <f t="shared" si="29"/>
        <v>135.87069600000001</v>
      </c>
    </row>
    <row r="499" spans="1:17" x14ac:dyDescent="0.25">
      <c r="G499">
        <v>1</v>
      </c>
      <c r="I499" s="65">
        <f t="shared" si="48"/>
        <v>39738.117119999995</v>
      </c>
      <c r="J499" s="65">
        <f t="shared" si="30"/>
        <v>18598.896000000001</v>
      </c>
      <c r="K499" s="65">
        <f t="shared" si="31"/>
        <v>17858.232</v>
      </c>
      <c r="L499" s="65">
        <f t="shared" si="49"/>
        <v>20785.165440000001</v>
      </c>
      <c r="M499" s="65">
        <f t="shared" si="50"/>
        <v>37227.540480000003</v>
      </c>
      <c r="N499" s="65">
        <f>2*5*(30*0.3048)*312.4</f>
        <v>28565.855999999996</v>
      </c>
      <c r="O499" s="65">
        <f t="shared" si="27"/>
        <v>20401.507583999999</v>
      </c>
      <c r="P499" s="65">
        <f t="shared" si="28"/>
        <v>4239.1657152000007</v>
      </c>
      <c r="Q499" s="30">
        <f t="shared" si="29"/>
        <v>135.87069600000001</v>
      </c>
    </row>
    <row r="502" spans="1:17" s="1" customFormat="1" x14ac:dyDescent="0.25"/>
    <row r="504" spans="1:17" x14ac:dyDescent="0.25">
      <c r="A504" t="s">
        <v>688</v>
      </c>
    </row>
    <row r="505" spans="1:17" x14ac:dyDescent="0.25">
      <c r="I505" t="s">
        <v>686</v>
      </c>
      <c r="J505" t="s">
        <v>689</v>
      </c>
    </row>
    <row r="506" spans="1:17" x14ac:dyDescent="0.25">
      <c r="B506" t="s">
        <v>653</v>
      </c>
      <c r="C506" t="s">
        <v>654</v>
      </c>
      <c r="D506" t="s">
        <v>655</v>
      </c>
      <c r="E506" t="s">
        <v>656</v>
      </c>
      <c r="F506" t="s">
        <v>657</v>
      </c>
      <c r="G506" t="s">
        <v>658</v>
      </c>
      <c r="H506" t="s">
        <v>687</v>
      </c>
      <c r="I506" s="13" t="s">
        <v>687</v>
      </c>
    </row>
    <row r="507" spans="1:17" x14ac:dyDescent="0.25">
      <c r="A507" s="13" t="s">
        <v>354</v>
      </c>
      <c r="B507" s="13" t="s">
        <v>659</v>
      </c>
      <c r="C507" s="13" t="s">
        <v>660</v>
      </c>
      <c r="D507" s="13">
        <v>1</v>
      </c>
      <c r="E507" s="13">
        <v>3375</v>
      </c>
      <c r="F507" s="13">
        <v>225</v>
      </c>
      <c r="G507" s="6" t="s">
        <v>661</v>
      </c>
      <c r="H507" s="13" t="s">
        <v>63</v>
      </c>
      <c r="I507" s="65">
        <f>E507*0.3048^2</f>
        <v>313.54776000000004</v>
      </c>
      <c r="J507" s="65">
        <f>I507*2*(19-1)</f>
        <v>11287.719360000001</v>
      </c>
      <c r="K507" s="13"/>
      <c r="L507" s="13"/>
      <c r="M507" s="13"/>
      <c r="N507" s="13"/>
    </row>
    <row r="508" spans="1:17" x14ac:dyDescent="0.25">
      <c r="A508" s="13" t="s">
        <v>354</v>
      </c>
      <c r="B508" s="13" t="s">
        <v>659</v>
      </c>
      <c r="C508" s="13">
        <v>1</v>
      </c>
      <c r="D508" s="13">
        <v>1</v>
      </c>
      <c r="E508" s="13">
        <v>674.99999999999989</v>
      </c>
      <c r="F508" s="13">
        <v>44.999999999999993</v>
      </c>
      <c r="G508" s="6" t="s">
        <v>661</v>
      </c>
      <c r="H508" s="13" t="s">
        <v>63</v>
      </c>
      <c r="I508" s="65">
        <f>E508*0.3048^2</f>
        <v>62.709551999999995</v>
      </c>
      <c r="J508" s="65">
        <f>I508*2</f>
        <v>125.41910399999999</v>
      </c>
      <c r="K508" s="31"/>
      <c r="L508" s="31"/>
      <c r="M508" s="13"/>
      <c r="N508" s="30"/>
    </row>
    <row r="509" spans="1:17" x14ac:dyDescent="0.25">
      <c r="A509" s="13" t="s">
        <v>12</v>
      </c>
      <c r="B509" s="13" t="s">
        <v>659</v>
      </c>
      <c r="C509" s="13" t="s">
        <v>660</v>
      </c>
      <c r="D509" s="13">
        <v>1</v>
      </c>
      <c r="E509" s="13">
        <v>6075</v>
      </c>
      <c r="F509" s="13">
        <v>61</v>
      </c>
      <c r="G509" s="6" t="s">
        <v>662</v>
      </c>
      <c r="H509" s="13" t="s">
        <v>63</v>
      </c>
      <c r="I509" s="65">
        <f>E509*0.3048^2</f>
        <v>564.38596800000005</v>
      </c>
      <c r="J509" s="65">
        <f>I509</f>
        <v>564.38596800000005</v>
      </c>
      <c r="K509" s="31"/>
      <c r="L509" s="31"/>
      <c r="M509" s="13"/>
      <c r="N509" s="30"/>
    </row>
    <row r="510" spans="1:17" x14ac:dyDescent="0.25">
      <c r="A510" s="13" t="s">
        <v>12</v>
      </c>
      <c r="B510" s="13" t="s">
        <v>659</v>
      </c>
      <c r="C510" s="13">
        <v>1</v>
      </c>
      <c r="D510" s="13">
        <v>1</v>
      </c>
      <c r="E510" s="13">
        <v>11250</v>
      </c>
      <c r="F510" s="13">
        <v>113</v>
      </c>
      <c r="G510" s="6" t="s">
        <v>662</v>
      </c>
      <c r="H510" s="13" t="s">
        <v>63</v>
      </c>
      <c r="I510" s="65">
        <f>E510*0.3048^2</f>
        <v>1045.1592000000001</v>
      </c>
      <c r="J510" s="65">
        <f>I510</f>
        <v>1045.1592000000001</v>
      </c>
      <c r="K510" s="31"/>
      <c r="L510" s="31"/>
      <c r="M510" s="13"/>
      <c r="N510" s="30"/>
    </row>
    <row r="511" spans="1:17" x14ac:dyDescent="0.25">
      <c r="A511" s="13" t="s">
        <v>7</v>
      </c>
      <c r="B511" s="13" t="s">
        <v>9</v>
      </c>
      <c r="C511" s="13" t="s">
        <v>660</v>
      </c>
      <c r="D511" s="13">
        <v>1</v>
      </c>
      <c r="E511" s="13">
        <v>1125</v>
      </c>
      <c r="F511" s="13">
        <v>23</v>
      </c>
      <c r="G511" s="6" t="s">
        <v>663</v>
      </c>
      <c r="H511" s="13" t="s">
        <v>64</v>
      </c>
      <c r="I511" s="65">
        <f>E511*0.3048</f>
        <v>342.90000000000003</v>
      </c>
      <c r="J511" s="65">
        <f>I511*2*(19-1)</f>
        <v>12344.400000000001</v>
      </c>
      <c r="K511" s="31"/>
      <c r="L511" s="31"/>
      <c r="M511" s="13"/>
      <c r="N511" s="30"/>
    </row>
    <row r="512" spans="1:17" x14ac:dyDescent="0.25">
      <c r="A512" s="13" t="s">
        <v>7</v>
      </c>
      <c r="B512" s="13" t="s">
        <v>9</v>
      </c>
      <c r="C512" s="13">
        <v>1</v>
      </c>
      <c r="D512" s="13">
        <v>1</v>
      </c>
      <c r="E512" s="13">
        <v>112.5</v>
      </c>
      <c r="F512" s="13">
        <v>3</v>
      </c>
      <c r="G512" s="6" t="s">
        <v>663</v>
      </c>
      <c r="H512" s="13" t="s">
        <v>64</v>
      </c>
      <c r="I512" s="65">
        <f>E512*0.3048</f>
        <v>34.29</v>
      </c>
      <c r="J512" s="65">
        <f>I512*2</f>
        <v>68.58</v>
      </c>
      <c r="K512" s="31"/>
      <c r="L512" s="31"/>
      <c r="M512" s="13"/>
      <c r="N512" s="30"/>
    </row>
    <row r="513" spans="1:14" x14ac:dyDescent="0.25">
      <c r="A513" s="13" t="s">
        <v>355</v>
      </c>
      <c r="B513" s="13" t="s">
        <v>9</v>
      </c>
      <c r="C513" s="13" t="s">
        <v>660</v>
      </c>
      <c r="D513" s="13">
        <v>1</v>
      </c>
      <c r="E513" s="13">
        <v>170.10000000000002</v>
      </c>
      <c r="F513" s="13">
        <v>2</v>
      </c>
      <c r="G513" s="6" t="s">
        <v>664</v>
      </c>
      <c r="H513" s="13" t="s">
        <v>64</v>
      </c>
      <c r="I513" s="65">
        <f>E513*0.3048</f>
        <v>51.846480000000007</v>
      </c>
      <c r="J513" s="65">
        <f>I513*(19-1)</f>
        <v>933.23664000000008</v>
      </c>
      <c r="K513" s="31"/>
      <c r="L513" s="31"/>
      <c r="M513" s="13"/>
      <c r="N513" s="30"/>
    </row>
    <row r="514" spans="1:14" x14ac:dyDescent="0.25">
      <c r="A514" s="13" t="s">
        <v>355</v>
      </c>
      <c r="B514" s="13" t="s">
        <v>9</v>
      </c>
      <c r="C514" s="13">
        <v>1</v>
      </c>
      <c r="D514" s="13">
        <v>1</v>
      </c>
      <c r="E514" s="13">
        <v>242.99999999999997</v>
      </c>
      <c r="F514" s="13">
        <v>3</v>
      </c>
      <c r="G514" s="6" t="s">
        <v>664</v>
      </c>
      <c r="H514" s="13" t="s">
        <v>64</v>
      </c>
      <c r="I514" s="65">
        <f>E514*0.3048</f>
        <v>74.066400000000002</v>
      </c>
      <c r="J514" s="65">
        <f>I514</f>
        <v>74.066400000000002</v>
      </c>
      <c r="K514" s="31"/>
      <c r="L514" s="31"/>
      <c r="M514" s="13"/>
      <c r="N514" s="30"/>
    </row>
    <row r="515" spans="1:14" x14ac:dyDescent="0.25">
      <c r="A515" s="13" t="s">
        <v>357</v>
      </c>
      <c r="B515" s="13" t="s">
        <v>659</v>
      </c>
      <c r="C515" s="13" t="s">
        <v>665</v>
      </c>
      <c r="D515" s="13">
        <v>1</v>
      </c>
      <c r="E515" s="13">
        <v>20250</v>
      </c>
      <c r="F515" s="13">
        <v>81</v>
      </c>
      <c r="G515" s="6" t="s">
        <v>666</v>
      </c>
      <c r="H515" s="13" t="s">
        <v>63</v>
      </c>
      <c r="I515" s="65">
        <f>E515*(0.3048)^2</f>
        <v>1881.2865600000002</v>
      </c>
      <c r="J515" s="65">
        <f>I515*19</f>
        <v>35744.444640000002</v>
      </c>
      <c r="K515" s="31"/>
      <c r="L515" s="31"/>
      <c r="M515" s="13"/>
      <c r="N515" s="30"/>
    </row>
    <row r="516" spans="1:14" x14ac:dyDescent="0.25">
      <c r="A516" s="13" t="s">
        <v>358</v>
      </c>
      <c r="B516" s="13" t="s">
        <v>9</v>
      </c>
      <c r="C516" s="13" t="s">
        <v>660</v>
      </c>
      <c r="D516" s="13">
        <v>1</v>
      </c>
      <c r="E516" s="13">
        <v>945</v>
      </c>
      <c r="F516" s="13">
        <v>1</v>
      </c>
      <c r="G516" s="6" t="s">
        <v>667</v>
      </c>
      <c r="H516" s="13" t="s">
        <v>64</v>
      </c>
      <c r="I516" s="65">
        <f t="shared" ref="I516:I521" si="51">E516*0.3048</f>
        <v>288.036</v>
      </c>
      <c r="J516" s="65">
        <f>I516*(19-1)</f>
        <v>5184.6480000000001</v>
      </c>
      <c r="K516" s="31"/>
      <c r="L516" s="31"/>
      <c r="M516" s="13"/>
      <c r="N516" s="30"/>
    </row>
    <row r="517" spans="1:14" x14ac:dyDescent="0.25">
      <c r="A517" s="13" t="s">
        <v>358</v>
      </c>
      <c r="B517" s="13" t="s">
        <v>9</v>
      </c>
      <c r="C517" s="13">
        <v>1</v>
      </c>
      <c r="D517" s="13">
        <v>1</v>
      </c>
      <c r="E517" s="13">
        <v>675</v>
      </c>
      <c r="F517" s="13">
        <v>1</v>
      </c>
      <c r="G517" s="6" t="s">
        <v>667</v>
      </c>
      <c r="H517" s="13" t="s">
        <v>64</v>
      </c>
      <c r="I517" s="65">
        <f t="shared" si="51"/>
        <v>205.74</v>
      </c>
      <c r="J517" s="65">
        <f>I517</f>
        <v>205.74</v>
      </c>
      <c r="K517" s="31"/>
      <c r="L517" s="31"/>
      <c r="M517" s="13"/>
      <c r="N517" s="30"/>
    </row>
    <row r="518" spans="1:14" x14ac:dyDescent="0.25">
      <c r="A518" s="13" t="s">
        <v>359</v>
      </c>
      <c r="B518" s="13" t="s">
        <v>9</v>
      </c>
      <c r="C518" s="13" t="s">
        <v>660</v>
      </c>
      <c r="D518" s="13">
        <v>1</v>
      </c>
      <c r="E518" s="13">
        <v>450</v>
      </c>
      <c r="F518" s="13">
        <v>1</v>
      </c>
      <c r="G518" s="6" t="s">
        <v>668</v>
      </c>
      <c r="H518" s="13" t="s">
        <v>64</v>
      </c>
      <c r="I518" s="65">
        <f t="shared" si="51"/>
        <v>137.16</v>
      </c>
      <c r="J518" s="65">
        <f>I518*(19-1)</f>
        <v>2468.88</v>
      </c>
    </row>
    <row r="519" spans="1:14" x14ac:dyDescent="0.25">
      <c r="A519" s="13" t="s">
        <v>359</v>
      </c>
      <c r="B519" s="13" t="s">
        <v>9</v>
      </c>
      <c r="C519" s="13">
        <v>1</v>
      </c>
      <c r="D519" s="13">
        <v>1</v>
      </c>
      <c r="E519" s="13">
        <v>1125</v>
      </c>
      <c r="F519" s="13">
        <v>2</v>
      </c>
      <c r="G519" s="6" t="s">
        <v>668</v>
      </c>
      <c r="H519" s="13" t="s">
        <v>64</v>
      </c>
      <c r="I519" s="65">
        <f t="shared" si="51"/>
        <v>342.90000000000003</v>
      </c>
      <c r="J519" s="65">
        <f>I519</f>
        <v>342.90000000000003</v>
      </c>
    </row>
    <row r="520" spans="1:14" x14ac:dyDescent="0.25">
      <c r="A520" s="13" t="s">
        <v>360</v>
      </c>
      <c r="B520" s="13" t="s">
        <v>9</v>
      </c>
      <c r="C520" s="13" t="s">
        <v>660</v>
      </c>
      <c r="D520" s="13">
        <v>1</v>
      </c>
      <c r="E520" s="13">
        <v>1687.4999999999998</v>
      </c>
      <c r="F520" s="13">
        <v>2</v>
      </c>
      <c r="G520" s="6" t="s">
        <v>669</v>
      </c>
      <c r="H520" s="13" t="s">
        <v>64</v>
      </c>
      <c r="I520" s="65">
        <f t="shared" si="51"/>
        <v>514.34999999999991</v>
      </c>
      <c r="J520" s="65">
        <f>I520*(19-1)</f>
        <v>9258.2999999999993</v>
      </c>
    </row>
    <row r="521" spans="1:14" x14ac:dyDescent="0.25">
      <c r="A521" s="13" t="s">
        <v>360</v>
      </c>
      <c r="B521" s="13" t="s">
        <v>9</v>
      </c>
      <c r="C521" s="13">
        <v>1</v>
      </c>
      <c r="D521" s="13">
        <v>1</v>
      </c>
      <c r="E521" s="13">
        <v>112.5</v>
      </c>
      <c r="F521" s="13">
        <v>1</v>
      </c>
      <c r="G521" s="6" t="s">
        <v>669</v>
      </c>
      <c r="H521" s="13" t="s">
        <v>64</v>
      </c>
      <c r="I521" s="65">
        <f t="shared" si="51"/>
        <v>34.29</v>
      </c>
      <c r="J521" s="65">
        <f>I521</f>
        <v>34.29</v>
      </c>
    </row>
    <row r="522" spans="1:14" x14ac:dyDescent="0.25">
      <c r="A522" s="13" t="s">
        <v>362</v>
      </c>
      <c r="B522" s="13" t="s">
        <v>670</v>
      </c>
      <c r="C522" s="13" t="s">
        <v>660</v>
      </c>
      <c r="D522" s="13">
        <v>1</v>
      </c>
      <c r="E522" s="13">
        <v>203</v>
      </c>
      <c r="F522" s="13">
        <v>21</v>
      </c>
      <c r="G522" s="6" t="s">
        <v>671</v>
      </c>
      <c r="H522" s="13" t="s">
        <v>110</v>
      </c>
      <c r="I522" s="65">
        <f>E522</f>
        <v>203</v>
      </c>
      <c r="J522" s="65">
        <f>I522*(19-1)</f>
        <v>3654</v>
      </c>
    </row>
    <row r="523" spans="1:14" x14ac:dyDescent="0.25">
      <c r="A523" s="13" t="s">
        <v>361</v>
      </c>
      <c r="B523" s="13" t="s">
        <v>670</v>
      </c>
      <c r="C523" s="13" t="s">
        <v>660</v>
      </c>
      <c r="D523" s="13">
        <v>1</v>
      </c>
      <c r="E523" s="13">
        <v>113</v>
      </c>
      <c r="F523" s="13">
        <v>12</v>
      </c>
      <c r="G523" s="6" t="s">
        <v>672</v>
      </c>
      <c r="H523" s="13" t="s">
        <v>110</v>
      </c>
      <c r="I523" s="65">
        <f>E523</f>
        <v>113</v>
      </c>
      <c r="J523" s="65">
        <f>I523*(19-1)</f>
        <v>2034</v>
      </c>
    </row>
    <row r="524" spans="1:14" x14ac:dyDescent="0.25">
      <c r="A524" s="13" t="s">
        <v>361</v>
      </c>
      <c r="B524" s="13" t="s">
        <v>670</v>
      </c>
      <c r="C524" s="13">
        <v>1</v>
      </c>
      <c r="D524" s="13">
        <v>1</v>
      </c>
      <c r="E524" s="13">
        <v>90</v>
      </c>
      <c r="F524" s="13">
        <v>9</v>
      </c>
      <c r="G524" s="6" t="s">
        <v>672</v>
      </c>
      <c r="H524" s="13" t="s">
        <v>110</v>
      </c>
      <c r="I524" s="65">
        <f>E524</f>
        <v>90</v>
      </c>
      <c r="J524" s="65">
        <f>I524</f>
        <v>90</v>
      </c>
    </row>
    <row r="525" spans="1:14" x14ac:dyDescent="0.25">
      <c r="A525" s="13" t="s">
        <v>363</v>
      </c>
      <c r="B525" s="13" t="s">
        <v>670</v>
      </c>
      <c r="C525" s="13" t="s">
        <v>665</v>
      </c>
      <c r="D525" s="13">
        <v>1</v>
      </c>
      <c r="E525" s="13">
        <v>338</v>
      </c>
      <c r="F525" s="13">
        <v>338</v>
      </c>
      <c r="G525" s="6" t="s">
        <v>673</v>
      </c>
      <c r="H525" s="13" t="s">
        <v>110</v>
      </c>
      <c r="I525" s="65">
        <f>E525</f>
        <v>338</v>
      </c>
      <c r="J525" s="65">
        <f>I525*19</f>
        <v>6422</v>
      </c>
    </row>
    <row r="526" spans="1:14" x14ac:dyDescent="0.25">
      <c r="A526" s="13" t="s">
        <v>364</v>
      </c>
      <c r="B526" s="13" t="s">
        <v>9</v>
      </c>
      <c r="C526" s="13" t="s">
        <v>660</v>
      </c>
      <c r="D526" s="13">
        <v>1</v>
      </c>
      <c r="E526" s="13">
        <v>4500</v>
      </c>
      <c r="F526" s="13">
        <v>5</v>
      </c>
      <c r="G526" s="6" t="s">
        <v>674</v>
      </c>
      <c r="H526" s="13" t="s">
        <v>64</v>
      </c>
      <c r="I526" s="65">
        <f>E526*0.3048</f>
        <v>1371.6000000000001</v>
      </c>
      <c r="J526" s="65">
        <f>I526*(19-1)</f>
        <v>24688.800000000003</v>
      </c>
    </row>
    <row r="527" spans="1:14" x14ac:dyDescent="0.25">
      <c r="A527" s="13" t="s">
        <v>364</v>
      </c>
      <c r="B527" s="13" t="s">
        <v>9</v>
      </c>
      <c r="C527" s="13">
        <v>1</v>
      </c>
      <c r="D527" s="13">
        <v>1</v>
      </c>
      <c r="E527" s="13">
        <v>4050</v>
      </c>
      <c r="F527" s="13">
        <v>5</v>
      </c>
      <c r="G527" s="6" t="s">
        <v>674</v>
      </c>
      <c r="H527" s="13" t="s">
        <v>64</v>
      </c>
      <c r="I527" s="65">
        <f>E527*0.3048</f>
        <v>1234.44</v>
      </c>
      <c r="J527" s="65">
        <f>I527</f>
        <v>1234.44</v>
      </c>
    </row>
    <row r="528" spans="1:14" x14ac:dyDescent="0.25">
      <c r="A528" s="13" t="s">
        <v>366</v>
      </c>
      <c r="B528" s="13" t="s">
        <v>670</v>
      </c>
      <c r="C528" s="13" t="s">
        <v>660</v>
      </c>
      <c r="D528" s="13">
        <v>1</v>
      </c>
      <c r="E528" s="13">
        <v>203</v>
      </c>
      <c r="F528" s="13">
        <v>3</v>
      </c>
      <c r="G528" s="6" t="s">
        <v>675</v>
      </c>
      <c r="H528" s="13" t="s">
        <v>110</v>
      </c>
      <c r="I528" s="13">
        <f>E528</f>
        <v>203</v>
      </c>
      <c r="J528" s="13">
        <f>I528*(19-1)</f>
        <v>3654</v>
      </c>
    </row>
    <row r="529" spans="1:10" x14ac:dyDescent="0.25">
      <c r="A529" s="13" t="s">
        <v>366</v>
      </c>
      <c r="B529" s="13" t="s">
        <v>670</v>
      </c>
      <c r="C529" s="13">
        <v>1</v>
      </c>
      <c r="D529" s="13">
        <v>1</v>
      </c>
      <c r="E529" s="13">
        <v>180</v>
      </c>
      <c r="F529" s="13">
        <v>2</v>
      </c>
      <c r="G529" s="6" t="s">
        <v>675</v>
      </c>
      <c r="H529" s="13" t="s">
        <v>110</v>
      </c>
      <c r="I529" s="13">
        <f>E529</f>
        <v>180</v>
      </c>
      <c r="J529" s="13">
        <f>I529</f>
        <v>180</v>
      </c>
    </row>
    <row r="530" spans="1:10" x14ac:dyDescent="0.25">
      <c r="A530" s="13" t="s">
        <v>365</v>
      </c>
      <c r="B530" s="13" t="s">
        <v>670</v>
      </c>
      <c r="C530" s="13" t="s">
        <v>665</v>
      </c>
      <c r="D530" s="13">
        <v>1</v>
      </c>
      <c r="E530" s="13">
        <v>3</v>
      </c>
      <c r="F530" s="13">
        <v>3</v>
      </c>
      <c r="G530" s="6" t="s">
        <v>676</v>
      </c>
      <c r="H530" s="13" t="s">
        <v>110</v>
      </c>
      <c r="I530" s="13">
        <f>E530</f>
        <v>3</v>
      </c>
      <c r="J530" s="13">
        <f>I530*19</f>
        <v>57</v>
      </c>
    </row>
    <row r="531" spans="1:10" x14ac:dyDescent="0.25">
      <c r="A531" s="13" t="s">
        <v>367</v>
      </c>
      <c r="B531" s="13" t="s">
        <v>670</v>
      </c>
      <c r="C531" s="13" t="s">
        <v>665</v>
      </c>
      <c r="D531" s="13">
        <v>1</v>
      </c>
      <c r="E531" s="13">
        <v>1</v>
      </c>
      <c r="F531" s="13">
        <v>1</v>
      </c>
      <c r="G531" s="6" t="s">
        <v>677</v>
      </c>
      <c r="H531" s="13" t="s">
        <v>110</v>
      </c>
      <c r="I531" s="13">
        <f>E531</f>
        <v>1</v>
      </c>
      <c r="J531" s="13">
        <f>I531*19</f>
        <v>19</v>
      </c>
    </row>
    <row r="532" spans="1:10" x14ac:dyDescent="0.25">
      <c r="A532" s="13" t="s">
        <v>10</v>
      </c>
      <c r="B532" s="13" t="s">
        <v>670</v>
      </c>
      <c r="C532" s="13">
        <v>19</v>
      </c>
      <c r="D532" s="13">
        <v>1</v>
      </c>
      <c r="E532" s="13">
        <v>14</v>
      </c>
      <c r="F532" s="13">
        <v>14</v>
      </c>
      <c r="G532" s="6" t="s">
        <v>678</v>
      </c>
      <c r="H532" s="13" t="s">
        <v>110</v>
      </c>
      <c r="I532" s="13">
        <f>2</f>
        <v>2</v>
      </c>
      <c r="J532" s="13">
        <f>I532</f>
        <v>2</v>
      </c>
    </row>
    <row r="533" spans="1:10" x14ac:dyDescent="0.25">
      <c r="A533" s="13" t="s">
        <v>368</v>
      </c>
      <c r="B533" s="13" t="s">
        <v>670</v>
      </c>
      <c r="C533" s="13">
        <v>19</v>
      </c>
      <c r="D533" s="13">
        <v>1</v>
      </c>
      <c r="E533" s="13">
        <v>16</v>
      </c>
      <c r="F533" s="13">
        <v>16</v>
      </c>
      <c r="G533" s="6" t="s">
        <v>679</v>
      </c>
      <c r="H533" s="13" t="s">
        <v>110</v>
      </c>
      <c r="I533" s="13">
        <f t="shared" ref="I533:I538" si="52">E533</f>
        <v>16</v>
      </c>
      <c r="J533" s="13">
        <f>I533*1</f>
        <v>16</v>
      </c>
    </row>
    <row r="534" spans="1:10" x14ac:dyDescent="0.25">
      <c r="A534" s="13" t="s">
        <v>369</v>
      </c>
      <c r="B534" s="13" t="s">
        <v>670</v>
      </c>
      <c r="C534" s="13">
        <v>19</v>
      </c>
      <c r="D534" s="13">
        <v>1</v>
      </c>
      <c r="E534" s="13">
        <v>16</v>
      </c>
      <c r="F534" s="13">
        <v>16</v>
      </c>
      <c r="G534" s="6" t="s">
        <v>680</v>
      </c>
      <c r="H534" s="13" t="s">
        <v>110</v>
      </c>
      <c r="I534" s="13">
        <f t="shared" si="52"/>
        <v>16</v>
      </c>
      <c r="J534" s="13">
        <f>I534*1</f>
        <v>16</v>
      </c>
    </row>
    <row r="535" spans="1:10" x14ac:dyDescent="0.25">
      <c r="A535" s="13" t="s">
        <v>370</v>
      </c>
      <c r="B535" s="13" t="s">
        <v>670</v>
      </c>
      <c r="C535" s="13">
        <v>19</v>
      </c>
      <c r="D535" s="13">
        <v>1</v>
      </c>
      <c r="E535" s="13">
        <v>71</v>
      </c>
      <c r="F535" s="13">
        <v>71</v>
      </c>
      <c r="G535" s="6" t="s">
        <v>681</v>
      </c>
      <c r="H535" s="13" t="s">
        <v>110</v>
      </c>
      <c r="I535" s="13">
        <f t="shared" si="52"/>
        <v>71</v>
      </c>
      <c r="J535" s="13">
        <f>I535*1</f>
        <v>71</v>
      </c>
    </row>
    <row r="536" spans="1:10" x14ac:dyDescent="0.25">
      <c r="A536" s="13" t="s">
        <v>371</v>
      </c>
      <c r="B536" s="13" t="s">
        <v>670</v>
      </c>
      <c r="C536" s="13">
        <v>19</v>
      </c>
      <c r="D536" s="13">
        <v>1</v>
      </c>
      <c r="E536" s="13">
        <v>17</v>
      </c>
      <c r="F536" s="13">
        <v>17</v>
      </c>
      <c r="G536" s="6" t="s">
        <v>682</v>
      </c>
      <c r="H536" s="13" t="s">
        <v>110</v>
      </c>
      <c r="I536" s="13">
        <f t="shared" si="52"/>
        <v>17</v>
      </c>
      <c r="J536" s="13">
        <f>I536</f>
        <v>17</v>
      </c>
    </row>
    <row r="537" spans="1:10" x14ac:dyDescent="0.25">
      <c r="A537" s="41" t="s">
        <v>299</v>
      </c>
      <c r="B537" s="13" t="s">
        <v>670</v>
      </c>
      <c r="C537" s="13" t="s">
        <v>690</v>
      </c>
      <c r="D537" s="13">
        <v>1</v>
      </c>
      <c r="E537" s="13">
        <v>40</v>
      </c>
      <c r="F537" s="13">
        <v>40</v>
      </c>
      <c r="G537" s="6" t="s">
        <v>305</v>
      </c>
      <c r="H537" s="13" t="s">
        <v>110</v>
      </c>
      <c r="I537" s="13">
        <f t="shared" si="52"/>
        <v>40</v>
      </c>
      <c r="J537" s="13">
        <f>I537*19</f>
        <v>760</v>
      </c>
    </row>
    <row r="538" spans="1:10" x14ac:dyDescent="0.25">
      <c r="A538" s="41" t="s">
        <v>300</v>
      </c>
      <c r="B538" s="13" t="s">
        <v>670</v>
      </c>
      <c r="C538" s="13">
        <v>1</v>
      </c>
      <c r="D538" s="13">
        <v>1</v>
      </c>
      <c r="E538" s="13">
        <v>36</v>
      </c>
      <c r="F538" s="13">
        <v>36</v>
      </c>
      <c r="G538" s="6" t="s">
        <v>306</v>
      </c>
      <c r="H538" s="13" t="s">
        <v>110</v>
      </c>
      <c r="I538" s="13">
        <f t="shared" si="52"/>
        <v>36</v>
      </c>
      <c r="J538" s="13">
        <f>I538</f>
        <v>36</v>
      </c>
    </row>
    <row r="539" spans="1:10" x14ac:dyDescent="0.25">
      <c r="A539" s="41" t="s">
        <v>301</v>
      </c>
      <c r="B539" s="13" t="s">
        <v>670</v>
      </c>
      <c r="C539" s="13" t="s">
        <v>691</v>
      </c>
      <c r="D539" s="13">
        <v>1</v>
      </c>
      <c r="E539" s="13">
        <v>8</v>
      </c>
      <c r="F539" s="13">
        <v>8</v>
      </c>
      <c r="G539" s="6" t="s">
        <v>307</v>
      </c>
      <c r="H539" s="13" t="s">
        <v>110</v>
      </c>
      <c r="I539" s="13">
        <f t="shared" ref="I539:I541" si="53">E539</f>
        <v>8</v>
      </c>
      <c r="J539" s="13">
        <f>I539*(13)</f>
        <v>104</v>
      </c>
    </row>
    <row r="540" spans="1:10" x14ac:dyDescent="0.25">
      <c r="A540" s="41" t="s">
        <v>302</v>
      </c>
      <c r="B540" s="13" t="s">
        <v>670</v>
      </c>
      <c r="C540" s="13" t="s">
        <v>691</v>
      </c>
      <c r="D540" s="13">
        <v>1</v>
      </c>
      <c r="E540" s="13">
        <v>4</v>
      </c>
      <c r="F540" s="13">
        <v>4</v>
      </c>
      <c r="G540" s="6" t="s">
        <v>308</v>
      </c>
      <c r="H540" s="13" t="s">
        <v>110</v>
      </c>
      <c r="I540" s="13">
        <f t="shared" si="53"/>
        <v>4</v>
      </c>
      <c r="J540" s="13">
        <f>I540*(13)</f>
        <v>52</v>
      </c>
    </row>
    <row r="541" spans="1:10" x14ac:dyDescent="0.25">
      <c r="A541" s="41" t="s">
        <v>303</v>
      </c>
      <c r="B541" s="13" t="s">
        <v>670</v>
      </c>
      <c r="C541" s="13" t="s">
        <v>692</v>
      </c>
      <c r="D541" s="13">
        <v>1</v>
      </c>
      <c r="E541" s="13">
        <v>8</v>
      </c>
      <c r="F541" s="13">
        <v>8</v>
      </c>
      <c r="G541" s="6" t="s">
        <v>309</v>
      </c>
      <c r="H541" s="13" t="s">
        <v>110</v>
      </c>
      <c r="I541" s="13">
        <f t="shared" si="53"/>
        <v>8</v>
      </c>
      <c r="J541" s="13">
        <f>I541*(19-13)</f>
        <v>48</v>
      </c>
    </row>
    <row r="542" spans="1:10" x14ac:dyDescent="0.25">
      <c r="A542" s="41" t="s">
        <v>304</v>
      </c>
      <c r="B542" s="13" t="s">
        <v>670</v>
      </c>
      <c r="C542" s="13" t="s">
        <v>692</v>
      </c>
      <c r="D542" s="13">
        <v>1</v>
      </c>
      <c r="E542" s="13">
        <v>4</v>
      </c>
      <c r="F542" s="13">
        <v>4</v>
      </c>
      <c r="G542" s="6" t="s">
        <v>310</v>
      </c>
      <c r="H542" s="13" t="s">
        <v>110</v>
      </c>
      <c r="I542" s="13">
        <f>E542</f>
        <v>4</v>
      </c>
      <c r="J542" s="13">
        <f>I542*(19-13)</f>
        <v>24</v>
      </c>
    </row>
    <row r="543" spans="1:10" x14ac:dyDescent="0.25">
      <c r="A543" s="41" t="s">
        <v>14</v>
      </c>
      <c r="B543" s="13" t="s">
        <v>670</v>
      </c>
      <c r="C543" s="13" t="s">
        <v>665</v>
      </c>
      <c r="D543" s="13">
        <v>1</v>
      </c>
      <c r="E543" s="13">
        <v>1</v>
      </c>
      <c r="F543" s="13"/>
      <c r="G543" s="6" t="s">
        <v>683</v>
      </c>
      <c r="H543" s="13" t="s">
        <v>110</v>
      </c>
      <c r="I543" s="13">
        <v>19</v>
      </c>
      <c r="J543" s="13">
        <f>I543</f>
        <v>19</v>
      </c>
    </row>
    <row r="544" spans="1:10" x14ac:dyDescent="0.25">
      <c r="A544" s="41" t="s">
        <v>15</v>
      </c>
      <c r="B544" s="13" t="s">
        <v>670</v>
      </c>
      <c r="C544" s="13">
        <v>19</v>
      </c>
      <c r="D544" s="13">
        <v>1</v>
      </c>
      <c r="E544" s="13">
        <v>1</v>
      </c>
      <c r="F544" s="13"/>
      <c r="G544" s="6" t="s">
        <v>684</v>
      </c>
      <c r="H544" s="13" t="s">
        <v>110</v>
      </c>
      <c r="I544" s="13">
        <v>1</v>
      </c>
      <c r="J544" s="13">
        <f>I544</f>
        <v>1</v>
      </c>
    </row>
    <row r="545" spans="1:10" x14ac:dyDescent="0.25">
      <c r="A545" s="41" t="s">
        <v>16</v>
      </c>
      <c r="B545" s="13" t="s">
        <v>670</v>
      </c>
      <c r="C545" s="13">
        <v>19</v>
      </c>
      <c r="D545" s="13">
        <v>1</v>
      </c>
      <c r="E545" s="13">
        <v>1</v>
      </c>
      <c r="F545" s="13"/>
      <c r="G545" s="6" t="s">
        <v>685</v>
      </c>
      <c r="H545" s="13" t="s">
        <v>110</v>
      </c>
      <c r="I545" s="13">
        <v>1</v>
      </c>
      <c r="J545" s="13">
        <f>I545</f>
        <v>1</v>
      </c>
    </row>
  </sheetData>
  <mergeCells count="642">
    <mergeCell ref="H293:H296"/>
    <mergeCell ref="F342:F344"/>
    <mergeCell ref="B289:B350"/>
    <mergeCell ref="C289:C292"/>
    <mergeCell ref="C293:C296"/>
    <mergeCell ref="C297:C300"/>
    <mergeCell ref="C301:C304"/>
    <mergeCell ref="C305:C308"/>
    <mergeCell ref="C309:C312"/>
    <mergeCell ref="C313:C316"/>
    <mergeCell ref="C317:C320"/>
    <mergeCell ref="C337:C340"/>
    <mergeCell ref="E329:E332"/>
    <mergeCell ref="F290:F292"/>
    <mergeCell ref="D293:D296"/>
    <mergeCell ref="E293:E296"/>
    <mergeCell ref="I329:I332"/>
    <mergeCell ref="F330:F332"/>
    <mergeCell ref="D333:D336"/>
    <mergeCell ref="E333:E336"/>
    <mergeCell ref="G333:G336"/>
    <mergeCell ref="H333:H336"/>
    <mergeCell ref="I333:I336"/>
    <mergeCell ref="F334:F336"/>
    <mergeCell ref="G321:G324"/>
    <mergeCell ref="H321:H324"/>
    <mergeCell ref="D321:D324"/>
    <mergeCell ref="G325:G328"/>
    <mergeCell ref="H325:H328"/>
    <mergeCell ref="G329:G332"/>
    <mergeCell ref="H329:H332"/>
    <mergeCell ref="J313:J316"/>
    <mergeCell ref="F314:F316"/>
    <mergeCell ref="D317:D320"/>
    <mergeCell ref="E317:E320"/>
    <mergeCell ref="G317:G320"/>
    <mergeCell ref="H317:H320"/>
    <mergeCell ref="I317:I320"/>
    <mergeCell ref="J317:J320"/>
    <mergeCell ref="F318:F320"/>
    <mergeCell ref="D313:D316"/>
    <mergeCell ref="E313:E316"/>
    <mergeCell ref="G313:G316"/>
    <mergeCell ref="H313:H316"/>
    <mergeCell ref="I313:I316"/>
    <mergeCell ref="J305:J308"/>
    <mergeCell ref="F306:F308"/>
    <mergeCell ref="D309:D312"/>
    <mergeCell ref="E309:E312"/>
    <mergeCell ref="G309:G312"/>
    <mergeCell ref="H309:H312"/>
    <mergeCell ref="I309:I312"/>
    <mergeCell ref="J309:J312"/>
    <mergeCell ref="F310:F312"/>
    <mergeCell ref="B352:B356"/>
    <mergeCell ref="B358:B361"/>
    <mergeCell ref="F354:F356"/>
    <mergeCell ref="E352:E356"/>
    <mergeCell ref="F294:F296"/>
    <mergeCell ref="I297:I300"/>
    <mergeCell ref="G305:G308"/>
    <mergeCell ref="H305:H308"/>
    <mergeCell ref="I305:I308"/>
    <mergeCell ref="I321:I324"/>
    <mergeCell ref="F322:F324"/>
    <mergeCell ref="D325:D328"/>
    <mergeCell ref="E325:E328"/>
    <mergeCell ref="C341:C344"/>
    <mergeCell ref="D337:D340"/>
    <mergeCell ref="E337:E340"/>
    <mergeCell ref="G337:G340"/>
    <mergeCell ref="H337:H340"/>
    <mergeCell ref="I337:I340"/>
    <mergeCell ref="D341:D344"/>
    <mergeCell ref="E321:E324"/>
    <mergeCell ref="G297:G300"/>
    <mergeCell ref="H297:H300"/>
    <mergeCell ref="G293:G296"/>
    <mergeCell ref="B414:B452"/>
    <mergeCell ref="C414:C452"/>
    <mergeCell ref="C374:C412"/>
    <mergeCell ref="B374:B412"/>
    <mergeCell ref="E374:E412"/>
    <mergeCell ref="F298:F300"/>
    <mergeCell ref="D301:D304"/>
    <mergeCell ref="E301:E304"/>
    <mergeCell ref="F302:F304"/>
    <mergeCell ref="E341:E344"/>
    <mergeCell ref="C369:C372"/>
    <mergeCell ref="B369:B372"/>
    <mergeCell ref="F365:F367"/>
    <mergeCell ref="F446:F449"/>
    <mergeCell ref="F450:F452"/>
    <mergeCell ref="E346:E349"/>
    <mergeCell ref="D346:D349"/>
    <mergeCell ref="F326:F328"/>
    <mergeCell ref="F338:F340"/>
    <mergeCell ref="C321:C324"/>
    <mergeCell ref="C325:C328"/>
    <mergeCell ref="C329:C332"/>
    <mergeCell ref="C333:C336"/>
    <mergeCell ref="D329:D332"/>
    <mergeCell ref="E233:E237"/>
    <mergeCell ref="D233:D237"/>
    <mergeCell ref="C233:C237"/>
    <mergeCell ref="B233:B237"/>
    <mergeCell ref="H188:H191"/>
    <mergeCell ref="H192:H197"/>
    <mergeCell ref="H198:H203"/>
    <mergeCell ref="F153:F155"/>
    <mergeCell ref="F184:F186"/>
    <mergeCell ref="E183:E186"/>
    <mergeCell ref="D183:D186"/>
    <mergeCell ref="C183:C186"/>
    <mergeCell ref="F224:F226"/>
    <mergeCell ref="F229:F231"/>
    <mergeCell ref="F235:F237"/>
    <mergeCell ref="F213:F215"/>
    <mergeCell ref="F218:F220"/>
    <mergeCell ref="H151:H155"/>
    <mergeCell ref="G178:G181"/>
    <mergeCell ref="H178:H181"/>
    <mergeCell ref="G183:G186"/>
    <mergeCell ref="H183:H186"/>
    <mergeCell ref="G188:G191"/>
    <mergeCell ref="G192:G197"/>
    <mergeCell ref="C206:C209"/>
    <mergeCell ref="B222:B231"/>
    <mergeCell ref="C222:C226"/>
    <mergeCell ref="C227:C231"/>
    <mergeCell ref="D222:D226"/>
    <mergeCell ref="D227:D231"/>
    <mergeCell ref="E222:E226"/>
    <mergeCell ref="E227:E231"/>
    <mergeCell ref="B211:B220"/>
    <mergeCell ref="C211:C215"/>
    <mergeCell ref="C216:C220"/>
    <mergeCell ref="D216:D220"/>
    <mergeCell ref="D211:D215"/>
    <mergeCell ref="E211:E215"/>
    <mergeCell ref="E216:E220"/>
    <mergeCell ref="G206:G209"/>
    <mergeCell ref="H206:H209"/>
    <mergeCell ref="G211:G215"/>
    <mergeCell ref="H211:H215"/>
    <mergeCell ref="G216:G220"/>
    <mergeCell ref="G233:G237"/>
    <mergeCell ref="H233:H237"/>
    <mergeCell ref="G289:G292"/>
    <mergeCell ref="H289:H292"/>
    <mergeCell ref="G258:G261"/>
    <mergeCell ref="B9:B28"/>
    <mergeCell ref="B30:B51"/>
    <mergeCell ref="B53:B73"/>
    <mergeCell ref="B75:B95"/>
    <mergeCell ref="B97:B117"/>
    <mergeCell ref="B119:B139"/>
    <mergeCell ref="C9:C12"/>
    <mergeCell ref="C13:C17"/>
    <mergeCell ref="C18:C22"/>
    <mergeCell ref="C23:C28"/>
    <mergeCell ref="H23:H28"/>
    <mergeCell ref="G18:G22"/>
    <mergeCell ref="H18:H22"/>
    <mergeCell ref="G13:G17"/>
    <mergeCell ref="H13:H17"/>
    <mergeCell ref="G9:G12"/>
    <mergeCell ref="H9:H12"/>
    <mergeCell ref="D13:D17"/>
    <mergeCell ref="D9:D12"/>
    <mergeCell ref="D18:D22"/>
    <mergeCell ref="D23:D28"/>
    <mergeCell ref="E9:E12"/>
    <mergeCell ref="E13:E17"/>
    <mergeCell ref="E18:E22"/>
    <mergeCell ref="E23:E28"/>
    <mergeCell ref="F10:F12"/>
    <mergeCell ref="F15:F17"/>
    <mergeCell ref="F20:F22"/>
    <mergeCell ref="D34:D38"/>
    <mergeCell ref="C34:C38"/>
    <mergeCell ref="D30:D33"/>
    <mergeCell ref="C30:C33"/>
    <mergeCell ref="D39:D44"/>
    <mergeCell ref="C39:C44"/>
    <mergeCell ref="D45:D51"/>
    <mergeCell ref="C45:C51"/>
    <mergeCell ref="G23:G28"/>
    <mergeCell ref="G30:G33"/>
    <mergeCell ref="G34:G38"/>
    <mergeCell ref="G39:G44"/>
    <mergeCell ref="G45:G51"/>
    <mergeCell ref="F26:F28"/>
    <mergeCell ref="H30:H33"/>
    <mergeCell ref="H34:H38"/>
    <mergeCell ref="H39:H44"/>
    <mergeCell ref="H45:H51"/>
    <mergeCell ref="E30:E33"/>
    <mergeCell ref="E34:E38"/>
    <mergeCell ref="E39:E44"/>
    <mergeCell ref="E45:E51"/>
    <mergeCell ref="F42:F44"/>
    <mergeCell ref="F49:F51"/>
    <mergeCell ref="F31:F33"/>
    <mergeCell ref="F36:F38"/>
    <mergeCell ref="G53:G57"/>
    <mergeCell ref="H53:H57"/>
    <mergeCell ref="G58:G65"/>
    <mergeCell ref="H58:H65"/>
    <mergeCell ref="G66:G73"/>
    <mergeCell ref="H66:H73"/>
    <mergeCell ref="D75:D79"/>
    <mergeCell ref="C75:C79"/>
    <mergeCell ref="D80:D87"/>
    <mergeCell ref="C80:C87"/>
    <mergeCell ref="H75:H79"/>
    <mergeCell ref="H80:H87"/>
    <mergeCell ref="F71:F73"/>
    <mergeCell ref="F63:F65"/>
    <mergeCell ref="E66:E73"/>
    <mergeCell ref="D66:D73"/>
    <mergeCell ref="C66:C73"/>
    <mergeCell ref="D58:D65"/>
    <mergeCell ref="C58:C65"/>
    <mergeCell ref="D53:D57"/>
    <mergeCell ref="C53:C57"/>
    <mergeCell ref="E53:E57"/>
    <mergeCell ref="E58:E65"/>
    <mergeCell ref="F55:F57"/>
    <mergeCell ref="E75:E79"/>
    <mergeCell ref="E80:E87"/>
    <mergeCell ref="E88:E95"/>
    <mergeCell ref="F77:F79"/>
    <mergeCell ref="F85:F87"/>
    <mergeCell ref="F93:F95"/>
    <mergeCell ref="G75:G79"/>
    <mergeCell ref="G80:G87"/>
    <mergeCell ref="G88:G95"/>
    <mergeCell ref="H88:H95"/>
    <mergeCell ref="C97:C101"/>
    <mergeCell ref="C102:C109"/>
    <mergeCell ref="C110:C117"/>
    <mergeCell ref="D97:D101"/>
    <mergeCell ref="D102:D109"/>
    <mergeCell ref="D110:D117"/>
    <mergeCell ref="E97:E101"/>
    <mergeCell ref="E102:E109"/>
    <mergeCell ref="E110:E117"/>
    <mergeCell ref="F115:F117"/>
    <mergeCell ref="F99:F101"/>
    <mergeCell ref="F107:F109"/>
    <mergeCell ref="G97:G101"/>
    <mergeCell ref="H97:H101"/>
    <mergeCell ref="G102:G109"/>
    <mergeCell ref="H102:H109"/>
    <mergeCell ref="G110:G117"/>
    <mergeCell ref="H110:H117"/>
    <mergeCell ref="D88:D95"/>
    <mergeCell ref="C88:C95"/>
    <mergeCell ref="F121:F123"/>
    <mergeCell ref="F137:F139"/>
    <mergeCell ref="F129:F131"/>
    <mergeCell ref="G119:G123"/>
    <mergeCell ref="H119:H123"/>
    <mergeCell ref="G124:G131"/>
    <mergeCell ref="H124:H131"/>
    <mergeCell ref="G132:G139"/>
    <mergeCell ref="H132:H139"/>
    <mergeCell ref="E119:E123"/>
    <mergeCell ref="D119:D123"/>
    <mergeCell ref="C119:C123"/>
    <mergeCell ref="D124:D131"/>
    <mergeCell ref="C124:C131"/>
    <mergeCell ref="D132:D139"/>
    <mergeCell ref="C132:C139"/>
    <mergeCell ref="E132:E139"/>
    <mergeCell ref="E124:E131"/>
    <mergeCell ref="B150:B155"/>
    <mergeCell ref="C151:C155"/>
    <mergeCell ref="G151:G155"/>
    <mergeCell ref="E151:E155"/>
    <mergeCell ref="D151:D155"/>
    <mergeCell ref="F142:F144"/>
    <mergeCell ref="F146:F148"/>
    <mergeCell ref="G141:G144"/>
    <mergeCell ref="B157:B176"/>
    <mergeCell ref="F160:F162"/>
    <mergeCell ref="F167:F169"/>
    <mergeCell ref="F174:F176"/>
    <mergeCell ref="G157:G162"/>
    <mergeCell ref="C170:C176"/>
    <mergeCell ref="C163:C169"/>
    <mergeCell ref="C157:C162"/>
    <mergeCell ref="H141:H144"/>
    <mergeCell ref="G145:G148"/>
    <mergeCell ref="H145:H148"/>
    <mergeCell ref="E145:E148"/>
    <mergeCell ref="E141:E144"/>
    <mergeCell ref="B141:B148"/>
    <mergeCell ref="D141:D144"/>
    <mergeCell ref="C141:C144"/>
    <mergeCell ref="D145:D148"/>
    <mergeCell ref="C145:C148"/>
    <mergeCell ref="H157:H162"/>
    <mergeCell ref="G163:G169"/>
    <mergeCell ref="H163:H169"/>
    <mergeCell ref="G170:G176"/>
    <mergeCell ref="H170:H176"/>
    <mergeCell ref="E170:E176"/>
    <mergeCell ref="E163:E169"/>
    <mergeCell ref="E157:E162"/>
    <mergeCell ref="D157:D162"/>
    <mergeCell ref="D163:D169"/>
    <mergeCell ref="D170:D176"/>
    <mergeCell ref="F179:F181"/>
    <mergeCell ref="E178:E181"/>
    <mergeCell ref="D178:D181"/>
    <mergeCell ref="C178:C181"/>
    <mergeCell ref="B178:B181"/>
    <mergeCell ref="B183:B186"/>
    <mergeCell ref="H216:H220"/>
    <mergeCell ref="F207:F209"/>
    <mergeCell ref="E206:E209"/>
    <mergeCell ref="D206:D209"/>
    <mergeCell ref="B188:B203"/>
    <mergeCell ref="C188:C191"/>
    <mergeCell ref="C192:C197"/>
    <mergeCell ref="C198:C203"/>
    <mergeCell ref="D198:D203"/>
    <mergeCell ref="D192:D197"/>
    <mergeCell ref="D188:D191"/>
    <mergeCell ref="F189:F191"/>
    <mergeCell ref="F195:F197"/>
    <mergeCell ref="F201:F203"/>
    <mergeCell ref="E198:E203"/>
    <mergeCell ref="E192:E197"/>
    <mergeCell ref="E188:E191"/>
    <mergeCell ref="B205:B209"/>
    <mergeCell ref="C239:C242"/>
    <mergeCell ref="B239:B242"/>
    <mergeCell ref="D271:D275"/>
    <mergeCell ref="D267:D270"/>
    <mergeCell ref="C267:C270"/>
    <mergeCell ref="C271:C275"/>
    <mergeCell ref="H258:H261"/>
    <mergeCell ref="G262:G265"/>
    <mergeCell ref="H262:H265"/>
    <mergeCell ref="F245:F247"/>
    <mergeCell ref="B267:B282"/>
    <mergeCell ref="B244:B247"/>
    <mergeCell ref="E271:E275"/>
    <mergeCell ref="E244:E247"/>
    <mergeCell ref="D244:D247"/>
    <mergeCell ref="C244:C247"/>
    <mergeCell ref="C276:C282"/>
    <mergeCell ref="D253:D256"/>
    <mergeCell ref="D249:D252"/>
    <mergeCell ref="C258:C261"/>
    <mergeCell ref="C262:C265"/>
    <mergeCell ref="B258:B265"/>
    <mergeCell ref="C249:C252"/>
    <mergeCell ref="C253:C256"/>
    <mergeCell ref="B249:B256"/>
    <mergeCell ref="G244:G247"/>
    <mergeCell ref="H244:H247"/>
    <mergeCell ref="F250:F252"/>
    <mergeCell ref="G249:G252"/>
    <mergeCell ref="H249:H252"/>
    <mergeCell ref="E249:E252"/>
    <mergeCell ref="F254:F256"/>
    <mergeCell ref="E253:E256"/>
    <mergeCell ref="G253:G256"/>
    <mergeCell ref="H253:H256"/>
    <mergeCell ref="C284:C287"/>
    <mergeCell ref="F268:F270"/>
    <mergeCell ref="F273:F275"/>
    <mergeCell ref="F280:F282"/>
    <mergeCell ref="G276:G282"/>
    <mergeCell ref="H276:H282"/>
    <mergeCell ref="G267:G270"/>
    <mergeCell ref="H267:H270"/>
    <mergeCell ref="G271:G275"/>
    <mergeCell ref="H271:H275"/>
    <mergeCell ref="B284:B287"/>
    <mergeCell ref="D352:D356"/>
    <mergeCell ref="C352:C356"/>
    <mergeCell ref="G364:G367"/>
    <mergeCell ref="H364:H367"/>
    <mergeCell ref="E364:E367"/>
    <mergeCell ref="D364:D367"/>
    <mergeCell ref="G358:G361"/>
    <mergeCell ref="H358:H361"/>
    <mergeCell ref="E358:E361"/>
    <mergeCell ref="D358:D361"/>
    <mergeCell ref="C358:C361"/>
    <mergeCell ref="C364:C367"/>
    <mergeCell ref="B363:B367"/>
    <mergeCell ref="G352:G356"/>
    <mergeCell ref="H352:H356"/>
    <mergeCell ref="G301:G304"/>
    <mergeCell ref="H301:H304"/>
    <mergeCell ref="D289:D292"/>
    <mergeCell ref="E289:E292"/>
    <mergeCell ref="D297:D300"/>
    <mergeCell ref="E297:E300"/>
    <mergeCell ref="D305:D308"/>
    <mergeCell ref="E305:E308"/>
    <mergeCell ref="L239:L242"/>
    <mergeCell ref="L244:L247"/>
    <mergeCell ref="L249:L252"/>
    <mergeCell ref="G414:G452"/>
    <mergeCell ref="I249:I252"/>
    <mergeCell ref="J249:J252"/>
    <mergeCell ref="I374:I412"/>
    <mergeCell ref="D374:D412"/>
    <mergeCell ref="E369:E372"/>
    <mergeCell ref="D369:D372"/>
    <mergeCell ref="L329:L332"/>
    <mergeCell ref="J289:J292"/>
    <mergeCell ref="I293:I296"/>
    <mergeCell ref="J293:J296"/>
    <mergeCell ref="J321:J324"/>
    <mergeCell ref="E267:E270"/>
    <mergeCell ref="E276:E282"/>
    <mergeCell ref="D276:D282"/>
    <mergeCell ref="F285:F287"/>
    <mergeCell ref="G284:G287"/>
    <mergeCell ref="H284:H287"/>
    <mergeCell ref="E284:E287"/>
    <mergeCell ref="D284:D287"/>
    <mergeCell ref="F259:F261"/>
    <mergeCell ref="I192:I197"/>
    <mergeCell ref="J192:J197"/>
    <mergeCell ref="H414:H452"/>
    <mergeCell ref="G374:G412"/>
    <mergeCell ref="H374:H412"/>
    <mergeCell ref="G369:G372"/>
    <mergeCell ref="H369:H372"/>
    <mergeCell ref="E414:E452"/>
    <mergeCell ref="D414:D452"/>
    <mergeCell ref="F263:F265"/>
    <mergeCell ref="E262:E265"/>
    <mergeCell ref="E258:E261"/>
    <mergeCell ref="D258:D261"/>
    <mergeCell ref="D262:D265"/>
    <mergeCell ref="F240:F242"/>
    <mergeCell ref="G239:G242"/>
    <mergeCell ref="H239:H242"/>
    <mergeCell ref="E239:E242"/>
    <mergeCell ref="D239:D242"/>
    <mergeCell ref="G222:G226"/>
    <mergeCell ref="H222:H226"/>
    <mergeCell ref="G227:G231"/>
    <mergeCell ref="H227:H231"/>
    <mergeCell ref="G198:G203"/>
    <mergeCell ref="I58:I65"/>
    <mergeCell ref="J58:J65"/>
    <mergeCell ref="I244:I247"/>
    <mergeCell ref="J244:J247"/>
    <mergeCell ref="I271:I275"/>
    <mergeCell ref="J271:J275"/>
    <mergeCell ref="I276:I282"/>
    <mergeCell ref="J276:J282"/>
    <mergeCell ref="I301:I304"/>
    <mergeCell ref="J301:J304"/>
    <mergeCell ref="I289:I292"/>
    <mergeCell ref="J297:J300"/>
    <mergeCell ref="I145:I148"/>
    <mergeCell ref="J145:J148"/>
    <mergeCell ref="I151:I155"/>
    <mergeCell ref="J151:J155"/>
    <mergeCell ref="I206:I209"/>
    <mergeCell ref="J206:J209"/>
    <mergeCell ref="I178:I181"/>
    <mergeCell ref="J178:J181"/>
    <mergeCell ref="I183:I186"/>
    <mergeCell ref="J183:J186"/>
    <mergeCell ref="I188:I191"/>
    <mergeCell ref="J188:J191"/>
    <mergeCell ref="I30:I33"/>
    <mergeCell ref="J30:J33"/>
    <mergeCell ref="I39:I44"/>
    <mergeCell ref="J39:J44"/>
    <mergeCell ref="I45:I51"/>
    <mergeCell ref="J45:J51"/>
    <mergeCell ref="I34:I38"/>
    <mergeCell ref="J34:J38"/>
    <mergeCell ref="I211:I215"/>
    <mergeCell ref="J211:J215"/>
    <mergeCell ref="I75:I79"/>
    <mergeCell ref="J75:J79"/>
    <mergeCell ref="I80:I87"/>
    <mergeCell ref="I141:I144"/>
    <mergeCell ref="J141:J144"/>
    <mergeCell ref="J88:J95"/>
    <mergeCell ref="I97:I101"/>
    <mergeCell ref="J97:J101"/>
    <mergeCell ref="I102:I109"/>
    <mergeCell ref="J102:J109"/>
    <mergeCell ref="I110:I117"/>
    <mergeCell ref="J110:J117"/>
    <mergeCell ref="I53:I57"/>
    <mergeCell ref="J53:J57"/>
    <mergeCell ref="I216:I220"/>
    <mergeCell ref="J216:J220"/>
    <mergeCell ref="I198:I203"/>
    <mergeCell ref="J198:J203"/>
    <mergeCell ref="I222:I226"/>
    <mergeCell ref="J222:J226"/>
    <mergeCell ref="I227:I231"/>
    <mergeCell ref="J227:J231"/>
    <mergeCell ref="I284:I287"/>
    <mergeCell ref="J284:J287"/>
    <mergeCell ref="I267:I270"/>
    <mergeCell ref="J267:J270"/>
    <mergeCell ref="I233:I237"/>
    <mergeCell ref="J233:J237"/>
    <mergeCell ref="I239:I242"/>
    <mergeCell ref="J239:J242"/>
    <mergeCell ref="L97:L101"/>
    <mergeCell ref="L102:L109"/>
    <mergeCell ref="L110:L117"/>
    <mergeCell ref="L119:L123"/>
    <mergeCell ref="I66:I73"/>
    <mergeCell ref="J66:J73"/>
    <mergeCell ref="I258:I261"/>
    <mergeCell ref="J258:J261"/>
    <mergeCell ref="I262:I265"/>
    <mergeCell ref="J262:J265"/>
    <mergeCell ref="I119:I123"/>
    <mergeCell ref="J119:J123"/>
    <mergeCell ref="I124:I131"/>
    <mergeCell ref="J124:J131"/>
    <mergeCell ref="I132:I139"/>
    <mergeCell ref="J132:J139"/>
    <mergeCell ref="I157:I162"/>
    <mergeCell ref="J157:J162"/>
    <mergeCell ref="I163:I169"/>
    <mergeCell ref="J163:J169"/>
    <mergeCell ref="I170:I176"/>
    <mergeCell ref="J170:J176"/>
    <mergeCell ref="I253:I256"/>
    <mergeCell ref="J253:J256"/>
    <mergeCell ref="L124:L131"/>
    <mergeCell ref="L132:L139"/>
    <mergeCell ref="L151:L155"/>
    <mergeCell ref="L157:L162"/>
    <mergeCell ref="L163:L169"/>
    <mergeCell ref="L170:L176"/>
    <mergeCell ref="L178:L181"/>
    <mergeCell ref="L183:L186"/>
    <mergeCell ref="L188:L191"/>
    <mergeCell ref="L141:L144"/>
    <mergeCell ref="L145:L148"/>
    <mergeCell ref="J80:J87"/>
    <mergeCell ref="I88:I95"/>
    <mergeCell ref="L9:L12"/>
    <mergeCell ref="L13:L17"/>
    <mergeCell ref="L18:L22"/>
    <mergeCell ref="L23:L28"/>
    <mergeCell ref="L45:L51"/>
    <mergeCell ref="L39:L44"/>
    <mergeCell ref="L34:L38"/>
    <mergeCell ref="L30:L33"/>
    <mergeCell ref="L53:L57"/>
    <mergeCell ref="L58:L65"/>
    <mergeCell ref="L66:L73"/>
    <mergeCell ref="L75:L79"/>
    <mergeCell ref="L80:L87"/>
    <mergeCell ref="L88:L95"/>
    <mergeCell ref="I9:I12"/>
    <mergeCell ref="J9:J12"/>
    <mergeCell ref="I13:I17"/>
    <mergeCell ref="J13:J17"/>
    <mergeCell ref="I18:I22"/>
    <mergeCell ref="J18:J22"/>
    <mergeCell ref="I23:I28"/>
    <mergeCell ref="J23:J28"/>
    <mergeCell ref="L297:L300"/>
    <mergeCell ref="L301:L304"/>
    <mergeCell ref="L305:L308"/>
    <mergeCell ref="L309:L312"/>
    <mergeCell ref="L313:L316"/>
    <mergeCell ref="L317:L320"/>
    <mergeCell ref="L321:L324"/>
    <mergeCell ref="L192:L197"/>
    <mergeCell ref="L198:L203"/>
    <mergeCell ref="L206:L209"/>
    <mergeCell ref="L211:L215"/>
    <mergeCell ref="L216:L220"/>
    <mergeCell ref="L222:L226"/>
    <mergeCell ref="L253:L256"/>
    <mergeCell ref="L258:L261"/>
    <mergeCell ref="L262:L265"/>
    <mergeCell ref="L267:L270"/>
    <mergeCell ref="L271:L275"/>
    <mergeCell ref="L276:L282"/>
    <mergeCell ref="L284:L287"/>
    <mergeCell ref="L289:L292"/>
    <mergeCell ref="L293:L296"/>
    <mergeCell ref="L227:L231"/>
    <mergeCell ref="L233:L237"/>
    <mergeCell ref="L325:L328"/>
    <mergeCell ref="F406:F409"/>
    <mergeCell ref="F410:F412"/>
    <mergeCell ref="L352:L356"/>
    <mergeCell ref="L358:L361"/>
    <mergeCell ref="L364:L367"/>
    <mergeCell ref="L369:L372"/>
    <mergeCell ref="L374:L412"/>
    <mergeCell ref="H346:H349"/>
    <mergeCell ref="G346:G349"/>
    <mergeCell ref="F346:F349"/>
    <mergeCell ref="I352:I356"/>
    <mergeCell ref="J352:J356"/>
    <mergeCell ref="F359:F361"/>
    <mergeCell ref="F370:F372"/>
    <mergeCell ref="I325:I328"/>
    <mergeCell ref="J325:J328"/>
    <mergeCell ref="J329:J332"/>
    <mergeCell ref="J333:J336"/>
    <mergeCell ref="J337:J340"/>
    <mergeCell ref="G341:G344"/>
    <mergeCell ref="H341:H344"/>
    <mergeCell ref="I341:I344"/>
    <mergeCell ref="J341:J344"/>
    <mergeCell ref="L414:L452"/>
    <mergeCell ref="I369:I372"/>
    <mergeCell ref="J369:J372"/>
    <mergeCell ref="I358:I361"/>
    <mergeCell ref="J358:J361"/>
    <mergeCell ref="I364:I367"/>
    <mergeCell ref="J364:J367"/>
    <mergeCell ref="L333:L336"/>
    <mergeCell ref="L337:L340"/>
    <mergeCell ref="L341:L344"/>
    <mergeCell ref="I414:I452"/>
    <mergeCell ref="J414:J452"/>
    <mergeCell ref="J374:J412"/>
    <mergeCell ref="L346:L349"/>
    <mergeCell ref="J346:J349"/>
    <mergeCell ref="I346:I349"/>
  </mergeCells>
  <phoneticPr fontId="9" type="noConversion"/>
  <conditionalFormatting sqref="D289:F289 D293:F293 D297:F297">
    <cfRule type="cellIs" dxfId="1" priority="1" stopIfTrue="1" operator="equal">
      <formula>""</formula>
    </cfRule>
  </conditionalFormatting>
  <conditionalFormatting sqref="D301:F301 D305:F305 D309:F309 D313:F313 D317:F317 D321:F321 D325:F325 D329:F329 D333:F333 D337:F337 D341:F341 D345:F345">
    <cfRule type="cellIs" dxfId="0" priority="2" stopIfTrue="1" operator="equal">
      <formula>""</formula>
    </cfRule>
  </conditionalFormatting>
  <hyperlinks>
    <hyperlink ref="O157" r:id="rId1" xr:uid="{372D6C04-05BB-46D6-8209-0D5C87789A9F}"/>
    <hyperlink ref="O163" r:id="rId2" xr:uid="{557F3ECE-436A-4852-9FB4-3929C08142CF}"/>
    <hyperlink ref="O173" r:id="rId3" xr:uid="{B67B7F34-6356-4F3B-A905-429CE997888B}"/>
    <hyperlink ref="O170" r:id="rId4" xr:uid="{A117A26D-C25B-4618-ABC0-3E3C52764D59}"/>
    <hyperlink ref="O178" r:id="rId5" xr:uid="{0B6B865C-E38A-4396-A201-F45E6032805F}"/>
    <hyperlink ref="O193" r:id="rId6" display="https://buildingtransparency.org/ec3/epds/ec3adnuj ;" xr:uid="{C28C7A2E-1C76-4152-9DDA-ABA8F5BEB1DD}"/>
    <hyperlink ref="O199" r:id="rId7" display="https://buildingtransparency.org/ec3/epds/ec3adnuj ;" xr:uid="{7B83A30F-A33E-4B46-BB53-AA2168B8B762}"/>
    <hyperlink ref="O212" r:id="rId8" display="https://www.lowes.com/pd/ELK-ELK-Aluminum-Foil-Tape-for-Metal-Repair-Air-Ducts-Insulated-Pipes-HVAC-Sealing-Ductwork-Vapor-Exhaust-and-Heat-Resistant-Safe-Professional-Grade-Insulation-Sealer-Silver-1-88-in-x-150-ft/1003237760 " xr:uid="{2955A174-82CE-4242-B6D8-2E7506B3B91A}"/>
    <hyperlink ref="O217" r:id="rId9" display="https://www.lowes.com/pd/ELK-ELK-Aluminum-Foil-Tape-for-Metal-Repair-Air-Ducts-Insulated-Pipes-HVAC-Sealing-Ductwork-Vapor-Exhaust-and-Heat-Resistant-Safe-Professional-Grade-Insulation-Sealer-Silver-1-88-in-x-150-ft/1003237760 " xr:uid="{C43FD029-9D37-40A4-8782-961FD5DF2DDF}"/>
    <hyperlink ref="O223" r:id="rId10" display="https://www.lowes.com/pd/ELK-ELK-Aluminum-Foil-Tape-for-Metal-Repair-Air-Ducts-Insulated-Pipes-HVAC-Sealing-Ductwork-Vapor-Exhaust-and-Heat-Resistant-Safe-Professional-Grade-Insulation-Sealer-Silver-1-88-in-x-150-ft/1003237760 " xr:uid="{5A95A08F-C8E3-4B7C-99F8-E5A21C0A93EB}"/>
    <hyperlink ref="O228" r:id="rId11" display="https://www.lowes.com/pd/ELK-ELK-Aluminum-Foil-Tape-for-Metal-Repair-Air-Ducts-Insulated-Pipes-HVAC-Sealing-Ductwork-Vapor-Exhaust-and-Heat-Resistant-Safe-Professional-Grade-Insulation-Sealer-Silver-1-88-in-x-150-ft/1003237760 " xr:uid="{F4E1F11E-5B6A-4446-A1E6-6FDDC2344C6B}"/>
    <hyperlink ref="O233" r:id="rId12" display="https://itsolution.lindab.com/lindabwebproductsdoc/assets/production/NGE0NGE3YjUtZmRjYi00Mzg0LWE0YTYtN2JmZDI2Yzc0NjE5/5249987968817733757/EPD_Lindab_s.r.o._Ceiling_diffusers_Integra__LCC,_LCP_and_LKP_HUB-0671_2023-09-13.pdf ;" xr:uid="{E54C35D8-5FBA-4AB8-B74D-60DDB2F3FC18}"/>
    <hyperlink ref="O239" r:id="rId13" xr:uid="{BF669B3F-9943-4E39-9085-F9237601B5FF}"/>
    <hyperlink ref="O258" r:id="rId14" display="https://www.asc-es.com/resource/Ultra%20SprinkFlex%20Flexible%20Hose%20(Short)%20Submittal%20HB1 ; " xr:uid="{D7D49E61-A631-4970-BFB5-F9DD6AB027CA}"/>
    <hyperlink ref="O262" r:id="rId15" display="https://www.asc-es.com/resource/Ultra%20SprinkFlex%20Flexible%20Hose%20(Short)%20Submittal%20HB1 ; " xr:uid="{4AE3EFDE-C27D-42F2-9726-E5A103D8C046}"/>
    <hyperlink ref="O249" r:id="rId16" display="https://assets.victaulic.com/assets/uploads/literature/06.18.pdf ; " xr:uid="{670228EF-9625-4ACE-B6DA-7C77B2F2E06A}"/>
    <hyperlink ref="O206" r:id="rId17" display="https://novasteel.ca/wp-content/uploads/2022/12/ASTM-A795-Dec-14.pdf ;" xr:uid="{ECC42498-6A6D-4DAA-8E38-0466CF2625CB}"/>
    <hyperlink ref="O313" r:id="rId18" xr:uid="{2D0B7A85-B8B9-49C8-AFC7-E07DE1B96732}"/>
    <hyperlink ref="O317" r:id="rId19" xr:uid="{98E424EE-DDE0-48CF-85B4-FFE040AEF354}"/>
    <hyperlink ref="O321" r:id="rId20" xr:uid="{83DDCCCE-5643-40F8-973B-CDE0AB86EB76}"/>
    <hyperlink ref="O333" r:id="rId21" xr:uid="{B2ACE650-0FB7-4D12-A32B-B03375FA590C}"/>
    <hyperlink ref="O352" r:id="rId22" xr:uid="{A12EBA5B-F70D-4A49-A66F-542BBACA51FD}"/>
    <hyperlink ref="O276" r:id="rId23" display="https://www.mdpi.com/2071-1050/15/9/7273 ;" xr:uid="{CA9C4772-A219-43FA-B844-6537CC75B502}"/>
    <hyperlink ref="O271" r:id="rId24" display="https://www.mdpi.com/2071-1050/15/9/7273 ;" xr:uid="{A5AA1953-140B-49D9-BA36-7BE9FB28F88F}"/>
    <hyperlink ref="O279" r:id="rId25" xr:uid="{34BE0832-6BD3-43B7-8749-A7198BBFB6A1}"/>
    <hyperlink ref="O35" r:id="rId26" xr:uid="{8EA060DC-EA0D-4B82-9F31-7C24E47F8650}"/>
    <hyperlink ref="O40" r:id="rId27" xr:uid="{9F76E1C3-1DC0-4318-898E-F055D4B82A2B}"/>
    <hyperlink ref="O46" r:id="rId28" xr:uid="{BECFF308-143D-4540-BC52-16BF3B8AEE32}"/>
    <hyperlink ref="O136" r:id="rId29" xr:uid="{6155F564-2321-4284-8BC9-A945DFE51831}"/>
    <hyperlink ref="O91" r:id="rId30" xr:uid="{31210DE8-5C1B-4E67-BDE9-744AC88ED501}"/>
    <hyperlink ref="O84" r:id="rId31" xr:uid="{25D344C9-6BFD-4881-A9BD-5D186C9C9C9D}"/>
    <hyperlink ref="O69" r:id="rId32" xr:uid="{9D46CFC3-DE78-4E6B-B85F-891D6AC67988}"/>
    <hyperlink ref="O62" r:id="rId33" xr:uid="{80BF912A-9F60-4B78-A91D-47D974CED24D}"/>
    <hyperlink ref="O128" r:id="rId34" xr:uid="{3ABF31D6-DC97-46DC-B2EB-1BF6B8AC4E00}"/>
    <hyperlink ref="O114" r:id="rId35" xr:uid="{C41E6907-485A-4CA4-965E-6CA8630893EC}"/>
    <hyperlink ref="O106" r:id="rId36" xr:uid="{E3F6EF54-9291-48A1-B564-2C6C4A0C09F0}"/>
    <hyperlink ref="O382" r:id="rId37" display="https://certainteed.widen.net/content/opoyh8dp5n/pdf/117.2-CertainTeed-Gypsum-EPD-TypeC-OneHalfInch-Gypsum-Board-MontrealQC.pdf?u=nwk4fd ; " xr:uid="{FFFA3A8C-3B63-46B9-8761-331AB5DC5861}"/>
    <hyperlink ref="O383" r:id="rId38" display="https://images.thdstatic.com/catalog/pdfImages/99/99148400-32ce-44d9-b170-4a56e48d735b.pdf ; " xr:uid="{A35FCF5D-6894-4DE3-9D4C-9E1EAA49BC8C}"/>
    <hyperlink ref="O389" r:id="rId39" display="https://www.asc-es.com/resource/Ultra%20SprinkFlex%20Flexible%20Hose%20(Short)%20Submittal%20HB1 ; " xr:uid="{CC1E098E-9FD9-498E-BE97-CF4570EFC55F}"/>
    <hyperlink ref="O391" r:id="rId40" display="https://novasteel.ca/wp-content/uploads/2022/12/ASTM-A795-Dec-14.pdf ;" xr:uid="{CE110613-5471-41F1-955C-907725A96494}"/>
    <hyperlink ref="O394" r:id="rId41" display="https://itsolution.lindab.com/lindabwebproductsdoc/assets/production/NGE0NGE3YjUtZmRjYi00Mzg0LWE0YTYtN2JmZDI2Yzc0NjE5/5249987968817733757/EPD_Lindab_s.r.o._Ceiling_diffusers_Integra__LCC,_LCP_and_LKP_HUB-0671_2023-09-13.pdf ;" xr:uid="{422A50A8-5FA3-4795-8B71-ADE0C7BA1D02}"/>
    <hyperlink ref="O395" r:id="rId42" display="https://tahoeweb.daikinapplied.com/api/general/DownloadDocumentByName/media/Daikin_CAT_903-1_LR_Air_Terminal_Units_Catalog.pdf/ ; " xr:uid="{64756384-08A0-469D-A164-65E36B61E83F}"/>
    <hyperlink ref="O399" r:id="rId43" xr:uid="{0270077A-B004-433E-8DCF-5F75124620CC}"/>
    <hyperlink ref="O400" r:id="rId44" display="https://www.mdpi.com/2071-1050/15/9/7273 ;" xr:uid="{DDAE270C-19C9-4784-98C5-DA47A4E14C81}"/>
    <hyperlink ref="O412" r:id="rId45" xr:uid="{EC38020D-6B73-480B-817F-53774D153DD9}"/>
    <hyperlink ref="O422" r:id="rId46" display="https://certainteed.widen.net/content/opoyh8dp5n/pdf/117.2-CertainTeed-Gypsum-EPD-TypeC-OneHalfInch-Gypsum-Board-MontrealQC.pdf?u=nwk4fd ; " xr:uid="{D8D8F4FE-C9AF-43DB-AF46-533019DBAF6A}"/>
    <hyperlink ref="O423" r:id="rId47" display="https://images.thdstatic.com/catalog/pdfImages/99/99148400-32ce-44d9-b170-4a56e48d735b.pdf ; " xr:uid="{B7B049D6-0F07-4889-A982-741B3A2A3A67}"/>
    <hyperlink ref="O429" r:id="rId48" display="https://www.asc-es.com/resource/Ultra%20SprinkFlex%20Flexible%20Hose%20(Short)%20Submittal%20HB1 ; " xr:uid="{D95EF57F-DB97-4723-98DF-3F0518AE5E8E}"/>
    <hyperlink ref="O431" r:id="rId49" display="https://novasteel.ca/wp-content/uploads/2022/12/ASTM-A795-Dec-14.pdf ;" xr:uid="{6AAC9ECF-B002-4682-9CEF-2A22C0597ED9}"/>
    <hyperlink ref="O434" r:id="rId50" display="https://itsolution.lindab.com/lindabwebproductsdoc/assets/production/NGE0NGE3YjUtZmRjYi00Mzg0LWE0YTYtN2JmZDI2Yzc0NjE5/5249987968817733757/EPD_Lindab_s.r.o._Ceiling_diffusers_Integra__LCC,_LCP_and_LKP_HUB-0671_2023-09-13.pdf ;" xr:uid="{DE9489BF-7D87-44EC-8D7B-C04199257BDF}"/>
    <hyperlink ref="O435" r:id="rId51" display="https://tahoeweb.daikinapplied.com/api/general/DownloadDocumentByName/media/Daikin_CAT_903-1_LR_Air_Terminal_Units_Catalog.pdf/ ; " xr:uid="{22A00EBB-D508-46A2-B859-01C0D950F30D}"/>
    <hyperlink ref="O439" r:id="rId52" xr:uid="{B8D82C7B-0BE1-4995-A1C3-C535DF7A1605}"/>
    <hyperlink ref="O440" r:id="rId53" display="https://www.mdpi.com/2071-1050/15/9/7273 ;" xr:uid="{7535E67E-5EED-4188-91DD-84D5D7DE6649}"/>
    <hyperlink ref="O452" r:id="rId54" xr:uid="{46BCF3B6-FBAE-4DFD-883B-99CBF1A1D4F0}"/>
    <hyperlink ref="O353" r:id="rId55" display="https://www.trane.com/content/dam/Trane/Commercial/global/products-systems/equipment/chillers/water-cooled/101.1_EPD_TraneTechnologiesChiller.pdf ;" xr:uid="{58BD7F7C-815F-4DC4-BF12-CABE1DEEB4C1}"/>
    <hyperlink ref="O396" r:id="rId56" display="https://www.trane.com/content/dam/Trane/Commercial/global/products-systems/equipment/chillers/water-cooled/101.1_EPD_TraneTechnologiesChiller.pdf ;" xr:uid="{A7FA4938-AC30-42BE-8669-926FB35DF4D4}"/>
    <hyperlink ref="O436" r:id="rId57" display="https://www.trane.com/content/dam/Trane/Commercial/global/products-systems/equipment/chillers/water-cooled/101.1_EPD_TraneTechnologiesChiller.pdf ;" xr:uid="{3D25720B-DE6C-43A8-9B09-84767330BC5B}"/>
  </hyperlinks>
  <pageMargins left="0.7" right="0.7" top="0.75" bottom="0.75" header="0.3" footer="0.3"/>
  <pageSetup orientation="portrait" r:id="rId58"/>
  <drawing r:id="rId59"/>
  <legacyDrawing r:id="rId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87A3B-2FD5-4426-A508-1403670AAEA6}">
  <dimension ref="A1:I1024"/>
  <sheetViews>
    <sheetView workbookViewId="0"/>
  </sheetViews>
  <sheetFormatPr defaultRowHeight="15" x14ac:dyDescent="0.25"/>
  <sheetData>
    <row r="1" spans="1:9" ht="15.75" x14ac:dyDescent="0.25">
      <c r="A1" s="79" t="s">
        <v>788</v>
      </c>
      <c r="B1" s="79" t="s">
        <v>1145</v>
      </c>
    </row>
    <row r="2" spans="1:9" x14ac:dyDescent="0.25">
      <c r="A2" t="s">
        <v>1146</v>
      </c>
      <c r="B2" t="s">
        <v>1147</v>
      </c>
    </row>
    <row r="4" spans="1:9" ht="15.75" x14ac:dyDescent="0.25">
      <c r="A4" s="79" t="s">
        <v>789</v>
      </c>
      <c r="B4" s="79" t="s">
        <v>832</v>
      </c>
    </row>
    <row r="5" spans="1:9" x14ac:dyDescent="0.25">
      <c r="A5" t="s">
        <v>814</v>
      </c>
      <c r="B5" t="s">
        <v>815</v>
      </c>
    </row>
    <row r="6" spans="1:9" x14ac:dyDescent="0.25">
      <c r="A6" t="s">
        <v>791</v>
      </c>
      <c r="B6" t="s">
        <v>833</v>
      </c>
    </row>
    <row r="7" spans="1:9" x14ac:dyDescent="0.25">
      <c r="A7" t="s">
        <v>793</v>
      </c>
      <c r="B7" t="s">
        <v>824</v>
      </c>
    </row>
    <row r="8" spans="1:9" x14ac:dyDescent="0.25">
      <c r="A8" t="s">
        <v>795</v>
      </c>
      <c r="B8" t="s">
        <v>832</v>
      </c>
    </row>
    <row r="9" spans="1:9" x14ac:dyDescent="0.25">
      <c r="A9" t="s">
        <v>796</v>
      </c>
      <c r="B9" t="s">
        <v>797</v>
      </c>
    </row>
    <row r="10" spans="1:9" x14ac:dyDescent="0.25">
      <c r="A10" t="s">
        <v>110</v>
      </c>
      <c r="B10" t="s">
        <v>834</v>
      </c>
    </row>
    <row r="11" spans="1:9" x14ac:dyDescent="0.25">
      <c r="A11" t="s">
        <v>1148</v>
      </c>
      <c r="B11" t="s">
        <v>1145</v>
      </c>
    </row>
    <row r="12" spans="1:9" ht="15.75" x14ac:dyDescent="0.25">
      <c r="A12" s="79" t="s">
        <v>799</v>
      </c>
    </row>
    <row r="13" spans="1:9" x14ac:dyDescent="0.25">
      <c r="A13" t="s">
        <v>800</v>
      </c>
      <c r="B13" t="s">
        <v>801</v>
      </c>
      <c r="C13" t="s">
        <v>802</v>
      </c>
      <c r="D13" t="s">
        <v>793</v>
      </c>
      <c r="E13" t="s">
        <v>110</v>
      </c>
      <c r="F13" t="s">
        <v>835</v>
      </c>
      <c r="G13" t="s">
        <v>796</v>
      </c>
      <c r="H13" t="s">
        <v>803</v>
      </c>
      <c r="I13" t="s">
        <v>795</v>
      </c>
    </row>
    <row r="14" spans="1:9" x14ac:dyDescent="0.25">
      <c r="A14" t="s">
        <v>836</v>
      </c>
      <c r="B14">
        <v>3.8248999999999998E-2</v>
      </c>
      <c r="C14" t="s">
        <v>837</v>
      </c>
      <c r="E14" t="s">
        <v>798</v>
      </c>
      <c r="F14" t="s">
        <v>838</v>
      </c>
      <c r="G14" t="s">
        <v>839</v>
      </c>
      <c r="H14">
        <v>0</v>
      </c>
    </row>
    <row r="15" spans="1:9" x14ac:dyDescent="0.25">
      <c r="A15" t="s">
        <v>840</v>
      </c>
      <c r="B15">
        <v>0.19205</v>
      </c>
      <c r="C15" t="s">
        <v>837</v>
      </c>
      <c r="E15" t="s">
        <v>798</v>
      </c>
      <c r="F15" t="s">
        <v>838</v>
      </c>
      <c r="G15" t="s">
        <v>839</v>
      </c>
      <c r="H15">
        <v>0</v>
      </c>
    </row>
    <row r="16" spans="1:9" x14ac:dyDescent="0.25">
      <c r="A16" t="s">
        <v>841</v>
      </c>
      <c r="B16">
        <v>0.14575099999999999</v>
      </c>
      <c r="C16" t="s">
        <v>837</v>
      </c>
      <c r="E16" t="s">
        <v>798</v>
      </c>
      <c r="F16" t="s">
        <v>838</v>
      </c>
      <c r="G16" t="s">
        <v>839</v>
      </c>
      <c r="H16">
        <v>0</v>
      </c>
    </row>
    <row r="17" spans="1:9" x14ac:dyDescent="0.25">
      <c r="A17" t="s">
        <v>832</v>
      </c>
      <c r="B17">
        <v>1</v>
      </c>
      <c r="C17" t="s">
        <v>1145</v>
      </c>
      <c r="D17" t="s">
        <v>824</v>
      </c>
      <c r="E17" t="s">
        <v>834</v>
      </c>
      <c r="G17" t="s">
        <v>804</v>
      </c>
      <c r="H17">
        <v>0</v>
      </c>
      <c r="I17" t="s">
        <v>832</v>
      </c>
    </row>
    <row r="18" spans="1:9" x14ac:dyDescent="0.25">
      <c r="A18" t="s">
        <v>842</v>
      </c>
      <c r="B18">
        <v>140.83000000000001</v>
      </c>
      <c r="C18" t="s">
        <v>1149</v>
      </c>
      <c r="D18" t="s">
        <v>824</v>
      </c>
      <c r="E18" t="s">
        <v>843</v>
      </c>
      <c r="G18" t="s">
        <v>806</v>
      </c>
      <c r="H18">
        <v>0</v>
      </c>
      <c r="I18" t="s">
        <v>842</v>
      </c>
    </row>
    <row r="20" spans="1:9" ht="15.75" x14ac:dyDescent="0.25">
      <c r="A20" s="79" t="s">
        <v>789</v>
      </c>
      <c r="B20" s="79" t="s">
        <v>857</v>
      </c>
    </row>
    <row r="21" spans="1:9" x14ac:dyDescent="0.25">
      <c r="A21" t="s">
        <v>814</v>
      </c>
      <c r="B21" t="s">
        <v>815</v>
      </c>
    </row>
    <row r="22" spans="1:9" x14ac:dyDescent="0.25">
      <c r="A22" t="s">
        <v>791</v>
      </c>
      <c r="B22" t="s">
        <v>858</v>
      </c>
    </row>
    <row r="23" spans="1:9" x14ac:dyDescent="0.25">
      <c r="A23" t="s">
        <v>793</v>
      </c>
      <c r="B23" t="s">
        <v>811</v>
      </c>
    </row>
    <row r="24" spans="1:9" x14ac:dyDescent="0.25">
      <c r="A24" t="s">
        <v>795</v>
      </c>
      <c r="B24" t="s">
        <v>857</v>
      </c>
    </row>
    <row r="25" spans="1:9" x14ac:dyDescent="0.25">
      <c r="A25" t="s">
        <v>796</v>
      </c>
      <c r="B25" t="s">
        <v>797</v>
      </c>
    </row>
    <row r="26" spans="1:9" x14ac:dyDescent="0.25">
      <c r="A26" t="s">
        <v>110</v>
      </c>
      <c r="B26" t="s">
        <v>798</v>
      </c>
    </row>
    <row r="27" spans="1:9" x14ac:dyDescent="0.25">
      <c r="A27" t="s">
        <v>1148</v>
      </c>
      <c r="B27" t="s">
        <v>1145</v>
      </c>
    </row>
    <row r="28" spans="1:9" ht="15.75" x14ac:dyDescent="0.25">
      <c r="A28" s="79" t="s">
        <v>799</v>
      </c>
    </row>
    <row r="29" spans="1:9" x14ac:dyDescent="0.25">
      <c r="A29" t="s">
        <v>800</v>
      </c>
      <c r="B29" t="s">
        <v>801</v>
      </c>
      <c r="C29" t="s">
        <v>802</v>
      </c>
      <c r="D29" t="s">
        <v>793</v>
      </c>
      <c r="E29" t="s">
        <v>110</v>
      </c>
      <c r="F29" t="s">
        <v>796</v>
      </c>
      <c r="G29" t="s">
        <v>803</v>
      </c>
      <c r="H29" t="s">
        <v>795</v>
      </c>
    </row>
    <row r="30" spans="1:9" x14ac:dyDescent="0.25">
      <c r="A30" t="s">
        <v>857</v>
      </c>
      <c r="B30">
        <v>1</v>
      </c>
      <c r="C30" t="s">
        <v>1145</v>
      </c>
      <c r="D30" t="s">
        <v>811</v>
      </c>
      <c r="E30" t="s">
        <v>798</v>
      </c>
      <c r="F30" t="s">
        <v>804</v>
      </c>
      <c r="G30">
        <v>0</v>
      </c>
      <c r="H30" t="s">
        <v>857</v>
      </c>
    </row>
    <row r="31" spans="1:9" x14ac:dyDescent="0.25">
      <c r="A31" t="s">
        <v>859</v>
      </c>
      <c r="B31">
        <v>0.70296999999999998</v>
      </c>
      <c r="C31" t="s">
        <v>1149</v>
      </c>
      <c r="D31" t="s">
        <v>811</v>
      </c>
      <c r="E31" t="s">
        <v>798</v>
      </c>
      <c r="F31" t="s">
        <v>806</v>
      </c>
      <c r="G31">
        <v>0</v>
      </c>
      <c r="H31" t="s">
        <v>860</v>
      </c>
    </row>
    <row r="32" spans="1:9" x14ac:dyDescent="0.25">
      <c r="A32" t="s">
        <v>830</v>
      </c>
      <c r="B32">
        <v>0.29700290000000001</v>
      </c>
      <c r="C32" t="s">
        <v>1149</v>
      </c>
      <c r="D32" t="s">
        <v>811</v>
      </c>
      <c r="E32" t="s">
        <v>798</v>
      </c>
      <c r="F32" t="s">
        <v>806</v>
      </c>
      <c r="G32">
        <v>0</v>
      </c>
      <c r="H32" t="s">
        <v>831</v>
      </c>
    </row>
    <row r="34" spans="1:9" ht="15.75" x14ac:dyDescent="0.25">
      <c r="A34" s="79" t="s">
        <v>789</v>
      </c>
      <c r="B34" s="79" t="s">
        <v>861</v>
      </c>
    </row>
    <row r="35" spans="1:9" x14ac:dyDescent="0.25">
      <c r="A35" t="s">
        <v>814</v>
      </c>
      <c r="B35" t="s">
        <v>815</v>
      </c>
    </row>
    <row r="36" spans="1:9" x14ac:dyDescent="0.25">
      <c r="A36" t="s">
        <v>791</v>
      </c>
      <c r="B36" t="s">
        <v>862</v>
      </c>
    </row>
    <row r="37" spans="1:9" x14ac:dyDescent="0.25">
      <c r="A37" t="s">
        <v>817</v>
      </c>
      <c r="B37" t="s">
        <v>863</v>
      </c>
    </row>
    <row r="38" spans="1:9" x14ac:dyDescent="0.25">
      <c r="A38" t="s">
        <v>793</v>
      </c>
      <c r="B38" t="s">
        <v>824</v>
      </c>
    </row>
    <row r="39" spans="1:9" x14ac:dyDescent="0.25">
      <c r="A39" t="s">
        <v>795</v>
      </c>
      <c r="B39" t="s">
        <v>861</v>
      </c>
    </row>
    <row r="40" spans="1:9" x14ac:dyDescent="0.25">
      <c r="A40" t="s">
        <v>796</v>
      </c>
      <c r="B40" t="s">
        <v>797</v>
      </c>
    </row>
    <row r="41" spans="1:9" x14ac:dyDescent="0.25">
      <c r="A41" t="s">
        <v>110</v>
      </c>
      <c r="B41" t="s">
        <v>798</v>
      </c>
    </row>
    <row r="42" spans="1:9" x14ac:dyDescent="0.25">
      <c r="A42" t="s">
        <v>1148</v>
      </c>
      <c r="B42" t="s">
        <v>1145</v>
      </c>
    </row>
    <row r="43" spans="1:9" ht="15.75" x14ac:dyDescent="0.25">
      <c r="A43" s="79" t="s">
        <v>799</v>
      </c>
    </row>
    <row r="44" spans="1:9" x14ac:dyDescent="0.25">
      <c r="A44" t="s">
        <v>800</v>
      </c>
      <c r="B44" t="s">
        <v>801</v>
      </c>
      <c r="C44" t="s">
        <v>802</v>
      </c>
      <c r="D44" t="s">
        <v>793</v>
      </c>
      <c r="E44" t="s">
        <v>110</v>
      </c>
      <c r="F44" t="s">
        <v>796</v>
      </c>
      <c r="G44" t="s">
        <v>803</v>
      </c>
      <c r="H44" t="s">
        <v>819</v>
      </c>
      <c r="I44" t="s">
        <v>795</v>
      </c>
    </row>
    <row r="45" spans="1:9" x14ac:dyDescent="0.25">
      <c r="A45" t="s">
        <v>861</v>
      </c>
      <c r="B45">
        <v>1</v>
      </c>
      <c r="C45" t="s">
        <v>1145</v>
      </c>
      <c r="D45" t="s">
        <v>824</v>
      </c>
      <c r="E45" t="s">
        <v>798</v>
      </c>
      <c r="F45" t="s">
        <v>804</v>
      </c>
      <c r="G45">
        <v>0</v>
      </c>
      <c r="I45" t="s">
        <v>861</v>
      </c>
    </row>
    <row r="46" spans="1:9" x14ac:dyDescent="0.25">
      <c r="A46" t="s">
        <v>864</v>
      </c>
      <c r="B46">
        <v>0.5</v>
      </c>
      <c r="C46" t="s">
        <v>1149</v>
      </c>
      <c r="D46" t="s">
        <v>824</v>
      </c>
      <c r="E46" t="s">
        <v>798</v>
      </c>
      <c r="F46" t="s">
        <v>806</v>
      </c>
      <c r="G46">
        <v>0</v>
      </c>
      <c r="I46" t="s">
        <v>865</v>
      </c>
    </row>
    <row r="47" spans="1:9" x14ac:dyDescent="0.25">
      <c r="A47" t="s">
        <v>866</v>
      </c>
      <c r="B47">
        <v>5.3199999999999997E-2</v>
      </c>
      <c r="C47" t="s">
        <v>1149</v>
      </c>
      <c r="D47" t="s">
        <v>824</v>
      </c>
      <c r="E47" t="s">
        <v>798</v>
      </c>
      <c r="F47" t="s">
        <v>806</v>
      </c>
      <c r="G47">
        <v>0</v>
      </c>
      <c r="I47" t="s">
        <v>867</v>
      </c>
    </row>
    <row r="48" spans="1:9" x14ac:dyDescent="0.25">
      <c r="A48" t="s">
        <v>868</v>
      </c>
      <c r="B48">
        <v>2.8677839851024199E-2</v>
      </c>
      <c r="C48" t="s">
        <v>1149</v>
      </c>
      <c r="D48" t="s">
        <v>829</v>
      </c>
      <c r="E48" t="s">
        <v>798</v>
      </c>
      <c r="F48" t="s">
        <v>806</v>
      </c>
      <c r="G48">
        <v>0</v>
      </c>
      <c r="H48">
        <v>-3.5516305850892809</v>
      </c>
      <c r="I48" t="s">
        <v>869</v>
      </c>
    </row>
    <row r="49" spans="1:9" x14ac:dyDescent="0.25">
      <c r="A49" t="s">
        <v>868</v>
      </c>
      <c r="B49">
        <v>0.17132216014897581</v>
      </c>
      <c r="C49" t="s">
        <v>1149</v>
      </c>
      <c r="D49" t="s">
        <v>811</v>
      </c>
      <c r="E49" t="s">
        <v>798</v>
      </c>
      <c r="F49" t="s">
        <v>806</v>
      </c>
      <c r="G49">
        <v>0</v>
      </c>
      <c r="H49">
        <v>-1.764209517459824</v>
      </c>
      <c r="I49" t="s">
        <v>869</v>
      </c>
    </row>
    <row r="50" spans="1:9" x14ac:dyDescent="0.25">
      <c r="A50" t="s">
        <v>870</v>
      </c>
      <c r="B50">
        <v>0.2</v>
      </c>
      <c r="C50" t="s">
        <v>1149</v>
      </c>
      <c r="D50" t="s">
        <v>824</v>
      </c>
      <c r="E50" t="s">
        <v>798</v>
      </c>
      <c r="F50" t="s">
        <v>806</v>
      </c>
      <c r="G50">
        <v>0</v>
      </c>
      <c r="I50" t="s">
        <v>871</v>
      </c>
    </row>
    <row r="51" spans="1:9" x14ac:dyDescent="0.25">
      <c r="A51" t="s">
        <v>872</v>
      </c>
      <c r="B51">
        <v>0.05</v>
      </c>
      <c r="C51" t="s">
        <v>1149</v>
      </c>
      <c r="D51" t="s">
        <v>824</v>
      </c>
      <c r="E51" t="s">
        <v>798</v>
      </c>
      <c r="F51" t="s">
        <v>806</v>
      </c>
      <c r="G51">
        <v>0</v>
      </c>
      <c r="I51" t="s">
        <v>873</v>
      </c>
    </row>
    <row r="52" spans="1:9" x14ac:dyDescent="0.25">
      <c r="A52" t="s">
        <v>874</v>
      </c>
      <c r="B52">
        <v>0.05</v>
      </c>
      <c r="C52" t="s">
        <v>1149</v>
      </c>
      <c r="D52" t="s">
        <v>824</v>
      </c>
      <c r="E52" t="s">
        <v>798</v>
      </c>
      <c r="F52" t="s">
        <v>806</v>
      </c>
      <c r="G52">
        <v>0</v>
      </c>
      <c r="I52" t="s">
        <v>875</v>
      </c>
    </row>
    <row r="53" spans="1:9" x14ac:dyDescent="0.25">
      <c r="A53" t="s">
        <v>876</v>
      </c>
      <c r="B53">
        <v>0.05</v>
      </c>
      <c r="C53" t="s">
        <v>1149</v>
      </c>
      <c r="D53" t="s">
        <v>811</v>
      </c>
      <c r="E53" t="s">
        <v>798</v>
      </c>
      <c r="F53" t="s">
        <v>806</v>
      </c>
      <c r="G53">
        <v>0</v>
      </c>
      <c r="I53" t="s">
        <v>877</v>
      </c>
    </row>
    <row r="55" spans="1:9" ht="15.75" x14ac:dyDescent="0.25">
      <c r="A55" s="79" t="s">
        <v>789</v>
      </c>
      <c r="B55" s="79" t="s">
        <v>907</v>
      </c>
    </row>
    <row r="56" spans="1:9" x14ac:dyDescent="0.25">
      <c r="A56" t="s">
        <v>814</v>
      </c>
      <c r="B56" t="s">
        <v>815</v>
      </c>
    </row>
    <row r="57" spans="1:9" x14ac:dyDescent="0.25">
      <c r="A57" t="s">
        <v>791</v>
      </c>
      <c r="B57" t="s">
        <v>908</v>
      </c>
    </row>
    <row r="58" spans="1:9" x14ac:dyDescent="0.25">
      <c r="A58" t="s">
        <v>793</v>
      </c>
      <c r="B58" t="s">
        <v>794</v>
      </c>
    </row>
    <row r="59" spans="1:9" x14ac:dyDescent="0.25">
      <c r="A59" t="s">
        <v>795</v>
      </c>
      <c r="B59" t="s">
        <v>907</v>
      </c>
    </row>
    <row r="60" spans="1:9" x14ac:dyDescent="0.25">
      <c r="A60" t="s">
        <v>796</v>
      </c>
      <c r="B60" t="s">
        <v>797</v>
      </c>
    </row>
    <row r="61" spans="1:9" x14ac:dyDescent="0.25">
      <c r="A61" t="s">
        <v>110</v>
      </c>
      <c r="B61" t="s">
        <v>798</v>
      </c>
    </row>
    <row r="62" spans="1:9" x14ac:dyDescent="0.25">
      <c r="A62" t="s">
        <v>1148</v>
      </c>
      <c r="B62" t="s">
        <v>1145</v>
      </c>
    </row>
    <row r="63" spans="1:9" ht="15.75" x14ac:dyDescent="0.25">
      <c r="A63" s="79" t="s">
        <v>799</v>
      </c>
    </row>
    <row r="64" spans="1:9" x14ac:dyDescent="0.25">
      <c r="A64" t="s">
        <v>800</v>
      </c>
      <c r="B64" t="s">
        <v>801</v>
      </c>
      <c r="C64" t="s">
        <v>802</v>
      </c>
      <c r="D64" t="s">
        <v>793</v>
      </c>
      <c r="E64" t="s">
        <v>110</v>
      </c>
      <c r="F64" t="s">
        <v>796</v>
      </c>
      <c r="G64" t="s">
        <v>803</v>
      </c>
      <c r="H64" t="s">
        <v>795</v>
      </c>
    </row>
    <row r="65" spans="1:8" x14ac:dyDescent="0.25">
      <c r="A65" t="s">
        <v>907</v>
      </c>
      <c r="B65">
        <v>1</v>
      </c>
      <c r="C65" t="s">
        <v>1145</v>
      </c>
      <c r="D65" t="s">
        <v>794</v>
      </c>
      <c r="E65" t="s">
        <v>798</v>
      </c>
      <c r="F65" t="s">
        <v>804</v>
      </c>
      <c r="G65">
        <v>0</v>
      </c>
      <c r="H65" t="s">
        <v>907</v>
      </c>
    </row>
    <row r="66" spans="1:8" x14ac:dyDescent="0.25">
      <c r="A66" t="s">
        <v>879</v>
      </c>
      <c r="B66">
        <v>1</v>
      </c>
      <c r="C66" t="s">
        <v>1145</v>
      </c>
      <c r="D66" t="s">
        <v>794</v>
      </c>
      <c r="E66" t="s">
        <v>798</v>
      </c>
      <c r="F66" t="s">
        <v>806</v>
      </c>
      <c r="G66">
        <v>0</v>
      </c>
      <c r="H66" t="s">
        <v>881</v>
      </c>
    </row>
    <row r="67" spans="1:8" x14ac:dyDescent="0.25">
      <c r="A67" t="s">
        <v>909</v>
      </c>
      <c r="B67">
        <v>1</v>
      </c>
      <c r="C67" t="s">
        <v>1149</v>
      </c>
      <c r="D67" t="s">
        <v>811</v>
      </c>
      <c r="E67" t="s">
        <v>798</v>
      </c>
      <c r="F67" t="s">
        <v>806</v>
      </c>
      <c r="G67">
        <v>0</v>
      </c>
      <c r="H67" t="s">
        <v>909</v>
      </c>
    </row>
    <row r="69" spans="1:8" ht="15.75" x14ac:dyDescent="0.25">
      <c r="A69" s="79" t="s">
        <v>789</v>
      </c>
      <c r="B69" s="79" t="s">
        <v>910</v>
      </c>
    </row>
    <row r="70" spans="1:8" x14ac:dyDescent="0.25">
      <c r="A70" t="s">
        <v>814</v>
      </c>
      <c r="B70" t="s">
        <v>815</v>
      </c>
    </row>
    <row r="71" spans="1:8" x14ac:dyDescent="0.25">
      <c r="A71" t="s">
        <v>791</v>
      </c>
      <c r="B71" t="s">
        <v>911</v>
      </c>
    </row>
    <row r="72" spans="1:8" x14ac:dyDescent="0.25">
      <c r="A72" t="s">
        <v>793</v>
      </c>
      <c r="B72" t="s">
        <v>811</v>
      </c>
    </row>
    <row r="73" spans="1:8" x14ac:dyDescent="0.25">
      <c r="A73" t="s">
        <v>795</v>
      </c>
      <c r="B73" t="s">
        <v>910</v>
      </c>
    </row>
    <row r="74" spans="1:8" x14ac:dyDescent="0.25">
      <c r="A74" t="s">
        <v>796</v>
      </c>
      <c r="B74" t="s">
        <v>797</v>
      </c>
    </row>
    <row r="75" spans="1:8" x14ac:dyDescent="0.25">
      <c r="A75" t="s">
        <v>110</v>
      </c>
      <c r="B75" t="s">
        <v>798</v>
      </c>
    </row>
    <row r="76" spans="1:8" x14ac:dyDescent="0.25">
      <c r="A76" t="s">
        <v>1148</v>
      </c>
      <c r="B76" t="s">
        <v>1145</v>
      </c>
    </row>
    <row r="77" spans="1:8" ht="15.75" x14ac:dyDescent="0.25">
      <c r="A77" s="79" t="s">
        <v>799</v>
      </c>
    </row>
    <row r="78" spans="1:8" x14ac:dyDescent="0.25">
      <c r="A78" t="s">
        <v>800</v>
      </c>
      <c r="B78" t="s">
        <v>801</v>
      </c>
      <c r="C78" t="s">
        <v>802</v>
      </c>
      <c r="D78" t="s">
        <v>793</v>
      </c>
      <c r="E78" t="s">
        <v>110</v>
      </c>
      <c r="F78" t="s">
        <v>796</v>
      </c>
      <c r="G78" t="s">
        <v>803</v>
      </c>
      <c r="H78" t="s">
        <v>795</v>
      </c>
    </row>
    <row r="79" spans="1:8" x14ac:dyDescent="0.25">
      <c r="A79" t="s">
        <v>910</v>
      </c>
      <c r="B79">
        <v>1</v>
      </c>
      <c r="C79" t="s">
        <v>1145</v>
      </c>
      <c r="D79" t="s">
        <v>811</v>
      </c>
      <c r="E79" t="s">
        <v>798</v>
      </c>
      <c r="F79" t="s">
        <v>804</v>
      </c>
      <c r="G79">
        <v>0</v>
      </c>
      <c r="H79" t="s">
        <v>910</v>
      </c>
    </row>
    <row r="80" spans="1:8" x14ac:dyDescent="0.25">
      <c r="A80" t="s">
        <v>912</v>
      </c>
      <c r="B80">
        <v>1.02</v>
      </c>
      <c r="C80" t="s">
        <v>1149</v>
      </c>
      <c r="D80" t="s">
        <v>811</v>
      </c>
      <c r="E80" t="s">
        <v>798</v>
      </c>
      <c r="F80" t="s">
        <v>806</v>
      </c>
      <c r="G80">
        <v>0</v>
      </c>
      <c r="H80" t="s">
        <v>912</v>
      </c>
    </row>
    <row r="81" spans="1:8" x14ac:dyDescent="0.25">
      <c r="A81" t="s">
        <v>913</v>
      </c>
      <c r="B81">
        <v>1.02</v>
      </c>
      <c r="C81" t="s">
        <v>1149</v>
      </c>
      <c r="D81" t="s">
        <v>811</v>
      </c>
      <c r="E81" t="s">
        <v>798</v>
      </c>
      <c r="F81" t="s">
        <v>806</v>
      </c>
      <c r="G81">
        <v>0</v>
      </c>
      <c r="H81" t="s">
        <v>914</v>
      </c>
    </row>
    <row r="83" spans="1:8" ht="15.75" x14ac:dyDescent="0.25">
      <c r="A83" s="79" t="s">
        <v>789</v>
      </c>
      <c r="B83" s="79" t="s">
        <v>937</v>
      </c>
    </row>
    <row r="84" spans="1:8" x14ac:dyDescent="0.25">
      <c r="A84" t="s">
        <v>814</v>
      </c>
      <c r="B84" t="s">
        <v>815</v>
      </c>
    </row>
    <row r="85" spans="1:8" x14ac:dyDescent="0.25">
      <c r="A85" t="s">
        <v>791</v>
      </c>
      <c r="B85" t="s">
        <v>938</v>
      </c>
    </row>
    <row r="86" spans="1:8" x14ac:dyDescent="0.25">
      <c r="A86" t="s">
        <v>793</v>
      </c>
      <c r="B86" t="s">
        <v>811</v>
      </c>
    </row>
    <row r="87" spans="1:8" x14ac:dyDescent="0.25">
      <c r="A87" t="s">
        <v>795</v>
      </c>
      <c r="B87" t="s">
        <v>939</v>
      </c>
    </row>
    <row r="88" spans="1:8" x14ac:dyDescent="0.25">
      <c r="A88" t="s">
        <v>796</v>
      </c>
      <c r="B88" t="s">
        <v>797</v>
      </c>
    </row>
    <row r="89" spans="1:8" x14ac:dyDescent="0.25">
      <c r="A89" t="s">
        <v>110</v>
      </c>
      <c r="B89" t="s">
        <v>798</v>
      </c>
    </row>
    <row r="90" spans="1:8" x14ac:dyDescent="0.25">
      <c r="A90" t="s">
        <v>1148</v>
      </c>
      <c r="B90" t="s">
        <v>1145</v>
      </c>
    </row>
    <row r="91" spans="1:8" ht="15.75" x14ac:dyDescent="0.25">
      <c r="A91" s="79" t="s">
        <v>799</v>
      </c>
    </row>
    <row r="92" spans="1:8" x14ac:dyDescent="0.25">
      <c r="A92" t="s">
        <v>800</v>
      </c>
      <c r="B92" t="s">
        <v>801</v>
      </c>
      <c r="C92" t="s">
        <v>802</v>
      </c>
      <c r="D92" t="s">
        <v>793</v>
      </c>
      <c r="E92" t="s">
        <v>110</v>
      </c>
      <c r="F92" t="s">
        <v>796</v>
      </c>
      <c r="G92" t="s">
        <v>803</v>
      </c>
      <c r="H92" t="s">
        <v>795</v>
      </c>
    </row>
    <row r="93" spans="1:8" x14ac:dyDescent="0.25">
      <c r="A93" t="s">
        <v>937</v>
      </c>
      <c r="B93">
        <v>1</v>
      </c>
      <c r="C93" t="s">
        <v>1145</v>
      </c>
      <c r="D93" t="s">
        <v>811</v>
      </c>
      <c r="E93" t="s">
        <v>798</v>
      </c>
      <c r="F93" t="s">
        <v>804</v>
      </c>
      <c r="G93">
        <v>0</v>
      </c>
      <c r="H93" t="s">
        <v>939</v>
      </c>
    </row>
    <row r="94" spans="1:8" x14ac:dyDescent="0.25">
      <c r="A94" t="s">
        <v>940</v>
      </c>
      <c r="B94">
        <v>0.6</v>
      </c>
      <c r="C94" t="s">
        <v>1149</v>
      </c>
      <c r="D94" t="s">
        <v>811</v>
      </c>
      <c r="E94" t="s">
        <v>798</v>
      </c>
      <c r="F94" t="s">
        <v>806</v>
      </c>
      <c r="G94">
        <v>0</v>
      </c>
      <c r="H94" t="s">
        <v>941</v>
      </c>
    </row>
    <row r="95" spans="1:8" x14ac:dyDescent="0.25">
      <c r="A95" t="s">
        <v>830</v>
      </c>
      <c r="B95">
        <v>0.4</v>
      </c>
      <c r="C95" t="s">
        <v>1149</v>
      </c>
      <c r="D95" t="s">
        <v>811</v>
      </c>
      <c r="E95" t="s">
        <v>798</v>
      </c>
      <c r="F95" t="s">
        <v>806</v>
      </c>
      <c r="G95">
        <v>0</v>
      </c>
      <c r="H95" t="s">
        <v>831</v>
      </c>
    </row>
    <row r="97" spans="1:8" ht="15.75" x14ac:dyDescent="0.25">
      <c r="A97" s="79" t="s">
        <v>789</v>
      </c>
      <c r="B97" s="79" t="s">
        <v>945</v>
      </c>
    </row>
    <row r="98" spans="1:8" x14ac:dyDescent="0.25">
      <c r="A98" t="s">
        <v>814</v>
      </c>
      <c r="B98" t="s">
        <v>815</v>
      </c>
    </row>
    <row r="99" spans="1:8" x14ac:dyDescent="0.25">
      <c r="A99" t="s">
        <v>791</v>
      </c>
      <c r="B99" t="s">
        <v>949</v>
      </c>
    </row>
    <row r="100" spans="1:8" x14ac:dyDescent="0.25">
      <c r="A100" t="s">
        <v>793</v>
      </c>
      <c r="B100" t="s">
        <v>933</v>
      </c>
    </row>
    <row r="101" spans="1:8" x14ac:dyDescent="0.25">
      <c r="A101" t="s">
        <v>795</v>
      </c>
      <c r="B101" t="s">
        <v>946</v>
      </c>
    </row>
    <row r="102" spans="1:8" x14ac:dyDescent="0.25">
      <c r="A102" t="s">
        <v>796</v>
      </c>
      <c r="B102" t="s">
        <v>797</v>
      </c>
    </row>
    <row r="103" spans="1:8" x14ac:dyDescent="0.25">
      <c r="A103" t="s">
        <v>110</v>
      </c>
      <c r="B103" t="s">
        <v>798</v>
      </c>
    </row>
    <row r="104" spans="1:8" x14ac:dyDescent="0.25">
      <c r="A104" t="s">
        <v>1148</v>
      </c>
      <c r="B104" t="s">
        <v>1145</v>
      </c>
    </row>
    <row r="105" spans="1:8" ht="15.75" x14ac:dyDescent="0.25">
      <c r="A105" s="79" t="s">
        <v>799</v>
      </c>
    </row>
    <row r="106" spans="1:8" x14ac:dyDescent="0.25">
      <c r="A106" t="s">
        <v>800</v>
      </c>
      <c r="B106" t="s">
        <v>801</v>
      </c>
      <c r="C106" t="s">
        <v>802</v>
      </c>
      <c r="D106" t="s">
        <v>793</v>
      </c>
      <c r="E106" t="s">
        <v>110</v>
      </c>
      <c r="F106" t="s">
        <v>796</v>
      </c>
      <c r="G106" t="s">
        <v>803</v>
      </c>
      <c r="H106" t="s">
        <v>795</v>
      </c>
    </row>
    <row r="107" spans="1:8" x14ac:dyDescent="0.25">
      <c r="A107" t="s">
        <v>945</v>
      </c>
      <c r="B107">
        <v>1</v>
      </c>
      <c r="C107" t="s">
        <v>1145</v>
      </c>
      <c r="D107" t="s">
        <v>933</v>
      </c>
      <c r="E107" t="s">
        <v>798</v>
      </c>
      <c r="F107" t="s">
        <v>804</v>
      </c>
      <c r="G107">
        <v>0</v>
      </c>
      <c r="H107" t="s">
        <v>946</v>
      </c>
    </row>
    <row r="108" spans="1:8" x14ac:dyDescent="0.25">
      <c r="A108" t="s">
        <v>950</v>
      </c>
      <c r="B108">
        <v>1</v>
      </c>
      <c r="C108" t="s">
        <v>1149</v>
      </c>
      <c r="D108" t="s">
        <v>824</v>
      </c>
      <c r="E108" t="s">
        <v>798</v>
      </c>
      <c r="F108" t="s">
        <v>806</v>
      </c>
      <c r="G108">
        <v>0</v>
      </c>
      <c r="H108" t="s">
        <v>951</v>
      </c>
    </row>
    <row r="109" spans="1:8" x14ac:dyDescent="0.25">
      <c r="A109" t="s">
        <v>947</v>
      </c>
      <c r="B109">
        <v>0.73934999999999995</v>
      </c>
      <c r="C109" t="s">
        <v>1149</v>
      </c>
      <c r="D109" t="s">
        <v>893</v>
      </c>
      <c r="E109" t="s">
        <v>827</v>
      </c>
      <c r="F109" t="s">
        <v>806</v>
      </c>
      <c r="G109">
        <v>0</v>
      </c>
      <c r="H109" t="s">
        <v>948</v>
      </c>
    </row>
    <row r="110" spans="1:8" x14ac:dyDescent="0.25">
      <c r="A110" t="s">
        <v>931</v>
      </c>
      <c r="B110">
        <v>0.34417999999999999</v>
      </c>
      <c r="C110" t="s">
        <v>1149</v>
      </c>
      <c r="D110" t="s">
        <v>933</v>
      </c>
      <c r="E110" t="s">
        <v>843</v>
      </c>
      <c r="F110" t="s">
        <v>806</v>
      </c>
      <c r="G110">
        <v>0</v>
      </c>
      <c r="H110" t="s">
        <v>932</v>
      </c>
    </row>
    <row r="111" spans="1:8" x14ac:dyDescent="0.25">
      <c r="A111" t="s">
        <v>952</v>
      </c>
      <c r="B111">
        <v>0.20884</v>
      </c>
      <c r="C111" t="s">
        <v>1149</v>
      </c>
      <c r="D111" t="s">
        <v>933</v>
      </c>
      <c r="E111" t="s">
        <v>843</v>
      </c>
      <c r="F111" t="s">
        <v>806</v>
      </c>
      <c r="G111">
        <v>0</v>
      </c>
      <c r="H111" t="s">
        <v>886</v>
      </c>
    </row>
    <row r="113" spans="1:9" ht="15.75" x14ac:dyDescent="0.25">
      <c r="A113" s="79" t="s">
        <v>789</v>
      </c>
      <c r="B113" s="79" t="s">
        <v>965</v>
      </c>
    </row>
    <row r="114" spans="1:9" x14ac:dyDescent="0.25">
      <c r="A114" t="s">
        <v>814</v>
      </c>
      <c r="B114" t="s">
        <v>815</v>
      </c>
    </row>
    <row r="115" spans="1:9" x14ac:dyDescent="0.25">
      <c r="A115" t="s">
        <v>791</v>
      </c>
      <c r="B115" t="s">
        <v>966</v>
      </c>
    </row>
    <row r="116" spans="1:9" x14ac:dyDescent="0.25">
      <c r="A116" t="s">
        <v>793</v>
      </c>
      <c r="B116" t="s">
        <v>890</v>
      </c>
    </row>
    <row r="117" spans="1:9" x14ac:dyDescent="0.25">
      <c r="A117" t="s">
        <v>795</v>
      </c>
      <c r="B117" t="s">
        <v>967</v>
      </c>
    </row>
    <row r="118" spans="1:9" x14ac:dyDescent="0.25">
      <c r="A118" t="s">
        <v>796</v>
      </c>
      <c r="B118" t="s">
        <v>797</v>
      </c>
    </row>
    <row r="119" spans="1:9" x14ac:dyDescent="0.25">
      <c r="A119" t="s">
        <v>110</v>
      </c>
      <c r="B119" t="s">
        <v>847</v>
      </c>
    </row>
    <row r="120" spans="1:9" x14ac:dyDescent="0.25">
      <c r="A120" t="s">
        <v>1148</v>
      </c>
      <c r="B120" t="s">
        <v>1145</v>
      </c>
    </row>
    <row r="121" spans="1:9" ht="15.75" x14ac:dyDescent="0.25">
      <c r="A121" s="79" t="s">
        <v>799</v>
      </c>
    </row>
    <row r="122" spans="1:9" x14ac:dyDescent="0.25">
      <c r="A122" t="s">
        <v>800</v>
      </c>
      <c r="B122" t="s">
        <v>801</v>
      </c>
      <c r="C122" t="s">
        <v>802</v>
      </c>
      <c r="D122" t="s">
        <v>793</v>
      </c>
      <c r="E122" t="s">
        <v>110</v>
      </c>
      <c r="F122" t="s">
        <v>796</v>
      </c>
      <c r="G122" t="s">
        <v>803</v>
      </c>
      <c r="H122" t="s">
        <v>817</v>
      </c>
      <c r="I122" t="s">
        <v>795</v>
      </c>
    </row>
    <row r="123" spans="1:9" x14ac:dyDescent="0.25">
      <c r="A123" t="s">
        <v>965</v>
      </c>
      <c r="B123">
        <v>1</v>
      </c>
      <c r="C123" t="s">
        <v>1145</v>
      </c>
      <c r="D123" t="s">
        <v>890</v>
      </c>
      <c r="E123" t="s">
        <v>847</v>
      </c>
      <c r="F123" t="s">
        <v>804</v>
      </c>
      <c r="G123">
        <v>0</v>
      </c>
      <c r="I123" t="s">
        <v>967</v>
      </c>
    </row>
    <row r="124" spans="1:9" x14ac:dyDescent="0.25">
      <c r="A124" t="s">
        <v>937</v>
      </c>
      <c r="B124">
        <v>0.13450000000000001</v>
      </c>
      <c r="C124" t="s">
        <v>1145</v>
      </c>
      <c r="D124" t="s">
        <v>811</v>
      </c>
      <c r="E124" t="s">
        <v>798</v>
      </c>
      <c r="F124" t="s">
        <v>806</v>
      </c>
      <c r="G124">
        <v>0</v>
      </c>
      <c r="H124" t="s">
        <v>968</v>
      </c>
      <c r="I124" t="s">
        <v>939</v>
      </c>
    </row>
    <row r="125" spans="1:9" x14ac:dyDescent="0.25">
      <c r="A125" t="s">
        <v>810</v>
      </c>
      <c r="B125">
        <v>2.2000000000000002</v>
      </c>
      <c r="C125" t="s">
        <v>1145</v>
      </c>
      <c r="D125" t="s">
        <v>890</v>
      </c>
      <c r="E125" t="s">
        <v>798</v>
      </c>
      <c r="F125" t="s">
        <v>806</v>
      </c>
      <c r="G125">
        <v>0</v>
      </c>
      <c r="I125" t="s">
        <v>812</v>
      </c>
    </row>
    <row r="127" spans="1:9" ht="15.75" x14ac:dyDescent="0.25">
      <c r="A127" s="79" t="s">
        <v>789</v>
      </c>
      <c r="B127" s="79" t="s">
        <v>1137</v>
      </c>
    </row>
    <row r="128" spans="1:9" x14ac:dyDescent="0.25">
      <c r="A128" t="s">
        <v>814</v>
      </c>
      <c r="B128" t="s">
        <v>815</v>
      </c>
    </row>
    <row r="129" spans="1:8" x14ac:dyDescent="0.25">
      <c r="A129" t="s">
        <v>791</v>
      </c>
      <c r="B129" t="s">
        <v>1138</v>
      </c>
    </row>
    <row r="130" spans="1:8" x14ac:dyDescent="0.25">
      <c r="A130" t="s">
        <v>793</v>
      </c>
      <c r="B130" t="s">
        <v>851</v>
      </c>
    </row>
    <row r="131" spans="1:8" x14ac:dyDescent="0.25">
      <c r="A131" t="s">
        <v>795</v>
      </c>
      <c r="B131" t="s">
        <v>1139</v>
      </c>
    </row>
    <row r="132" spans="1:8" x14ac:dyDescent="0.25">
      <c r="A132" t="s">
        <v>796</v>
      </c>
      <c r="B132" t="s">
        <v>797</v>
      </c>
    </row>
    <row r="133" spans="1:8" x14ac:dyDescent="0.25">
      <c r="A133" t="s">
        <v>110</v>
      </c>
      <c r="B133" t="s">
        <v>110</v>
      </c>
    </row>
    <row r="134" spans="1:8" x14ac:dyDescent="0.25">
      <c r="A134" t="s">
        <v>1148</v>
      </c>
      <c r="B134" t="s">
        <v>1145</v>
      </c>
    </row>
    <row r="135" spans="1:8" ht="15.75" x14ac:dyDescent="0.25">
      <c r="A135" s="79" t="s">
        <v>799</v>
      </c>
    </row>
    <row r="136" spans="1:8" x14ac:dyDescent="0.25">
      <c r="A136" t="s">
        <v>800</v>
      </c>
      <c r="B136" t="s">
        <v>801</v>
      </c>
      <c r="C136" t="s">
        <v>802</v>
      </c>
      <c r="D136" t="s">
        <v>793</v>
      </c>
      <c r="E136" t="s">
        <v>110</v>
      </c>
      <c r="F136" t="s">
        <v>796</v>
      </c>
      <c r="G136" t="s">
        <v>803</v>
      </c>
      <c r="H136" t="s">
        <v>795</v>
      </c>
    </row>
    <row r="137" spans="1:8" x14ac:dyDescent="0.25">
      <c r="A137" t="s">
        <v>1137</v>
      </c>
      <c r="B137">
        <v>1</v>
      </c>
      <c r="C137" t="s">
        <v>1145</v>
      </c>
      <c r="D137" t="s">
        <v>851</v>
      </c>
      <c r="E137" t="s">
        <v>110</v>
      </c>
      <c r="F137" t="s">
        <v>804</v>
      </c>
      <c r="G137">
        <v>0</v>
      </c>
      <c r="H137" t="s">
        <v>1139</v>
      </c>
    </row>
    <row r="138" spans="1:8" x14ac:dyDescent="0.25">
      <c r="A138" t="s">
        <v>942</v>
      </c>
      <c r="B138">
        <v>10.199999999999999</v>
      </c>
      <c r="C138" t="s">
        <v>1145</v>
      </c>
      <c r="D138" t="s">
        <v>893</v>
      </c>
      <c r="E138" t="s">
        <v>798</v>
      </c>
      <c r="F138" t="s">
        <v>806</v>
      </c>
      <c r="G138">
        <v>0</v>
      </c>
      <c r="H138" t="s">
        <v>944</v>
      </c>
    </row>
    <row r="139" spans="1:8" x14ac:dyDescent="0.25">
      <c r="A139" t="s">
        <v>1113</v>
      </c>
      <c r="B139">
        <v>326.2</v>
      </c>
      <c r="C139" t="s">
        <v>1149</v>
      </c>
      <c r="D139" t="s">
        <v>824</v>
      </c>
      <c r="E139" t="s">
        <v>798</v>
      </c>
      <c r="F139" t="s">
        <v>806</v>
      </c>
      <c r="G139">
        <v>0</v>
      </c>
      <c r="H139" t="s">
        <v>963</v>
      </c>
    </row>
    <row r="140" spans="1:8" x14ac:dyDescent="0.25">
      <c r="A140" t="s">
        <v>920</v>
      </c>
      <c r="B140">
        <v>264.89999999999998</v>
      </c>
      <c r="C140" t="s">
        <v>1149</v>
      </c>
      <c r="D140" t="s">
        <v>824</v>
      </c>
      <c r="E140" t="s">
        <v>798</v>
      </c>
      <c r="F140" t="s">
        <v>806</v>
      </c>
      <c r="G140">
        <v>0</v>
      </c>
      <c r="H140" t="s">
        <v>921</v>
      </c>
    </row>
    <row r="141" spans="1:8" x14ac:dyDescent="0.25">
      <c r="A141" t="s">
        <v>874</v>
      </c>
      <c r="B141">
        <v>678.2</v>
      </c>
      <c r="C141" t="s">
        <v>1145</v>
      </c>
      <c r="D141" t="s">
        <v>851</v>
      </c>
      <c r="E141" t="s">
        <v>798</v>
      </c>
      <c r="F141" t="s">
        <v>806</v>
      </c>
      <c r="G141">
        <v>0</v>
      </c>
      <c r="H141" t="s">
        <v>875</v>
      </c>
    </row>
    <row r="142" spans="1:8" x14ac:dyDescent="0.25">
      <c r="A142" t="s">
        <v>1150</v>
      </c>
      <c r="B142">
        <v>68.400000000000006</v>
      </c>
      <c r="C142" t="s">
        <v>1149</v>
      </c>
      <c r="D142" t="s">
        <v>851</v>
      </c>
      <c r="E142" t="s">
        <v>798</v>
      </c>
      <c r="F142" t="s">
        <v>806</v>
      </c>
      <c r="G142">
        <v>0</v>
      </c>
      <c r="H142" t="s">
        <v>914</v>
      </c>
    </row>
    <row r="143" spans="1:8" x14ac:dyDescent="0.25">
      <c r="A143" t="s">
        <v>1140</v>
      </c>
      <c r="B143">
        <v>6.9</v>
      </c>
      <c r="C143" t="s">
        <v>1149</v>
      </c>
      <c r="D143" t="s">
        <v>824</v>
      </c>
      <c r="E143" t="s">
        <v>798</v>
      </c>
      <c r="F143" t="s">
        <v>806</v>
      </c>
      <c r="G143">
        <v>0</v>
      </c>
      <c r="H143" t="s">
        <v>1141</v>
      </c>
    </row>
    <row r="144" spans="1:8" x14ac:dyDescent="0.25">
      <c r="A144" t="s">
        <v>1151</v>
      </c>
      <c r="B144">
        <v>15.3</v>
      </c>
      <c r="C144" t="s">
        <v>1149</v>
      </c>
      <c r="D144" t="s">
        <v>811</v>
      </c>
      <c r="E144" t="s">
        <v>1030</v>
      </c>
      <c r="F144" t="s">
        <v>806</v>
      </c>
      <c r="G144">
        <v>0</v>
      </c>
      <c r="H144" t="s">
        <v>1151</v>
      </c>
    </row>
    <row r="146" spans="1:9" ht="15.75" x14ac:dyDescent="0.25">
      <c r="A146" s="79" t="s">
        <v>789</v>
      </c>
      <c r="B146" s="79" t="s">
        <v>995</v>
      </c>
    </row>
    <row r="147" spans="1:9" x14ac:dyDescent="0.25">
      <c r="A147" t="s">
        <v>814</v>
      </c>
      <c r="B147" t="s">
        <v>815</v>
      </c>
    </row>
    <row r="148" spans="1:9" x14ac:dyDescent="0.25">
      <c r="A148" t="s">
        <v>791</v>
      </c>
      <c r="B148" t="s">
        <v>996</v>
      </c>
    </row>
    <row r="149" spans="1:9" x14ac:dyDescent="0.25">
      <c r="A149" t="s">
        <v>793</v>
      </c>
      <c r="B149" t="s">
        <v>933</v>
      </c>
    </row>
    <row r="150" spans="1:9" x14ac:dyDescent="0.25">
      <c r="A150" t="s">
        <v>795</v>
      </c>
      <c r="B150" t="s">
        <v>997</v>
      </c>
    </row>
    <row r="151" spans="1:9" x14ac:dyDescent="0.25">
      <c r="A151" t="s">
        <v>796</v>
      </c>
      <c r="B151" t="s">
        <v>797</v>
      </c>
    </row>
    <row r="152" spans="1:9" x14ac:dyDescent="0.25">
      <c r="A152" t="s">
        <v>110</v>
      </c>
      <c r="B152" t="s">
        <v>798</v>
      </c>
    </row>
    <row r="153" spans="1:9" x14ac:dyDescent="0.25">
      <c r="A153" t="s">
        <v>1148</v>
      </c>
      <c r="B153" t="s">
        <v>1145</v>
      </c>
    </row>
    <row r="154" spans="1:9" ht="15.75" x14ac:dyDescent="0.25">
      <c r="A154" s="79" t="s">
        <v>799</v>
      </c>
    </row>
    <row r="155" spans="1:9" x14ac:dyDescent="0.25">
      <c r="A155" t="s">
        <v>800</v>
      </c>
      <c r="B155" t="s">
        <v>801</v>
      </c>
      <c r="C155" t="s">
        <v>802</v>
      </c>
      <c r="D155" t="s">
        <v>793</v>
      </c>
      <c r="E155" t="s">
        <v>110</v>
      </c>
      <c r="F155" t="s">
        <v>835</v>
      </c>
      <c r="G155" t="s">
        <v>796</v>
      </c>
      <c r="H155" t="s">
        <v>803</v>
      </c>
      <c r="I155" t="s">
        <v>795</v>
      </c>
    </row>
    <row r="156" spans="1:9" x14ac:dyDescent="0.25">
      <c r="A156" t="s">
        <v>882</v>
      </c>
      <c r="B156">
        <v>0.29299999999999998</v>
      </c>
      <c r="C156" t="s">
        <v>837</v>
      </c>
      <c r="E156" t="s">
        <v>798</v>
      </c>
      <c r="F156" t="s">
        <v>838</v>
      </c>
      <c r="G156" t="s">
        <v>839</v>
      </c>
      <c r="H156">
        <v>0</v>
      </c>
    </row>
    <row r="157" spans="1:9" x14ac:dyDescent="0.25">
      <c r="A157" t="s">
        <v>883</v>
      </c>
      <c r="B157">
        <v>1.16E-3</v>
      </c>
      <c r="C157" t="s">
        <v>837</v>
      </c>
      <c r="E157" t="s">
        <v>798</v>
      </c>
      <c r="F157" t="s">
        <v>838</v>
      </c>
      <c r="G157" t="s">
        <v>839</v>
      </c>
      <c r="H157">
        <v>0</v>
      </c>
    </row>
    <row r="158" spans="1:9" x14ac:dyDescent="0.25">
      <c r="A158" t="s">
        <v>884</v>
      </c>
      <c r="B158">
        <v>4.6E-5</v>
      </c>
      <c r="C158" t="s">
        <v>837</v>
      </c>
      <c r="E158" t="s">
        <v>798</v>
      </c>
      <c r="F158" t="s">
        <v>838</v>
      </c>
      <c r="G158" t="s">
        <v>839</v>
      </c>
      <c r="H158">
        <v>0</v>
      </c>
    </row>
    <row r="159" spans="1:9" x14ac:dyDescent="0.25">
      <c r="A159" t="s">
        <v>840</v>
      </c>
      <c r="B159">
        <v>1.77E-5</v>
      </c>
      <c r="C159" t="s">
        <v>837</v>
      </c>
      <c r="E159" t="s">
        <v>798</v>
      </c>
      <c r="F159" t="s">
        <v>838</v>
      </c>
      <c r="G159" t="s">
        <v>839</v>
      </c>
      <c r="H159">
        <v>0</v>
      </c>
    </row>
    <row r="160" spans="1:9" x14ac:dyDescent="0.25">
      <c r="A160" t="s">
        <v>885</v>
      </c>
      <c r="B160">
        <v>6.0999999999999999E-5</v>
      </c>
      <c r="C160" t="s">
        <v>837</v>
      </c>
      <c r="E160" t="s">
        <v>798</v>
      </c>
      <c r="F160" t="s">
        <v>838</v>
      </c>
      <c r="G160" t="s">
        <v>839</v>
      </c>
      <c r="H160">
        <v>0</v>
      </c>
    </row>
    <row r="161" spans="1:9" x14ac:dyDescent="0.25">
      <c r="A161" t="s">
        <v>995</v>
      </c>
      <c r="B161">
        <v>1</v>
      </c>
      <c r="C161" t="s">
        <v>1145</v>
      </c>
      <c r="D161" t="s">
        <v>933</v>
      </c>
      <c r="E161" t="s">
        <v>798</v>
      </c>
      <c r="G161" t="s">
        <v>804</v>
      </c>
      <c r="H161">
        <v>0</v>
      </c>
      <c r="I161" t="s">
        <v>997</v>
      </c>
    </row>
    <row r="162" spans="1:9" x14ac:dyDescent="0.25">
      <c r="A162" t="s">
        <v>998</v>
      </c>
      <c r="B162">
        <v>1.4</v>
      </c>
      <c r="C162" t="s">
        <v>1149</v>
      </c>
      <c r="D162" t="s">
        <v>933</v>
      </c>
      <c r="E162" t="s">
        <v>798</v>
      </c>
      <c r="G162" t="s">
        <v>806</v>
      </c>
      <c r="H162">
        <v>0</v>
      </c>
      <c r="I162" t="s">
        <v>999</v>
      </c>
    </row>
    <row r="163" spans="1:9" x14ac:dyDescent="0.25">
      <c r="A163" t="s">
        <v>826</v>
      </c>
      <c r="B163">
        <v>0.107</v>
      </c>
      <c r="C163" t="s">
        <v>1149</v>
      </c>
      <c r="D163" t="s">
        <v>933</v>
      </c>
      <c r="E163" t="s">
        <v>827</v>
      </c>
      <c r="G163" t="s">
        <v>806</v>
      </c>
      <c r="H163">
        <v>0</v>
      </c>
      <c r="I163" t="s">
        <v>828</v>
      </c>
    </row>
    <row r="164" spans="1:9" x14ac:dyDescent="0.25">
      <c r="A164" t="s">
        <v>892</v>
      </c>
      <c r="B164">
        <v>0.26</v>
      </c>
      <c r="C164" t="s">
        <v>1149</v>
      </c>
      <c r="D164" t="s">
        <v>893</v>
      </c>
      <c r="E164" t="s">
        <v>834</v>
      </c>
      <c r="G164" t="s">
        <v>806</v>
      </c>
      <c r="H164">
        <v>0</v>
      </c>
      <c r="I164" t="s">
        <v>894</v>
      </c>
    </row>
    <row r="165" spans="1:9" x14ac:dyDescent="0.25">
      <c r="A165" t="s">
        <v>895</v>
      </c>
      <c r="B165">
        <v>2.1999999999999999E-2</v>
      </c>
      <c r="C165" t="s">
        <v>1149</v>
      </c>
      <c r="D165" t="s">
        <v>890</v>
      </c>
      <c r="E165" t="s">
        <v>798</v>
      </c>
      <c r="G165" t="s">
        <v>806</v>
      </c>
      <c r="H165">
        <v>0</v>
      </c>
      <c r="I165" t="s">
        <v>896</v>
      </c>
    </row>
    <row r="166" spans="1:9" x14ac:dyDescent="0.25">
      <c r="A166" t="s">
        <v>830</v>
      </c>
      <c r="B166">
        <v>1.4E-3</v>
      </c>
      <c r="C166" t="s">
        <v>1149</v>
      </c>
      <c r="D166" t="s">
        <v>933</v>
      </c>
      <c r="E166" t="s">
        <v>798</v>
      </c>
      <c r="G166" t="s">
        <v>806</v>
      </c>
      <c r="H166">
        <v>0</v>
      </c>
      <c r="I166" t="s">
        <v>831</v>
      </c>
    </row>
    <row r="167" spans="1:9" x14ac:dyDescent="0.25">
      <c r="A167" t="s">
        <v>934</v>
      </c>
      <c r="B167">
        <v>-3.7500000000000001E-4</v>
      </c>
      <c r="C167" t="s">
        <v>1149</v>
      </c>
      <c r="D167" t="s">
        <v>933</v>
      </c>
      <c r="E167" t="s">
        <v>834</v>
      </c>
      <c r="G167" t="s">
        <v>806</v>
      </c>
      <c r="H167">
        <v>0</v>
      </c>
      <c r="I167" t="s">
        <v>935</v>
      </c>
    </row>
    <row r="168" spans="1:9" x14ac:dyDescent="0.25">
      <c r="A168" t="s">
        <v>1000</v>
      </c>
      <c r="B168">
        <v>5.0000000000000001E-4</v>
      </c>
      <c r="C168" t="s">
        <v>1149</v>
      </c>
      <c r="D168" t="s">
        <v>933</v>
      </c>
      <c r="E168" t="s">
        <v>798</v>
      </c>
      <c r="G168" t="s">
        <v>806</v>
      </c>
      <c r="H168">
        <v>0</v>
      </c>
      <c r="I168" t="s">
        <v>897</v>
      </c>
    </row>
    <row r="169" spans="1:9" x14ac:dyDescent="0.25">
      <c r="A169" t="s">
        <v>1001</v>
      </c>
      <c r="B169">
        <v>-5.6250000000000001E-2</v>
      </c>
      <c r="C169" t="s">
        <v>1149</v>
      </c>
      <c r="D169" t="s">
        <v>811</v>
      </c>
      <c r="E169" t="s">
        <v>798</v>
      </c>
      <c r="G169" t="s">
        <v>806</v>
      </c>
      <c r="H169">
        <v>0</v>
      </c>
      <c r="I169" t="s">
        <v>891</v>
      </c>
    </row>
    <row r="171" spans="1:9" ht="15.75" x14ac:dyDescent="0.25">
      <c r="A171" s="79" t="s">
        <v>789</v>
      </c>
      <c r="B171" s="79" t="s">
        <v>1014</v>
      </c>
    </row>
    <row r="172" spans="1:9" x14ac:dyDescent="0.25">
      <c r="A172" t="s">
        <v>814</v>
      </c>
      <c r="B172" t="s">
        <v>815</v>
      </c>
    </row>
    <row r="173" spans="1:9" x14ac:dyDescent="0.25">
      <c r="A173" t="s">
        <v>791</v>
      </c>
      <c r="B173" t="s">
        <v>1015</v>
      </c>
    </row>
    <row r="174" spans="1:9" x14ac:dyDescent="0.25">
      <c r="A174" t="s">
        <v>793</v>
      </c>
      <c r="B174" t="s">
        <v>794</v>
      </c>
    </row>
    <row r="175" spans="1:9" x14ac:dyDescent="0.25">
      <c r="A175" t="s">
        <v>795</v>
      </c>
      <c r="B175" t="s">
        <v>1016</v>
      </c>
    </row>
    <row r="176" spans="1:9" x14ac:dyDescent="0.25">
      <c r="A176" t="s">
        <v>796</v>
      </c>
      <c r="B176" t="s">
        <v>797</v>
      </c>
    </row>
    <row r="177" spans="1:9" x14ac:dyDescent="0.25">
      <c r="A177" t="s">
        <v>110</v>
      </c>
      <c r="B177" t="s">
        <v>1017</v>
      </c>
    </row>
    <row r="178" spans="1:9" x14ac:dyDescent="0.25">
      <c r="A178" t="s">
        <v>1148</v>
      </c>
      <c r="B178" t="s">
        <v>1145</v>
      </c>
    </row>
    <row r="179" spans="1:9" ht="15.75" x14ac:dyDescent="0.25">
      <c r="A179" s="79" t="s">
        <v>799</v>
      </c>
    </row>
    <row r="180" spans="1:9" x14ac:dyDescent="0.25">
      <c r="A180" t="s">
        <v>800</v>
      </c>
      <c r="B180" t="s">
        <v>801</v>
      </c>
      <c r="C180" t="s">
        <v>802</v>
      </c>
      <c r="D180" t="s">
        <v>793</v>
      </c>
      <c r="E180" t="s">
        <v>110</v>
      </c>
      <c r="F180" t="s">
        <v>835</v>
      </c>
      <c r="G180" t="s">
        <v>796</v>
      </c>
      <c r="H180" t="s">
        <v>803</v>
      </c>
      <c r="I180" t="s">
        <v>795</v>
      </c>
    </row>
    <row r="181" spans="1:9" x14ac:dyDescent="0.25">
      <c r="A181" t="s">
        <v>882</v>
      </c>
      <c r="B181">
        <v>1847.664</v>
      </c>
      <c r="C181" t="s">
        <v>837</v>
      </c>
      <c r="E181" t="s">
        <v>798</v>
      </c>
      <c r="F181" t="s">
        <v>838</v>
      </c>
      <c r="G181" t="s">
        <v>839</v>
      </c>
      <c r="H181">
        <v>0</v>
      </c>
    </row>
    <row r="182" spans="1:9" x14ac:dyDescent="0.25">
      <c r="A182" t="s">
        <v>848</v>
      </c>
      <c r="B182">
        <v>0.377832</v>
      </c>
      <c r="C182" t="s">
        <v>837</v>
      </c>
      <c r="E182" t="s">
        <v>834</v>
      </c>
      <c r="F182" t="s">
        <v>838</v>
      </c>
      <c r="G182" t="s">
        <v>839</v>
      </c>
      <c r="H182">
        <v>0</v>
      </c>
    </row>
    <row r="183" spans="1:9" x14ac:dyDescent="0.25">
      <c r="A183" t="s">
        <v>1014</v>
      </c>
      <c r="B183">
        <v>1</v>
      </c>
      <c r="C183" t="s">
        <v>1145</v>
      </c>
      <c r="D183" t="s">
        <v>794</v>
      </c>
      <c r="E183" t="s">
        <v>1017</v>
      </c>
      <c r="G183" t="s">
        <v>804</v>
      </c>
      <c r="H183">
        <v>0</v>
      </c>
      <c r="I183" t="s">
        <v>1016</v>
      </c>
    </row>
    <row r="184" spans="1:9" x14ac:dyDescent="0.25">
      <c r="A184" t="s">
        <v>1152</v>
      </c>
      <c r="B184">
        <v>570.79999999999995</v>
      </c>
      <c r="C184" t="s">
        <v>1149</v>
      </c>
      <c r="D184" t="s">
        <v>933</v>
      </c>
      <c r="E184" t="s">
        <v>798</v>
      </c>
      <c r="G184" t="s">
        <v>806</v>
      </c>
      <c r="H184">
        <v>0</v>
      </c>
      <c r="I184" t="s">
        <v>896</v>
      </c>
    </row>
    <row r="185" spans="1:9" x14ac:dyDescent="0.25">
      <c r="A185" t="s">
        <v>1018</v>
      </c>
      <c r="B185">
        <v>546</v>
      </c>
      <c r="C185" t="s">
        <v>1149</v>
      </c>
      <c r="D185" t="s">
        <v>811</v>
      </c>
      <c r="E185" t="s">
        <v>798</v>
      </c>
      <c r="G185" t="s">
        <v>806</v>
      </c>
      <c r="H185">
        <v>0</v>
      </c>
      <c r="I185" t="s">
        <v>1019</v>
      </c>
    </row>
    <row r="187" spans="1:9" ht="15.75" x14ac:dyDescent="0.25">
      <c r="A187" s="79" t="s">
        <v>789</v>
      </c>
      <c r="B187" s="79" t="s">
        <v>1021</v>
      </c>
    </row>
    <row r="188" spans="1:9" x14ac:dyDescent="0.25">
      <c r="A188" t="s">
        <v>814</v>
      </c>
      <c r="B188" t="s">
        <v>815</v>
      </c>
    </row>
    <row r="189" spans="1:9" x14ac:dyDescent="0.25">
      <c r="A189" t="s">
        <v>791</v>
      </c>
      <c r="B189" t="s">
        <v>1022</v>
      </c>
    </row>
    <row r="190" spans="1:9" x14ac:dyDescent="0.25">
      <c r="A190" t="s">
        <v>793</v>
      </c>
      <c r="B190" t="s">
        <v>824</v>
      </c>
    </row>
    <row r="191" spans="1:9" x14ac:dyDescent="0.25">
      <c r="A191" t="s">
        <v>795</v>
      </c>
      <c r="B191" t="s">
        <v>1023</v>
      </c>
    </row>
    <row r="192" spans="1:9" x14ac:dyDescent="0.25">
      <c r="A192" t="s">
        <v>796</v>
      </c>
      <c r="B192" t="s">
        <v>797</v>
      </c>
    </row>
    <row r="193" spans="1:8" x14ac:dyDescent="0.25">
      <c r="A193" t="s">
        <v>110</v>
      </c>
      <c r="B193" t="s">
        <v>847</v>
      </c>
    </row>
    <row r="194" spans="1:8" x14ac:dyDescent="0.25">
      <c r="A194" t="s">
        <v>1148</v>
      </c>
      <c r="B194" t="s">
        <v>1145</v>
      </c>
    </row>
    <row r="195" spans="1:8" ht="15.75" x14ac:dyDescent="0.25">
      <c r="A195" s="79" t="s">
        <v>799</v>
      </c>
    </row>
    <row r="196" spans="1:8" x14ac:dyDescent="0.25">
      <c r="A196" t="s">
        <v>800</v>
      </c>
      <c r="B196" t="s">
        <v>801</v>
      </c>
      <c r="C196" t="s">
        <v>802</v>
      </c>
      <c r="D196" t="s">
        <v>793</v>
      </c>
      <c r="E196" t="s">
        <v>110</v>
      </c>
      <c r="F196" t="s">
        <v>796</v>
      </c>
      <c r="G196" t="s">
        <v>803</v>
      </c>
      <c r="H196" t="s">
        <v>795</v>
      </c>
    </row>
    <row r="197" spans="1:8" x14ac:dyDescent="0.25">
      <c r="A197" t="s">
        <v>1021</v>
      </c>
      <c r="B197">
        <v>1</v>
      </c>
      <c r="C197" t="s">
        <v>1145</v>
      </c>
      <c r="D197" t="s">
        <v>824</v>
      </c>
      <c r="E197" t="s">
        <v>847</v>
      </c>
      <c r="F197" t="s">
        <v>804</v>
      </c>
      <c r="G197">
        <v>0</v>
      </c>
      <c r="H197" t="s">
        <v>1023</v>
      </c>
    </row>
    <row r="198" spans="1:8" x14ac:dyDescent="0.25">
      <c r="A198" t="s">
        <v>1024</v>
      </c>
      <c r="B198">
        <v>1</v>
      </c>
      <c r="C198" t="s">
        <v>1145</v>
      </c>
      <c r="D198" t="s">
        <v>811</v>
      </c>
      <c r="E198" t="s">
        <v>847</v>
      </c>
      <c r="F198" t="s">
        <v>806</v>
      </c>
      <c r="G198">
        <v>0</v>
      </c>
      <c r="H198" t="s">
        <v>1024</v>
      </c>
    </row>
    <row r="199" spans="1:8" x14ac:dyDescent="0.25">
      <c r="A199" t="s">
        <v>1153</v>
      </c>
      <c r="B199">
        <v>9.02</v>
      </c>
      <c r="C199" t="s">
        <v>1149</v>
      </c>
      <c r="D199" t="s">
        <v>890</v>
      </c>
      <c r="E199" t="s">
        <v>798</v>
      </c>
      <c r="F199" t="s">
        <v>806</v>
      </c>
      <c r="G199">
        <v>0</v>
      </c>
      <c r="H199" t="s">
        <v>1154</v>
      </c>
    </row>
    <row r="201" spans="1:8" ht="15.75" x14ac:dyDescent="0.25">
      <c r="A201" s="79" t="s">
        <v>789</v>
      </c>
      <c r="B201" s="79" t="s">
        <v>1142</v>
      </c>
    </row>
    <row r="202" spans="1:8" x14ac:dyDescent="0.25">
      <c r="A202" t="s">
        <v>814</v>
      </c>
      <c r="B202" t="s">
        <v>1028</v>
      </c>
    </row>
    <row r="203" spans="1:8" x14ac:dyDescent="0.25">
      <c r="A203" t="s">
        <v>791</v>
      </c>
      <c r="B203" t="s">
        <v>1143</v>
      </c>
    </row>
    <row r="204" spans="1:8" x14ac:dyDescent="0.25">
      <c r="A204" t="s">
        <v>793</v>
      </c>
      <c r="B204" t="s">
        <v>794</v>
      </c>
    </row>
    <row r="205" spans="1:8" x14ac:dyDescent="0.25">
      <c r="A205" t="s">
        <v>795</v>
      </c>
      <c r="B205" t="s">
        <v>1139</v>
      </c>
    </row>
    <row r="206" spans="1:8" x14ac:dyDescent="0.25">
      <c r="A206" t="s">
        <v>796</v>
      </c>
      <c r="B206" t="s">
        <v>797</v>
      </c>
    </row>
    <row r="207" spans="1:8" x14ac:dyDescent="0.25">
      <c r="A207" t="s">
        <v>110</v>
      </c>
      <c r="B207" t="s">
        <v>110</v>
      </c>
    </row>
    <row r="208" spans="1:8" x14ac:dyDescent="0.25">
      <c r="A208" t="s">
        <v>1148</v>
      </c>
      <c r="B208" t="s">
        <v>1145</v>
      </c>
    </row>
    <row r="209" spans="1:9" ht="15.75" x14ac:dyDescent="0.25">
      <c r="A209" s="79" t="s">
        <v>799</v>
      </c>
    </row>
    <row r="210" spans="1:9" x14ac:dyDescent="0.25">
      <c r="A210" t="s">
        <v>800</v>
      </c>
      <c r="B210" t="s">
        <v>801</v>
      </c>
      <c r="C210" t="s">
        <v>802</v>
      </c>
      <c r="D210" t="s">
        <v>793</v>
      </c>
      <c r="E210" t="s">
        <v>110</v>
      </c>
      <c r="F210" t="s">
        <v>796</v>
      </c>
      <c r="G210" t="s">
        <v>803</v>
      </c>
      <c r="H210" t="s">
        <v>795</v>
      </c>
    </row>
    <row r="211" spans="1:9" x14ac:dyDescent="0.25">
      <c r="A211" t="s">
        <v>1142</v>
      </c>
      <c r="B211">
        <v>1</v>
      </c>
      <c r="C211" t="s">
        <v>1145</v>
      </c>
      <c r="D211" t="s">
        <v>794</v>
      </c>
      <c r="E211" t="s">
        <v>110</v>
      </c>
      <c r="F211" t="s">
        <v>804</v>
      </c>
      <c r="G211">
        <v>0</v>
      </c>
      <c r="H211" t="s">
        <v>1139</v>
      </c>
    </row>
    <row r="212" spans="1:9" x14ac:dyDescent="0.25">
      <c r="A212" t="s">
        <v>1137</v>
      </c>
      <c r="B212">
        <v>1</v>
      </c>
      <c r="C212" t="s">
        <v>1145</v>
      </c>
      <c r="D212" t="s">
        <v>851</v>
      </c>
      <c r="E212" t="s">
        <v>110</v>
      </c>
      <c r="F212" t="s">
        <v>806</v>
      </c>
      <c r="G212">
        <v>0</v>
      </c>
      <c r="H212" t="s">
        <v>1139</v>
      </c>
    </row>
    <row r="213" spans="1:9" x14ac:dyDescent="0.25">
      <c r="A213" t="s">
        <v>1151</v>
      </c>
      <c r="B213">
        <v>2032</v>
      </c>
      <c r="C213" t="s">
        <v>1149</v>
      </c>
      <c r="D213" t="s">
        <v>811</v>
      </c>
      <c r="E213" t="s">
        <v>1030</v>
      </c>
      <c r="F213" t="s">
        <v>806</v>
      </c>
      <c r="G213">
        <v>0</v>
      </c>
      <c r="H213" t="s">
        <v>1151</v>
      </c>
    </row>
    <row r="215" spans="1:9" ht="15.75" x14ac:dyDescent="0.25">
      <c r="A215" s="79" t="s">
        <v>789</v>
      </c>
      <c r="B215" s="79" t="s">
        <v>1031</v>
      </c>
    </row>
    <row r="216" spans="1:9" x14ac:dyDescent="0.25">
      <c r="A216" t="s">
        <v>814</v>
      </c>
      <c r="B216" t="s">
        <v>1028</v>
      </c>
    </row>
    <row r="217" spans="1:9" x14ac:dyDescent="0.25">
      <c r="A217" t="s">
        <v>791</v>
      </c>
      <c r="B217" t="s">
        <v>1032</v>
      </c>
    </row>
    <row r="218" spans="1:9" x14ac:dyDescent="0.25">
      <c r="A218" t="s">
        <v>793</v>
      </c>
      <c r="B218" t="s">
        <v>794</v>
      </c>
    </row>
    <row r="219" spans="1:9" x14ac:dyDescent="0.25">
      <c r="A219" t="s">
        <v>795</v>
      </c>
      <c r="B219" t="s">
        <v>1033</v>
      </c>
    </row>
    <row r="220" spans="1:9" x14ac:dyDescent="0.25">
      <c r="A220" t="s">
        <v>796</v>
      </c>
      <c r="B220" t="s">
        <v>797</v>
      </c>
    </row>
    <row r="221" spans="1:9" x14ac:dyDescent="0.25">
      <c r="A221" t="s">
        <v>110</v>
      </c>
      <c r="B221" t="s">
        <v>847</v>
      </c>
    </row>
    <row r="222" spans="1:9" x14ac:dyDescent="0.25">
      <c r="A222" t="s">
        <v>1148</v>
      </c>
      <c r="B222" t="s">
        <v>1145</v>
      </c>
    </row>
    <row r="223" spans="1:9" ht="15.75" x14ac:dyDescent="0.25">
      <c r="A223" s="79" t="s">
        <v>799</v>
      </c>
    </row>
    <row r="224" spans="1:9" x14ac:dyDescent="0.25">
      <c r="A224" t="s">
        <v>800</v>
      </c>
      <c r="B224" t="s">
        <v>801</v>
      </c>
      <c r="C224" t="s">
        <v>802</v>
      </c>
      <c r="D224" t="s">
        <v>793</v>
      </c>
      <c r="E224" t="s">
        <v>110</v>
      </c>
      <c r="F224" t="s">
        <v>796</v>
      </c>
      <c r="G224" t="s">
        <v>803</v>
      </c>
      <c r="H224" t="s">
        <v>817</v>
      </c>
      <c r="I224" t="s">
        <v>795</v>
      </c>
    </row>
    <row r="225" spans="1:9" x14ac:dyDescent="0.25">
      <c r="A225" t="s">
        <v>1031</v>
      </c>
      <c r="B225">
        <v>1</v>
      </c>
      <c r="C225" t="s">
        <v>1145</v>
      </c>
      <c r="D225" t="s">
        <v>794</v>
      </c>
      <c r="E225" t="s">
        <v>847</v>
      </c>
      <c r="F225" t="s">
        <v>804</v>
      </c>
      <c r="G225">
        <v>0</v>
      </c>
      <c r="I225" t="s">
        <v>1033</v>
      </c>
    </row>
    <row r="226" spans="1:9" x14ac:dyDescent="0.25">
      <c r="A226" t="s">
        <v>942</v>
      </c>
      <c r="B226">
        <v>8.75</v>
      </c>
      <c r="C226" t="s">
        <v>1145</v>
      </c>
      <c r="D226" t="s">
        <v>893</v>
      </c>
      <c r="E226" t="s">
        <v>798</v>
      </c>
      <c r="F226" t="s">
        <v>806</v>
      </c>
      <c r="G226">
        <v>0</v>
      </c>
      <c r="I226" t="s">
        <v>944</v>
      </c>
    </row>
    <row r="227" spans="1:9" x14ac:dyDescent="0.25">
      <c r="A227" t="s">
        <v>1034</v>
      </c>
      <c r="B227">
        <v>2.1599400000000002</v>
      </c>
      <c r="C227" t="s">
        <v>1149</v>
      </c>
      <c r="D227" t="s">
        <v>933</v>
      </c>
      <c r="E227" t="s">
        <v>847</v>
      </c>
      <c r="F227" t="s">
        <v>806</v>
      </c>
      <c r="G227">
        <v>0</v>
      </c>
      <c r="I227" t="s">
        <v>1034</v>
      </c>
    </row>
    <row r="228" spans="1:9" x14ac:dyDescent="0.25">
      <c r="A228" t="s">
        <v>1011</v>
      </c>
      <c r="B228">
        <v>1.0896112920000001</v>
      </c>
      <c r="C228" t="s">
        <v>1145</v>
      </c>
      <c r="D228" t="s">
        <v>890</v>
      </c>
      <c r="E228" t="s">
        <v>847</v>
      </c>
      <c r="F228" t="s">
        <v>806</v>
      </c>
      <c r="G228">
        <v>0</v>
      </c>
      <c r="I228" t="s">
        <v>846</v>
      </c>
    </row>
    <row r="229" spans="1:9" x14ac:dyDescent="0.25">
      <c r="A229" t="s">
        <v>919</v>
      </c>
      <c r="B229">
        <v>0.43528181799999999</v>
      </c>
      <c r="C229" t="s">
        <v>1149</v>
      </c>
      <c r="D229" t="s">
        <v>811</v>
      </c>
      <c r="E229" t="s">
        <v>798</v>
      </c>
      <c r="F229" t="s">
        <v>806</v>
      </c>
      <c r="G229">
        <v>0</v>
      </c>
      <c r="I229" t="s">
        <v>919</v>
      </c>
    </row>
    <row r="230" spans="1:9" x14ac:dyDescent="0.25">
      <c r="A230" t="s">
        <v>922</v>
      </c>
      <c r="B230">
        <v>2.3199999999999999E-8</v>
      </c>
      <c r="C230" t="s">
        <v>1149</v>
      </c>
      <c r="D230" t="s">
        <v>824</v>
      </c>
      <c r="E230" t="s">
        <v>110</v>
      </c>
      <c r="F230" t="s">
        <v>806</v>
      </c>
      <c r="G230">
        <v>0</v>
      </c>
      <c r="I230" t="s">
        <v>923</v>
      </c>
    </row>
    <row r="231" spans="1:9" x14ac:dyDescent="0.25">
      <c r="A231" t="s">
        <v>1035</v>
      </c>
      <c r="B231">
        <v>6.5000000000000002E-2</v>
      </c>
      <c r="C231" t="s">
        <v>1149</v>
      </c>
      <c r="D231" t="s">
        <v>811</v>
      </c>
      <c r="E231" t="s">
        <v>798</v>
      </c>
      <c r="F231" t="s">
        <v>806</v>
      </c>
      <c r="G231">
        <v>0</v>
      </c>
      <c r="I231" t="s">
        <v>1036</v>
      </c>
    </row>
    <row r="232" spans="1:9" x14ac:dyDescent="0.25">
      <c r="A232" t="s">
        <v>1009</v>
      </c>
      <c r="B232">
        <v>1.49542</v>
      </c>
      <c r="C232" t="s">
        <v>1149</v>
      </c>
      <c r="D232" t="s">
        <v>811</v>
      </c>
      <c r="E232" t="s">
        <v>798</v>
      </c>
      <c r="F232" t="s">
        <v>806</v>
      </c>
      <c r="G232">
        <v>0</v>
      </c>
      <c r="I232" t="s">
        <v>1010</v>
      </c>
    </row>
    <row r="233" spans="1:9" x14ac:dyDescent="0.25">
      <c r="A233" t="s">
        <v>936</v>
      </c>
      <c r="B233">
        <v>1.27</v>
      </c>
      <c r="C233" t="s">
        <v>1149</v>
      </c>
      <c r="D233" t="s">
        <v>890</v>
      </c>
      <c r="E233" t="s">
        <v>827</v>
      </c>
      <c r="F233" t="s">
        <v>806</v>
      </c>
      <c r="G233">
        <v>0</v>
      </c>
      <c r="I233" t="s">
        <v>828</v>
      </c>
    </row>
    <row r="234" spans="1:9" x14ac:dyDescent="0.25">
      <c r="A234" t="s">
        <v>1153</v>
      </c>
      <c r="B234">
        <v>0.43528181799999999</v>
      </c>
      <c r="C234" t="s">
        <v>1149</v>
      </c>
      <c r="D234" t="s">
        <v>890</v>
      </c>
      <c r="E234" t="s">
        <v>798</v>
      </c>
      <c r="F234" t="s">
        <v>806</v>
      </c>
      <c r="G234">
        <v>0</v>
      </c>
      <c r="I234" t="s">
        <v>1154</v>
      </c>
    </row>
    <row r="235" spans="1:9" x14ac:dyDescent="0.25">
      <c r="A235" t="s">
        <v>924</v>
      </c>
      <c r="B235">
        <v>8.75</v>
      </c>
      <c r="C235" t="s">
        <v>1149</v>
      </c>
      <c r="D235" t="s">
        <v>811</v>
      </c>
      <c r="E235" t="s">
        <v>798</v>
      </c>
      <c r="F235" t="s">
        <v>806</v>
      </c>
      <c r="G235">
        <v>0</v>
      </c>
      <c r="I235" t="s">
        <v>924</v>
      </c>
    </row>
    <row r="236" spans="1:9" x14ac:dyDescent="0.25">
      <c r="A236" t="s">
        <v>1037</v>
      </c>
      <c r="B236">
        <v>0.39986500000000003</v>
      </c>
      <c r="C236" t="s">
        <v>1145</v>
      </c>
      <c r="D236" t="s">
        <v>794</v>
      </c>
      <c r="E236" t="s">
        <v>798</v>
      </c>
      <c r="F236" t="s">
        <v>806</v>
      </c>
      <c r="G236">
        <v>0</v>
      </c>
      <c r="I236" t="s">
        <v>1037</v>
      </c>
    </row>
    <row r="237" spans="1:9" x14ac:dyDescent="0.25">
      <c r="A237" t="s">
        <v>1038</v>
      </c>
      <c r="B237">
        <v>0.43380400000000002</v>
      </c>
      <c r="C237" t="s">
        <v>1149</v>
      </c>
      <c r="D237" t="s">
        <v>811</v>
      </c>
      <c r="E237" t="s">
        <v>798</v>
      </c>
      <c r="F237" t="s">
        <v>806</v>
      </c>
      <c r="G237">
        <v>0</v>
      </c>
      <c r="I237" t="s">
        <v>856</v>
      </c>
    </row>
    <row r="238" spans="1:9" x14ac:dyDescent="0.25">
      <c r="A238" t="s">
        <v>1151</v>
      </c>
      <c r="B238">
        <v>69</v>
      </c>
      <c r="C238" t="s">
        <v>1149</v>
      </c>
      <c r="D238" t="s">
        <v>811</v>
      </c>
      <c r="E238" t="s">
        <v>1030</v>
      </c>
      <c r="F238" t="s">
        <v>806</v>
      </c>
      <c r="G238">
        <v>0</v>
      </c>
      <c r="H238" t="s">
        <v>1039</v>
      </c>
      <c r="I238" t="s">
        <v>1151</v>
      </c>
    </row>
    <row r="240" spans="1:9" ht="15.75" x14ac:dyDescent="0.25">
      <c r="A240" s="79" t="s">
        <v>789</v>
      </c>
      <c r="B240" s="79" t="s">
        <v>1155</v>
      </c>
    </row>
    <row r="241" spans="1:9" x14ac:dyDescent="0.25">
      <c r="A241" t="s">
        <v>814</v>
      </c>
      <c r="B241" t="s">
        <v>1028</v>
      </c>
    </row>
    <row r="242" spans="1:9" x14ac:dyDescent="0.25">
      <c r="A242" t="s">
        <v>791</v>
      </c>
      <c r="B242" t="s">
        <v>1041</v>
      </c>
    </row>
    <row r="243" spans="1:9" x14ac:dyDescent="0.25">
      <c r="A243" t="s">
        <v>793</v>
      </c>
      <c r="B243" t="s">
        <v>794</v>
      </c>
    </row>
    <row r="244" spans="1:9" x14ac:dyDescent="0.25">
      <c r="A244" t="s">
        <v>795</v>
      </c>
      <c r="B244" t="s">
        <v>1156</v>
      </c>
    </row>
    <row r="245" spans="1:9" x14ac:dyDescent="0.25">
      <c r="A245" t="s">
        <v>796</v>
      </c>
      <c r="B245" t="s">
        <v>797</v>
      </c>
    </row>
    <row r="246" spans="1:9" x14ac:dyDescent="0.25">
      <c r="A246" t="s">
        <v>110</v>
      </c>
      <c r="B246" t="s">
        <v>798</v>
      </c>
    </row>
    <row r="247" spans="1:9" x14ac:dyDescent="0.25">
      <c r="A247" t="s">
        <v>1148</v>
      </c>
      <c r="B247" t="s">
        <v>1145</v>
      </c>
    </row>
    <row r="248" spans="1:9" ht="15.75" x14ac:dyDescent="0.25">
      <c r="A248" s="79" t="s">
        <v>799</v>
      </c>
    </row>
    <row r="249" spans="1:9" x14ac:dyDescent="0.25">
      <c r="A249" t="s">
        <v>800</v>
      </c>
      <c r="B249" t="s">
        <v>801</v>
      </c>
      <c r="C249" t="s">
        <v>802</v>
      </c>
      <c r="D249" t="s">
        <v>793</v>
      </c>
      <c r="E249" t="s">
        <v>110</v>
      </c>
      <c r="F249" t="s">
        <v>796</v>
      </c>
      <c r="G249" t="s">
        <v>803</v>
      </c>
      <c r="H249" t="s">
        <v>817</v>
      </c>
      <c r="I249" t="s">
        <v>795</v>
      </c>
    </row>
    <row r="250" spans="1:9" x14ac:dyDescent="0.25">
      <c r="A250" t="s">
        <v>1155</v>
      </c>
      <c r="B250">
        <v>1</v>
      </c>
      <c r="C250" t="s">
        <v>1145</v>
      </c>
      <c r="D250" t="s">
        <v>794</v>
      </c>
      <c r="E250" t="s">
        <v>798</v>
      </c>
      <c r="F250" t="s">
        <v>804</v>
      </c>
      <c r="G250">
        <v>0</v>
      </c>
      <c r="I250" t="s">
        <v>1156</v>
      </c>
    </row>
    <row r="251" spans="1:9" x14ac:dyDescent="0.25">
      <c r="A251" t="s">
        <v>1042</v>
      </c>
      <c r="B251">
        <v>0.98</v>
      </c>
      <c r="C251" t="s">
        <v>1145</v>
      </c>
      <c r="D251" t="s">
        <v>1043</v>
      </c>
      <c r="E251" t="s">
        <v>798</v>
      </c>
      <c r="F251" t="s">
        <v>806</v>
      </c>
      <c r="G251">
        <v>0</v>
      </c>
      <c r="I251" t="s">
        <v>1044</v>
      </c>
    </row>
    <row r="252" spans="1:9" x14ac:dyDescent="0.25">
      <c r="A252" t="s">
        <v>873</v>
      </c>
      <c r="B252">
        <v>1</v>
      </c>
      <c r="C252" t="s">
        <v>1149</v>
      </c>
      <c r="D252" t="s">
        <v>811</v>
      </c>
      <c r="E252" t="s">
        <v>798</v>
      </c>
      <c r="F252" t="s">
        <v>806</v>
      </c>
      <c r="G252">
        <v>0</v>
      </c>
      <c r="I252" t="s">
        <v>873</v>
      </c>
    </row>
    <row r="253" spans="1:9" x14ac:dyDescent="0.25">
      <c r="A253" t="s">
        <v>1151</v>
      </c>
      <c r="B253">
        <v>0.85</v>
      </c>
      <c r="C253" t="s">
        <v>1149</v>
      </c>
      <c r="D253" t="s">
        <v>811</v>
      </c>
      <c r="E253" t="s">
        <v>1030</v>
      </c>
      <c r="F253" t="s">
        <v>806</v>
      </c>
      <c r="G253">
        <v>0</v>
      </c>
      <c r="H253" t="s">
        <v>1157</v>
      </c>
      <c r="I253" t="s">
        <v>1151</v>
      </c>
    </row>
    <row r="254" spans="1:9" x14ac:dyDescent="0.25">
      <c r="A254" t="s">
        <v>1151</v>
      </c>
      <c r="B254">
        <v>0.95</v>
      </c>
      <c r="C254" t="s">
        <v>1149</v>
      </c>
      <c r="D254" t="s">
        <v>811</v>
      </c>
      <c r="E254" t="s">
        <v>1030</v>
      </c>
      <c r="F254" t="s">
        <v>806</v>
      </c>
      <c r="G254">
        <v>0</v>
      </c>
      <c r="H254" t="s">
        <v>1045</v>
      </c>
      <c r="I254" t="s">
        <v>1151</v>
      </c>
    </row>
    <row r="255" spans="1:9" x14ac:dyDescent="0.25">
      <c r="A255" t="s">
        <v>1046</v>
      </c>
      <c r="B255">
        <v>1.66E-2</v>
      </c>
      <c r="C255" t="s">
        <v>1149</v>
      </c>
      <c r="D255" t="s">
        <v>811</v>
      </c>
      <c r="E255" t="s">
        <v>847</v>
      </c>
      <c r="F255" t="s">
        <v>806</v>
      </c>
      <c r="G255">
        <v>0</v>
      </c>
      <c r="I255" t="s">
        <v>926</v>
      </c>
    </row>
    <row r="257" spans="1:8" ht="15.75" x14ac:dyDescent="0.25">
      <c r="A257" s="79" t="s">
        <v>789</v>
      </c>
      <c r="B257" s="79" t="s">
        <v>1053</v>
      </c>
    </row>
    <row r="258" spans="1:8" x14ac:dyDescent="0.25">
      <c r="A258" t="s">
        <v>814</v>
      </c>
      <c r="B258" t="s">
        <v>1028</v>
      </c>
    </row>
    <row r="259" spans="1:8" x14ac:dyDescent="0.25">
      <c r="A259" t="s">
        <v>791</v>
      </c>
      <c r="B259" t="s">
        <v>1054</v>
      </c>
    </row>
    <row r="260" spans="1:8" x14ac:dyDescent="0.25">
      <c r="A260" t="s">
        <v>793</v>
      </c>
      <c r="B260" t="s">
        <v>794</v>
      </c>
    </row>
    <row r="261" spans="1:8" x14ac:dyDescent="0.25">
      <c r="A261" t="s">
        <v>795</v>
      </c>
      <c r="B261" t="s">
        <v>1055</v>
      </c>
    </row>
    <row r="262" spans="1:8" x14ac:dyDescent="0.25">
      <c r="A262" t="s">
        <v>796</v>
      </c>
      <c r="B262" t="s">
        <v>797</v>
      </c>
    </row>
    <row r="263" spans="1:8" x14ac:dyDescent="0.25">
      <c r="A263" t="s">
        <v>110</v>
      </c>
      <c r="B263" t="s">
        <v>798</v>
      </c>
    </row>
    <row r="264" spans="1:8" x14ac:dyDescent="0.25">
      <c r="A264" t="s">
        <v>1148</v>
      </c>
      <c r="B264" t="s">
        <v>1145</v>
      </c>
    </row>
    <row r="265" spans="1:8" ht="15.75" x14ac:dyDescent="0.25">
      <c r="A265" s="79" t="s">
        <v>799</v>
      </c>
    </row>
    <row r="266" spans="1:8" x14ac:dyDescent="0.25">
      <c r="A266" t="s">
        <v>800</v>
      </c>
      <c r="B266" t="s">
        <v>801</v>
      </c>
      <c r="C266" t="s">
        <v>802</v>
      </c>
      <c r="D266" t="s">
        <v>793</v>
      </c>
      <c r="E266" t="s">
        <v>110</v>
      </c>
      <c r="F266" t="s">
        <v>796</v>
      </c>
      <c r="G266" t="s">
        <v>803</v>
      </c>
      <c r="H266" t="s">
        <v>795</v>
      </c>
    </row>
    <row r="267" spans="1:8" x14ac:dyDescent="0.25">
      <c r="A267" t="s">
        <v>1053</v>
      </c>
      <c r="B267">
        <v>1</v>
      </c>
      <c r="C267" t="s">
        <v>1145</v>
      </c>
      <c r="D267" t="s">
        <v>794</v>
      </c>
      <c r="E267" t="s">
        <v>798</v>
      </c>
      <c r="F267" t="s">
        <v>804</v>
      </c>
      <c r="G267">
        <v>0</v>
      </c>
      <c r="H267" t="s">
        <v>1055</v>
      </c>
    </row>
    <row r="268" spans="1:8" x14ac:dyDescent="0.25">
      <c r="A268" t="s">
        <v>855</v>
      </c>
      <c r="B268">
        <v>1</v>
      </c>
      <c r="C268" t="s">
        <v>1145</v>
      </c>
      <c r="D268" t="s">
        <v>851</v>
      </c>
      <c r="E268" t="s">
        <v>798</v>
      </c>
      <c r="F268" t="s">
        <v>806</v>
      </c>
      <c r="G268">
        <v>0</v>
      </c>
      <c r="H268" t="s">
        <v>855</v>
      </c>
    </row>
    <row r="269" spans="1:8" x14ac:dyDescent="0.25">
      <c r="A269" t="s">
        <v>1151</v>
      </c>
      <c r="B269">
        <v>1.7</v>
      </c>
      <c r="C269" t="s">
        <v>1149</v>
      </c>
      <c r="D269" t="s">
        <v>811</v>
      </c>
      <c r="E269" t="s">
        <v>1030</v>
      </c>
      <c r="F269" t="s">
        <v>806</v>
      </c>
      <c r="G269">
        <v>0</v>
      </c>
      <c r="H269" t="s">
        <v>1151</v>
      </c>
    </row>
    <row r="271" spans="1:8" ht="15.75" x14ac:dyDescent="0.25">
      <c r="A271" s="79" t="s">
        <v>789</v>
      </c>
      <c r="B271" s="79" t="s">
        <v>1056</v>
      </c>
    </row>
    <row r="272" spans="1:8" x14ac:dyDescent="0.25">
      <c r="A272" t="s">
        <v>814</v>
      </c>
      <c r="B272" t="s">
        <v>1028</v>
      </c>
    </row>
    <row r="273" spans="1:8" x14ac:dyDescent="0.25">
      <c r="A273" t="s">
        <v>791</v>
      </c>
      <c r="B273" t="s">
        <v>1057</v>
      </c>
    </row>
    <row r="274" spans="1:8" x14ac:dyDescent="0.25">
      <c r="A274" t="s">
        <v>793</v>
      </c>
      <c r="B274" t="s">
        <v>794</v>
      </c>
    </row>
    <row r="275" spans="1:8" x14ac:dyDescent="0.25">
      <c r="A275" t="s">
        <v>795</v>
      </c>
      <c r="B275" t="s">
        <v>1058</v>
      </c>
    </row>
    <row r="276" spans="1:8" x14ac:dyDescent="0.25">
      <c r="A276" t="s">
        <v>796</v>
      </c>
      <c r="B276" t="s">
        <v>797</v>
      </c>
    </row>
    <row r="277" spans="1:8" x14ac:dyDescent="0.25">
      <c r="A277" t="s">
        <v>110</v>
      </c>
      <c r="B277" t="s">
        <v>798</v>
      </c>
    </row>
    <row r="278" spans="1:8" x14ac:dyDescent="0.25">
      <c r="A278" t="s">
        <v>1148</v>
      </c>
      <c r="B278" t="s">
        <v>1145</v>
      </c>
    </row>
    <row r="279" spans="1:8" ht="15.75" x14ac:dyDescent="0.25">
      <c r="A279" s="79" t="s">
        <v>799</v>
      </c>
    </row>
    <row r="280" spans="1:8" x14ac:dyDescent="0.25">
      <c r="A280" t="s">
        <v>800</v>
      </c>
      <c r="B280" t="s">
        <v>801</v>
      </c>
      <c r="C280" t="s">
        <v>802</v>
      </c>
      <c r="D280" t="s">
        <v>793</v>
      </c>
      <c r="E280" t="s">
        <v>110</v>
      </c>
      <c r="F280" t="s">
        <v>796</v>
      </c>
      <c r="G280" t="s">
        <v>803</v>
      </c>
      <c r="H280" t="s">
        <v>795</v>
      </c>
    </row>
    <row r="281" spans="1:8" x14ac:dyDescent="0.25">
      <c r="A281" t="s">
        <v>1056</v>
      </c>
      <c r="B281">
        <v>1</v>
      </c>
      <c r="C281" t="s">
        <v>1145</v>
      </c>
      <c r="D281" t="s">
        <v>794</v>
      </c>
      <c r="E281" t="s">
        <v>798</v>
      </c>
      <c r="F281" t="s">
        <v>804</v>
      </c>
      <c r="G281">
        <v>0</v>
      </c>
      <c r="H281" t="s">
        <v>1058</v>
      </c>
    </row>
    <row r="282" spans="1:8" x14ac:dyDescent="0.25">
      <c r="A282" t="s">
        <v>1042</v>
      </c>
      <c r="B282">
        <v>0.99</v>
      </c>
      <c r="C282" t="s">
        <v>1145</v>
      </c>
      <c r="D282" t="s">
        <v>1043</v>
      </c>
      <c r="E282" t="s">
        <v>798</v>
      </c>
      <c r="F282" t="s">
        <v>806</v>
      </c>
      <c r="G282">
        <v>0</v>
      </c>
      <c r="H282" t="s">
        <v>1044</v>
      </c>
    </row>
    <row r="283" spans="1:8" x14ac:dyDescent="0.25">
      <c r="A283" t="s">
        <v>873</v>
      </c>
      <c r="B283">
        <v>1</v>
      </c>
      <c r="C283" t="s">
        <v>1149</v>
      </c>
      <c r="D283" t="s">
        <v>811</v>
      </c>
      <c r="E283" t="s">
        <v>798</v>
      </c>
      <c r="F283" t="s">
        <v>806</v>
      </c>
      <c r="G283">
        <v>0</v>
      </c>
      <c r="H283" t="s">
        <v>873</v>
      </c>
    </row>
    <row r="284" spans="1:8" x14ac:dyDescent="0.25">
      <c r="A284" t="s">
        <v>1151</v>
      </c>
      <c r="B284">
        <v>1.8</v>
      </c>
      <c r="C284" t="s">
        <v>1149</v>
      </c>
      <c r="D284" t="s">
        <v>811</v>
      </c>
      <c r="E284" t="s">
        <v>1030</v>
      </c>
      <c r="F284" t="s">
        <v>806</v>
      </c>
      <c r="G284">
        <v>0</v>
      </c>
      <c r="H284" t="s">
        <v>1151</v>
      </c>
    </row>
    <row r="285" spans="1:8" x14ac:dyDescent="0.25">
      <c r="A285" t="s">
        <v>1059</v>
      </c>
      <c r="B285">
        <v>9.5999999999999992E-3</v>
      </c>
      <c r="C285" t="s">
        <v>1149</v>
      </c>
      <c r="D285" t="s">
        <v>811</v>
      </c>
      <c r="E285" t="s">
        <v>847</v>
      </c>
      <c r="F285" t="s">
        <v>806</v>
      </c>
      <c r="G285">
        <v>0</v>
      </c>
      <c r="H285" t="s">
        <v>925</v>
      </c>
    </row>
    <row r="287" spans="1:8" ht="15.75" x14ac:dyDescent="0.25">
      <c r="A287" s="79" t="s">
        <v>789</v>
      </c>
      <c r="B287" s="79" t="s">
        <v>1060</v>
      </c>
    </row>
    <row r="288" spans="1:8" x14ac:dyDescent="0.25">
      <c r="A288" t="s">
        <v>814</v>
      </c>
      <c r="B288" t="s">
        <v>1028</v>
      </c>
    </row>
    <row r="289" spans="1:8" x14ac:dyDescent="0.25">
      <c r="A289" t="s">
        <v>791</v>
      </c>
      <c r="B289" t="s">
        <v>1061</v>
      </c>
    </row>
    <row r="290" spans="1:8" x14ac:dyDescent="0.25">
      <c r="A290" t="s">
        <v>793</v>
      </c>
      <c r="B290" t="s">
        <v>794</v>
      </c>
    </row>
    <row r="291" spans="1:8" x14ac:dyDescent="0.25">
      <c r="A291" t="s">
        <v>795</v>
      </c>
      <c r="B291" t="s">
        <v>1062</v>
      </c>
    </row>
    <row r="292" spans="1:8" x14ac:dyDescent="0.25">
      <c r="A292" t="s">
        <v>796</v>
      </c>
      <c r="B292" t="s">
        <v>797</v>
      </c>
    </row>
    <row r="293" spans="1:8" x14ac:dyDescent="0.25">
      <c r="A293" t="s">
        <v>110</v>
      </c>
      <c r="B293" t="s">
        <v>798</v>
      </c>
    </row>
    <row r="294" spans="1:8" x14ac:dyDescent="0.25">
      <c r="A294" t="s">
        <v>1148</v>
      </c>
      <c r="B294" t="s">
        <v>1145</v>
      </c>
    </row>
    <row r="295" spans="1:8" ht="15.75" x14ac:dyDescent="0.25">
      <c r="A295" s="79" t="s">
        <v>799</v>
      </c>
    </row>
    <row r="296" spans="1:8" x14ac:dyDescent="0.25">
      <c r="A296" t="s">
        <v>800</v>
      </c>
      <c r="B296" t="s">
        <v>801</v>
      </c>
      <c r="C296" t="s">
        <v>802</v>
      </c>
      <c r="D296" t="s">
        <v>793</v>
      </c>
      <c r="E296" t="s">
        <v>110</v>
      </c>
      <c r="F296" t="s">
        <v>796</v>
      </c>
      <c r="G296" t="s">
        <v>803</v>
      </c>
      <c r="H296" t="s">
        <v>795</v>
      </c>
    </row>
    <row r="297" spans="1:8" x14ac:dyDescent="0.25">
      <c r="A297" t="s">
        <v>1060</v>
      </c>
      <c r="B297">
        <v>1</v>
      </c>
      <c r="C297" t="s">
        <v>1145</v>
      </c>
      <c r="D297" t="s">
        <v>794</v>
      </c>
      <c r="E297" t="s">
        <v>798</v>
      </c>
      <c r="F297" t="s">
        <v>804</v>
      </c>
      <c r="G297">
        <v>0</v>
      </c>
      <c r="H297" t="s">
        <v>1062</v>
      </c>
    </row>
    <row r="298" spans="1:8" x14ac:dyDescent="0.25">
      <c r="A298" t="s">
        <v>1042</v>
      </c>
      <c r="B298">
        <v>1</v>
      </c>
      <c r="C298" t="s">
        <v>1145</v>
      </c>
      <c r="D298" t="s">
        <v>1043</v>
      </c>
      <c r="E298" t="s">
        <v>798</v>
      </c>
      <c r="F298" t="s">
        <v>806</v>
      </c>
      <c r="G298">
        <v>0</v>
      </c>
      <c r="H298" t="s">
        <v>1044</v>
      </c>
    </row>
    <row r="299" spans="1:8" x14ac:dyDescent="0.25">
      <c r="A299" t="s">
        <v>1158</v>
      </c>
      <c r="B299">
        <v>2.2000000000000002</v>
      </c>
      <c r="C299" t="s">
        <v>1149</v>
      </c>
      <c r="D299" t="s">
        <v>824</v>
      </c>
      <c r="E299" t="s">
        <v>1030</v>
      </c>
      <c r="F299" t="s">
        <v>806</v>
      </c>
      <c r="G299">
        <v>0</v>
      </c>
      <c r="H299" t="s">
        <v>1158</v>
      </c>
    </row>
    <row r="301" spans="1:8" ht="15.75" x14ac:dyDescent="0.25">
      <c r="A301" s="79" t="s">
        <v>789</v>
      </c>
      <c r="B301" s="79" t="s">
        <v>1067</v>
      </c>
    </row>
    <row r="302" spans="1:8" x14ac:dyDescent="0.25">
      <c r="A302" t="s">
        <v>814</v>
      </c>
      <c r="B302" t="s">
        <v>1028</v>
      </c>
    </row>
    <row r="303" spans="1:8" x14ac:dyDescent="0.25">
      <c r="A303" t="s">
        <v>791</v>
      </c>
      <c r="B303" t="s">
        <v>1068</v>
      </c>
    </row>
    <row r="304" spans="1:8" x14ac:dyDescent="0.25">
      <c r="A304" t="s">
        <v>793</v>
      </c>
      <c r="B304" t="s">
        <v>794</v>
      </c>
    </row>
    <row r="305" spans="1:9" x14ac:dyDescent="0.25">
      <c r="A305" t="s">
        <v>795</v>
      </c>
      <c r="B305" t="s">
        <v>1069</v>
      </c>
    </row>
    <row r="306" spans="1:9" x14ac:dyDescent="0.25">
      <c r="A306" t="s">
        <v>796</v>
      </c>
      <c r="B306" t="s">
        <v>797</v>
      </c>
    </row>
    <row r="307" spans="1:9" x14ac:dyDescent="0.25">
      <c r="A307" t="s">
        <v>110</v>
      </c>
      <c r="B307" t="s">
        <v>798</v>
      </c>
    </row>
    <row r="308" spans="1:9" x14ac:dyDescent="0.25">
      <c r="A308" t="s">
        <v>1148</v>
      </c>
      <c r="B308" t="s">
        <v>1145</v>
      </c>
    </row>
    <row r="309" spans="1:9" ht="15.75" x14ac:dyDescent="0.25">
      <c r="A309" s="79" t="s">
        <v>799</v>
      </c>
    </row>
    <row r="310" spans="1:9" x14ac:dyDescent="0.25">
      <c r="A310" t="s">
        <v>800</v>
      </c>
      <c r="B310" t="s">
        <v>801</v>
      </c>
      <c r="C310" t="s">
        <v>802</v>
      </c>
      <c r="D310" t="s">
        <v>793</v>
      </c>
      <c r="E310" t="s">
        <v>110</v>
      </c>
      <c r="F310" t="s">
        <v>796</v>
      </c>
      <c r="G310" t="s">
        <v>803</v>
      </c>
      <c r="H310" t="s">
        <v>817</v>
      </c>
      <c r="I310" t="s">
        <v>795</v>
      </c>
    </row>
    <row r="311" spans="1:9" x14ac:dyDescent="0.25">
      <c r="A311" t="s">
        <v>1067</v>
      </c>
      <c r="B311">
        <v>1</v>
      </c>
      <c r="C311" t="s">
        <v>1145</v>
      </c>
      <c r="D311" t="s">
        <v>794</v>
      </c>
      <c r="E311" t="s">
        <v>798</v>
      </c>
      <c r="F311" t="s">
        <v>804</v>
      </c>
      <c r="G311">
        <v>0</v>
      </c>
      <c r="I311" t="s">
        <v>1069</v>
      </c>
    </row>
    <row r="312" spans="1:9" x14ac:dyDescent="0.25">
      <c r="A312" t="s">
        <v>1070</v>
      </c>
      <c r="B312">
        <v>0.460456942003515</v>
      </c>
      <c r="C312" t="s">
        <v>1145</v>
      </c>
      <c r="D312" t="s">
        <v>1043</v>
      </c>
      <c r="E312" t="s">
        <v>798</v>
      </c>
      <c r="F312" t="s">
        <v>806</v>
      </c>
      <c r="G312">
        <v>0</v>
      </c>
      <c r="I312" t="s">
        <v>1071</v>
      </c>
    </row>
    <row r="313" spans="1:9" x14ac:dyDescent="0.25">
      <c r="A313" t="s">
        <v>855</v>
      </c>
      <c r="B313">
        <v>0.53954305799648505</v>
      </c>
      <c r="C313" t="s">
        <v>1145</v>
      </c>
      <c r="D313" t="s">
        <v>933</v>
      </c>
      <c r="E313" t="s">
        <v>798</v>
      </c>
      <c r="F313" t="s">
        <v>806</v>
      </c>
      <c r="G313">
        <v>0</v>
      </c>
      <c r="I313" t="s">
        <v>855</v>
      </c>
    </row>
    <row r="314" spans="1:9" x14ac:dyDescent="0.25">
      <c r="A314" t="s">
        <v>1158</v>
      </c>
      <c r="B314">
        <v>0.80931458699472802</v>
      </c>
      <c r="C314" t="s">
        <v>1149</v>
      </c>
      <c r="D314" t="s">
        <v>824</v>
      </c>
      <c r="E314" t="s">
        <v>1030</v>
      </c>
      <c r="F314" t="s">
        <v>806</v>
      </c>
      <c r="G314">
        <v>0</v>
      </c>
      <c r="H314" t="s">
        <v>1072</v>
      </c>
      <c r="I314" t="s">
        <v>1158</v>
      </c>
    </row>
    <row r="315" spans="1:9" x14ac:dyDescent="0.25">
      <c r="A315" t="s">
        <v>1158</v>
      </c>
      <c r="B315">
        <v>1.0130052724077301</v>
      </c>
      <c r="C315" t="s">
        <v>1149</v>
      </c>
      <c r="D315" t="s">
        <v>824</v>
      </c>
      <c r="E315" t="s">
        <v>1030</v>
      </c>
      <c r="F315" t="s">
        <v>806</v>
      </c>
      <c r="G315">
        <v>0</v>
      </c>
      <c r="H315" t="s">
        <v>1073</v>
      </c>
      <c r="I315" t="s">
        <v>1158</v>
      </c>
    </row>
    <row r="317" spans="1:9" ht="15.75" x14ac:dyDescent="0.25">
      <c r="A317" s="79" t="s">
        <v>789</v>
      </c>
      <c r="B317" s="79" t="s">
        <v>874</v>
      </c>
    </row>
    <row r="318" spans="1:9" x14ac:dyDescent="0.25">
      <c r="A318" t="s">
        <v>814</v>
      </c>
      <c r="B318" t="s">
        <v>1028</v>
      </c>
    </row>
    <row r="319" spans="1:9" x14ac:dyDescent="0.25">
      <c r="A319" t="s">
        <v>791</v>
      </c>
      <c r="B319" t="s">
        <v>1074</v>
      </c>
    </row>
    <row r="320" spans="1:9" x14ac:dyDescent="0.25">
      <c r="A320" t="s">
        <v>793</v>
      </c>
      <c r="B320" t="s">
        <v>933</v>
      </c>
    </row>
    <row r="321" spans="1:8" x14ac:dyDescent="0.25">
      <c r="A321" t="s">
        <v>795</v>
      </c>
      <c r="B321" t="s">
        <v>875</v>
      </c>
    </row>
    <row r="322" spans="1:8" x14ac:dyDescent="0.25">
      <c r="A322" t="s">
        <v>796</v>
      </c>
      <c r="B322" t="s">
        <v>797</v>
      </c>
    </row>
    <row r="323" spans="1:8" x14ac:dyDescent="0.25">
      <c r="A323" t="s">
        <v>110</v>
      </c>
      <c r="B323" t="s">
        <v>798</v>
      </c>
    </row>
    <row r="324" spans="1:8" x14ac:dyDescent="0.25">
      <c r="A324" t="s">
        <v>1148</v>
      </c>
      <c r="B324" t="s">
        <v>1145</v>
      </c>
    </row>
    <row r="325" spans="1:8" ht="15.75" x14ac:dyDescent="0.25">
      <c r="A325" s="79" t="s">
        <v>799</v>
      </c>
    </row>
    <row r="326" spans="1:8" x14ac:dyDescent="0.25">
      <c r="A326" t="s">
        <v>800</v>
      </c>
      <c r="B326" t="s">
        <v>801</v>
      </c>
      <c r="C326" t="s">
        <v>802</v>
      </c>
      <c r="D326" t="s">
        <v>793</v>
      </c>
      <c r="E326" t="s">
        <v>110</v>
      </c>
      <c r="F326" t="s">
        <v>796</v>
      </c>
      <c r="G326" t="s">
        <v>803</v>
      </c>
      <c r="H326" t="s">
        <v>795</v>
      </c>
    </row>
    <row r="327" spans="1:8" x14ac:dyDescent="0.25">
      <c r="A327" t="s">
        <v>874</v>
      </c>
      <c r="B327">
        <v>1</v>
      </c>
      <c r="C327" t="s">
        <v>1145</v>
      </c>
      <c r="D327" t="s">
        <v>933</v>
      </c>
      <c r="E327" t="s">
        <v>798</v>
      </c>
      <c r="F327" t="s">
        <v>804</v>
      </c>
      <c r="G327">
        <v>0</v>
      </c>
      <c r="H327" t="s">
        <v>875</v>
      </c>
    </row>
    <row r="328" spans="1:8" x14ac:dyDescent="0.25">
      <c r="A328" t="s">
        <v>1075</v>
      </c>
      <c r="B328">
        <v>0.33333332999999998</v>
      </c>
      <c r="C328" t="s">
        <v>1145</v>
      </c>
      <c r="D328" t="s">
        <v>933</v>
      </c>
      <c r="E328" t="s">
        <v>798</v>
      </c>
      <c r="F328" t="s">
        <v>806</v>
      </c>
      <c r="G328">
        <v>0</v>
      </c>
      <c r="H328" t="s">
        <v>875</v>
      </c>
    </row>
    <row r="329" spans="1:8" x14ac:dyDescent="0.25">
      <c r="A329" t="s">
        <v>1076</v>
      </c>
      <c r="B329">
        <v>0.6666666</v>
      </c>
      <c r="C329" t="s">
        <v>1145</v>
      </c>
      <c r="D329" t="s">
        <v>933</v>
      </c>
      <c r="E329" t="s">
        <v>798</v>
      </c>
      <c r="F329" t="s">
        <v>806</v>
      </c>
      <c r="G329">
        <v>0</v>
      </c>
      <c r="H329" t="s">
        <v>875</v>
      </c>
    </row>
    <row r="331" spans="1:8" ht="15.75" x14ac:dyDescent="0.25">
      <c r="A331" s="79" t="s">
        <v>789</v>
      </c>
      <c r="B331" s="79" t="s">
        <v>874</v>
      </c>
    </row>
    <row r="332" spans="1:8" x14ac:dyDescent="0.25">
      <c r="A332" t="s">
        <v>814</v>
      </c>
      <c r="B332" t="s">
        <v>1028</v>
      </c>
    </row>
    <row r="333" spans="1:8" x14ac:dyDescent="0.25">
      <c r="A333" t="s">
        <v>791</v>
      </c>
      <c r="B333" t="s">
        <v>1077</v>
      </c>
    </row>
    <row r="334" spans="1:8" x14ac:dyDescent="0.25">
      <c r="A334" t="s">
        <v>793</v>
      </c>
      <c r="B334" t="s">
        <v>851</v>
      </c>
    </row>
    <row r="335" spans="1:8" x14ac:dyDescent="0.25">
      <c r="A335" t="s">
        <v>795</v>
      </c>
      <c r="B335" t="s">
        <v>875</v>
      </c>
    </row>
    <row r="336" spans="1:8" x14ac:dyDescent="0.25">
      <c r="A336" t="s">
        <v>796</v>
      </c>
      <c r="B336" t="s">
        <v>797</v>
      </c>
    </row>
    <row r="337" spans="1:8" x14ac:dyDescent="0.25">
      <c r="A337" t="s">
        <v>110</v>
      </c>
      <c r="B337" t="s">
        <v>798</v>
      </c>
    </row>
    <row r="338" spans="1:8" x14ac:dyDescent="0.25">
      <c r="A338" t="s">
        <v>1148</v>
      </c>
      <c r="B338" t="s">
        <v>1145</v>
      </c>
    </row>
    <row r="339" spans="1:8" ht="15.75" x14ac:dyDescent="0.25">
      <c r="A339" s="79" t="s">
        <v>799</v>
      </c>
    </row>
    <row r="340" spans="1:8" x14ac:dyDescent="0.25">
      <c r="A340" t="s">
        <v>800</v>
      </c>
      <c r="B340" t="s">
        <v>801</v>
      </c>
      <c r="C340" t="s">
        <v>802</v>
      </c>
      <c r="D340" t="s">
        <v>793</v>
      </c>
      <c r="E340" t="s">
        <v>110</v>
      </c>
      <c r="F340" t="s">
        <v>796</v>
      </c>
      <c r="G340" t="s">
        <v>803</v>
      </c>
      <c r="H340" t="s">
        <v>795</v>
      </c>
    </row>
    <row r="341" spans="1:8" x14ac:dyDescent="0.25">
      <c r="A341" t="s">
        <v>874</v>
      </c>
      <c r="B341">
        <v>1</v>
      </c>
      <c r="C341" t="s">
        <v>1145</v>
      </c>
      <c r="D341" t="s">
        <v>851</v>
      </c>
      <c r="E341" t="s">
        <v>798</v>
      </c>
      <c r="F341" t="s">
        <v>804</v>
      </c>
      <c r="G341">
        <v>0</v>
      </c>
      <c r="H341" t="s">
        <v>875</v>
      </c>
    </row>
    <row r="342" spans="1:8" x14ac:dyDescent="0.25">
      <c r="A342" t="s">
        <v>1078</v>
      </c>
      <c r="B342">
        <v>0.32</v>
      </c>
      <c r="C342" t="s">
        <v>1145</v>
      </c>
      <c r="D342" t="s">
        <v>851</v>
      </c>
      <c r="E342" t="s">
        <v>798</v>
      </c>
      <c r="F342" t="s">
        <v>806</v>
      </c>
      <c r="G342">
        <v>0</v>
      </c>
      <c r="H342" t="s">
        <v>875</v>
      </c>
    </row>
    <row r="343" spans="1:8" x14ac:dyDescent="0.25">
      <c r="A343" t="s">
        <v>1075</v>
      </c>
      <c r="B343">
        <v>0.68</v>
      </c>
      <c r="C343" t="s">
        <v>1145</v>
      </c>
      <c r="D343" t="s">
        <v>851</v>
      </c>
      <c r="E343" t="s">
        <v>798</v>
      </c>
      <c r="F343" t="s">
        <v>806</v>
      </c>
      <c r="G343">
        <v>0</v>
      </c>
      <c r="H343" t="s">
        <v>875</v>
      </c>
    </row>
    <row r="345" spans="1:8" ht="15.75" x14ac:dyDescent="0.25">
      <c r="A345" s="79" t="s">
        <v>789</v>
      </c>
      <c r="B345" s="79" t="s">
        <v>1042</v>
      </c>
    </row>
    <row r="346" spans="1:8" x14ac:dyDescent="0.25">
      <c r="A346" t="s">
        <v>814</v>
      </c>
      <c r="B346" t="s">
        <v>1028</v>
      </c>
    </row>
    <row r="347" spans="1:8" x14ac:dyDescent="0.25">
      <c r="A347" t="s">
        <v>791</v>
      </c>
      <c r="B347" t="s">
        <v>1079</v>
      </c>
    </row>
    <row r="348" spans="1:8" x14ac:dyDescent="0.25">
      <c r="A348" t="s">
        <v>793</v>
      </c>
      <c r="B348" t="s">
        <v>1043</v>
      </c>
    </row>
    <row r="349" spans="1:8" x14ac:dyDescent="0.25">
      <c r="A349" t="s">
        <v>795</v>
      </c>
      <c r="B349" t="s">
        <v>1044</v>
      </c>
    </row>
    <row r="350" spans="1:8" x14ac:dyDescent="0.25">
      <c r="A350" t="s">
        <v>796</v>
      </c>
      <c r="B350" t="s">
        <v>797</v>
      </c>
    </row>
    <row r="351" spans="1:8" x14ac:dyDescent="0.25">
      <c r="A351" t="s">
        <v>110</v>
      </c>
      <c r="B351" t="s">
        <v>798</v>
      </c>
    </row>
    <row r="352" spans="1:8" x14ac:dyDescent="0.25">
      <c r="A352" t="s">
        <v>1148</v>
      </c>
      <c r="B352" t="s">
        <v>1145</v>
      </c>
    </row>
    <row r="353" spans="1:8" ht="15.75" x14ac:dyDescent="0.25">
      <c r="A353" s="79" t="s">
        <v>799</v>
      </c>
    </row>
    <row r="354" spans="1:8" x14ac:dyDescent="0.25">
      <c r="A354" t="s">
        <v>800</v>
      </c>
      <c r="B354" t="s">
        <v>801</v>
      </c>
      <c r="C354" t="s">
        <v>802</v>
      </c>
      <c r="D354" t="s">
        <v>793</v>
      </c>
      <c r="E354" t="s">
        <v>110</v>
      </c>
      <c r="F354" t="s">
        <v>796</v>
      </c>
      <c r="G354" t="s">
        <v>803</v>
      </c>
      <c r="H354" t="s">
        <v>795</v>
      </c>
    </row>
    <row r="355" spans="1:8" x14ac:dyDescent="0.25">
      <c r="A355" t="s">
        <v>1042</v>
      </c>
      <c r="B355">
        <v>1</v>
      </c>
      <c r="C355" t="s">
        <v>1145</v>
      </c>
      <c r="D355" t="s">
        <v>1043</v>
      </c>
      <c r="E355" t="s">
        <v>798</v>
      </c>
      <c r="F355" t="s">
        <v>804</v>
      </c>
      <c r="G355">
        <v>0</v>
      </c>
      <c r="H355" t="s">
        <v>1044</v>
      </c>
    </row>
    <row r="356" spans="1:8" x14ac:dyDescent="0.25">
      <c r="A356" t="s">
        <v>909</v>
      </c>
      <c r="B356">
        <v>1</v>
      </c>
      <c r="C356" t="s">
        <v>1149</v>
      </c>
      <c r="D356" t="s">
        <v>811</v>
      </c>
      <c r="E356" t="s">
        <v>798</v>
      </c>
      <c r="F356" t="s">
        <v>806</v>
      </c>
      <c r="G356">
        <v>0</v>
      </c>
      <c r="H356" t="s">
        <v>909</v>
      </c>
    </row>
    <row r="357" spans="1:8" x14ac:dyDescent="0.25">
      <c r="A357" t="s">
        <v>1078</v>
      </c>
      <c r="B357">
        <v>1</v>
      </c>
      <c r="C357" t="s">
        <v>1145</v>
      </c>
      <c r="D357" t="s">
        <v>1043</v>
      </c>
      <c r="E357" t="s">
        <v>798</v>
      </c>
      <c r="F357" t="s">
        <v>806</v>
      </c>
      <c r="G357">
        <v>0</v>
      </c>
      <c r="H357" t="s">
        <v>875</v>
      </c>
    </row>
    <row r="359" spans="1:8" ht="15.75" x14ac:dyDescent="0.25">
      <c r="A359" s="79" t="s">
        <v>789</v>
      </c>
      <c r="B359" s="79" t="s">
        <v>1070</v>
      </c>
    </row>
    <row r="360" spans="1:8" x14ac:dyDescent="0.25">
      <c r="A360" t="s">
        <v>814</v>
      </c>
      <c r="B360" t="s">
        <v>1028</v>
      </c>
    </row>
    <row r="361" spans="1:8" x14ac:dyDescent="0.25">
      <c r="A361" t="s">
        <v>791</v>
      </c>
      <c r="B361" t="s">
        <v>1080</v>
      </c>
    </row>
    <row r="362" spans="1:8" x14ac:dyDescent="0.25">
      <c r="A362" t="s">
        <v>793</v>
      </c>
      <c r="B362" t="s">
        <v>1043</v>
      </c>
    </row>
    <row r="363" spans="1:8" x14ac:dyDescent="0.25">
      <c r="A363" t="s">
        <v>795</v>
      </c>
      <c r="B363" t="s">
        <v>1071</v>
      </c>
    </row>
    <row r="364" spans="1:8" x14ac:dyDescent="0.25">
      <c r="A364" t="s">
        <v>796</v>
      </c>
      <c r="B364" t="s">
        <v>797</v>
      </c>
    </row>
    <row r="365" spans="1:8" x14ac:dyDescent="0.25">
      <c r="A365" t="s">
        <v>110</v>
      </c>
      <c r="B365" t="s">
        <v>798</v>
      </c>
    </row>
    <row r="366" spans="1:8" x14ac:dyDescent="0.25">
      <c r="A366" t="s">
        <v>1148</v>
      </c>
      <c r="B366" t="s">
        <v>1145</v>
      </c>
    </row>
    <row r="367" spans="1:8" ht="15.75" x14ac:dyDescent="0.25">
      <c r="A367" s="79" t="s">
        <v>799</v>
      </c>
    </row>
    <row r="368" spans="1:8" x14ac:dyDescent="0.25">
      <c r="A368" t="s">
        <v>800</v>
      </c>
      <c r="B368" t="s">
        <v>801</v>
      </c>
      <c r="C368" t="s">
        <v>802</v>
      </c>
      <c r="D368" t="s">
        <v>793</v>
      </c>
      <c r="E368" t="s">
        <v>110</v>
      </c>
      <c r="F368" t="s">
        <v>796</v>
      </c>
      <c r="G368" t="s">
        <v>803</v>
      </c>
      <c r="H368" t="s">
        <v>795</v>
      </c>
    </row>
    <row r="369" spans="1:8" x14ac:dyDescent="0.25">
      <c r="A369" t="s">
        <v>1070</v>
      </c>
      <c r="B369">
        <v>1</v>
      </c>
      <c r="C369" t="s">
        <v>1145</v>
      </c>
      <c r="D369" t="s">
        <v>1043</v>
      </c>
      <c r="E369" t="s">
        <v>798</v>
      </c>
      <c r="F369" t="s">
        <v>804</v>
      </c>
      <c r="G369">
        <v>0</v>
      </c>
      <c r="H369" t="s">
        <v>1071</v>
      </c>
    </row>
    <row r="370" spans="1:8" x14ac:dyDescent="0.25">
      <c r="A370" t="s">
        <v>909</v>
      </c>
      <c r="B370">
        <v>1</v>
      </c>
      <c r="C370" t="s">
        <v>1149</v>
      </c>
      <c r="D370" t="s">
        <v>811</v>
      </c>
      <c r="E370" t="s">
        <v>798</v>
      </c>
      <c r="F370" t="s">
        <v>806</v>
      </c>
      <c r="G370">
        <v>0</v>
      </c>
      <c r="H370" t="s">
        <v>909</v>
      </c>
    </row>
    <row r="371" spans="1:8" x14ac:dyDescent="0.25">
      <c r="A371" t="s">
        <v>1075</v>
      </c>
      <c r="B371">
        <v>1</v>
      </c>
      <c r="C371" t="s">
        <v>1145</v>
      </c>
      <c r="D371" t="s">
        <v>1043</v>
      </c>
      <c r="E371" t="s">
        <v>798</v>
      </c>
      <c r="F371" t="s">
        <v>806</v>
      </c>
      <c r="G371">
        <v>0</v>
      </c>
      <c r="H371" t="s">
        <v>875</v>
      </c>
    </row>
    <row r="373" spans="1:8" ht="15.75" x14ac:dyDescent="0.25">
      <c r="A373" s="79" t="s">
        <v>789</v>
      </c>
      <c r="B373" s="79" t="s">
        <v>1081</v>
      </c>
    </row>
    <row r="374" spans="1:8" x14ac:dyDescent="0.25">
      <c r="A374" t="s">
        <v>814</v>
      </c>
      <c r="B374" t="s">
        <v>1028</v>
      </c>
    </row>
    <row r="375" spans="1:8" x14ac:dyDescent="0.25">
      <c r="A375" t="s">
        <v>791</v>
      </c>
      <c r="B375" t="s">
        <v>1082</v>
      </c>
    </row>
    <row r="376" spans="1:8" x14ac:dyDescent="0.25">
      <c r="A376" t="s">
        <v>793</v>
      </c>
      <c r="B376" t="s">
        <v>794</v>
      </c>
    </row>
    <row r="377" spans="1:8" x14ac:dyDescent="0.25">
      <c r="A377" t="s">
        <v>795</v>
      </c>
      <c r="B377" t="s">
        <v>1083</v>
      </c>
    </row>
    <row r="378" spans="1:8" x14ac:dyDescent="0.25">
      <c r="A378" t="s">
        <v>796</v>
      </c>
      <c r="B378" t="s">
        <v>797</v>
      </c>
    </row>
    <row r="379" spans="1:8" x14ac:dyDescent="0.25">
      <c r="A379" t="s">
        <v>110</v>
      </c>
      <c r="B379" t="s">
        <v>798</v>
      </c>
    </row>
    <row r="380" spans="1:8" x14ac:dyDescent="0.25">
      <c r="A380" t="s">
        <v>1148</v>
      </c>
      <c r="B380" t="s">
        <v>1145</v>
      </c>
    </row>
    <row r="381" spans="1:8" ht="15.75" x14ac:dyDescent="0.25">
      <c r="A381" s="79" t="s">
        <v>799</v>
      </c>
    </row>
    <row r="382" spans="1:8" x14ac:dyDescent="0.25">
      <c r="A382" t="s">
        <v>800</v>
      </c>
      <c r="B382" t="s">
        <v>801</v>
      </c>
      <c r="C382" t="s">
        <v>802</v>
      </c>
      <c r="D382" t="s">
        <v>793</v>
      </c>
      <c r="E382" t="s">
        <v>110</v>
      </c>
      <c r="F382" t="s">
        <v>796</v>
      </c>
      <c r="G382" t="s">
        <v>803</v>
      </c>
      <c r="H382" t="s">
        <v>795</v>
      </c>
    </row>
    <row r="383" spans="1:8" x14ac:dyDescent="0.25">
      <c r="A383" t="s">
        <v>1081</v>
      </c>
      <c r="B383">
        <v>1</v>
      </c>
      <c r="C383" t="s">
        <v>1145</v>
      </c>
      <c r="D383" t="s">
        <v>794</v>
      </c>
      <c r="E383" t="s">
        <v>798</v>
      </c>
      <c r="F383" t="s">
        <v>804</v>
      </c>
      <c r="G383">
        <v>0</v>
      </c>
      <c r="H383" t="s">
        <v>1083</v>
      </c>
    </row>
    <row r="384" spans="1:8" x14ac:dyDescent="0.25">
      <c r="A384" t="s">
        <v>901</v>
      </c>
      <c r="B384">
        <v>1</v>
      </c>
      <c r="C384" t="s">
        <v>1145</v>
      </c>
      <c r="D384" t="s">
        <v>794</v>
      </c>
      <c r="E384" t="s">
        <v>798</v>
      </c>
      <c r="F384" t="s">
        <v>806</v>
      </c>
      <c r="G384">
        <v>0</v>
      </c>
      <c r="H384" t="s">
        <v>902</v>
      </c>
    </row>
    <row r="385" spans="1:9" x14ac:dyDescent="0.25">
      <c r="A385" t="s">
        <v>906</v>
      </c>
      <c r="B385">
        <v>1</v>
      </c>
      <c r="C385" t="s">
        <v>1145</v>
      </c>
      <c r="D385" t="s">
        <v>794</v>
      </c>
      <c r="E385" t="s">
        <v>798</v>
      </c>
      <c r="F385" t="s">
        <v>806</v>
      </c>
      <c r="G385">
        <v>0</v>
      </c>
      <c r="H385" t="s">
        <v>873</v>
      </c>
    </row>
    <row r="387" spans="1:9" ht="15.75" x14ac:dyDescent="0.25">
      <c r="A387" s="79" t="s">
        <v>789</v>
      </c>
      <c r="B387" s="79" t="s">
        <v>1087</v>
      </c>
    </row>
    <row r="388" spans="1:9" x14ac:dyDescent="0.25">
      <c r="A388" t="s">
        <v>814</v>
      </c>
      <c r="B388" t="s">
        <v>1028</v>
      </c>
    </row>
    <row r="389" spans="1:9" x14ac:dyDescent="0.25">
      <c r="A389" t="s">
        <v>791</v>
      </c>
      <c r="B389" t="s">
        <v>1088</v>
      </c>
    </row>
    <row r="390" spans="1:9" x14ac:dyDescent="0.25">
      <c r="A390" t="s">
        <v>793</v>
      </c>
      <c r="B390" t="s">
        <v>794</v>
      </c>
    </row>
    <row r="391" spans="1:9" x14ac:dyDescent="0.25">
      <c r="A391" t="s">
        <v>795</v>
      </c>
      <c r="B391" t="s">
        <v>1089</v>
      </c>
    </row>
    <row r="392" spans="1:9" x14ac:dyDescent="0.25">
      <c r="A392" t="s">
        <v>796</v>
      </c>
      <c r="B392" t="s">
        <v>797</v>
      </c>
    </row>
    <row r="393" spans="1:9" x14ac:dyDescent="0.25">
      <c r="A393" t="s">
        <v>110</v>
      </c>
      <c r="B393" t="s">
        <v>110</v>
      </c>
    </row>
    <row r="394" spans="1:9" x14ac:dyDescent="0.25">
      <c r="A394" t="s">
        <v>1148</v>
      </c>
      <c r="B394" t="s">
        <v>1145</v>
      </c>
    </row>
    <row r="395" spans="1:9" ht="15.75" x14ac:dyDescent="0.25">
      <c r="A395" s="79" t="s">
        <v>799</v>
      </c>
    </row>
    <row r="396" spans="1:9" x14ac:dyDescent="0.25">
      <c r="A396" t="s">
        <v>800</v>
      </c>
      <c r="B396" t="s">
        <v>801</v>
      </c>
      <c r="C396" t="s">
        <v>802</v>
      </c>
      <c r="D396" t="s">
        <v>793</v>
      </c>
      <c r="E396" t="s">
        <v>110</v>
      </c>
      <c r="F396" t="s">
        <v>796</v>
      </c>
      <c r="G396" t="s">
        <v>803</v>
      </c>
      <c r="H396" t="s">
        <v>817</v>
      </c>
      <c r="I396" t="s">
        <v>795</v>
      </c>
    </row>
    <row r="397" spans="1:9" x14ac:dyDescent="0.25">
      <c r="A397" t="s">
        <v>1087</v>
      </c>
      <c r="B397">
        <v>1</v>
      </c>
      <c r="C397" t="s">
        <v>1145</v>
      </c>
      <c r="D397" t="s">
        <v>794</v>
      </c>
      <c r="E397" t="s">
        <v>110</v>
      </c>
      <c r="F397" t="s">
        <v>804</v>
      </c>
      <c r="G397">
        <v>0</v>
      </c>
      <c r="I397" t="s">
        <v>1089</v>
      </c>
    </row>
    <row r="398" spans="1:9" x14ac:dyDescent="0.25">
      <c r="A398" t="s">
        <v>961</v>
      </c>
      <c r="B398">
        <v>1500</v>
      </c>
      <c r="C398" t="s">
        <v>1145</v>
      </c>
      <c r="D398" t="s">
        <v>890</v>
      </c>
      <c r="E398" t="s">
        <v>798</v>
      </c>
      <c r="F398" t="s">
        <v>806</v>
      </c>
      <c r="G398">
        <v>0</v>
      </c>
      <c r="I398" t="s">
        <v>963</v>
      </c>
    </row>
    <row r="399" spans="1:9" x14ac:dyDescent="0.25">
      <c r="A399" t="s">
        <v>1063</v>
      </c>
      <c r="B399">
        <v>500</v>
      </c>
      <c r="C399" t="s">
        <v>1145</v>
      </c>
      <c r="D399" t="s">
        <v>794</v>
      </c>
      <c r="E399" t="s">
        <v>798</v>
      </c>
      <c r="F399" t="s">
        <v>806</v>
      </c>
      <c r="G399">
        <v>0</v>
      </c>
      <c r="I399" t="s">
        <v>1065</v>
      </c>
    </row>
    <row r="400" spans="1:9" x14ac:dyDescent="0.25">
      <c r="A400" t="s">
        <v>1151</v>
      </c>
      <c r="B400">
        <v>2550</v>
      </c>
      <c r="C400" t="s">
        <v>1149</v>
      </c>
      <c r="D400" t="s">
        <v>811</v>
      </c>
      <c r="E400" t="s">
        <v>1030</v>
      </c>
      <c r="F400" t="s">
        <v>806</v>
      </c>
      <c r="G400">
        <v>0</v>
      </c>
      <c r="H400" t="s">
        <v>1090</v>
      </c>
      <c r="I400" t="s">
        <v>1151</v>
      </c>
    </row>
    <row r="402" spans="1:8" ht="15.75" x14ac:dyDescent="0.25">
      <c r="A402" s="79" t="s">
        <v>789</v>
      </c>
      <c r="B402" s="79" t="s">
        <v>1037</v>
      </c>
    </row>
    <row r="403" spans="1:8" x14ac:dyDescent="0.25">
      <c r="A403" t="s">
        <v>814</v>
      </c>
      <c r="B403" t="s">
        <v>815</v>
      </c>
    </row>
    <row r="404" spans="1:8" x14ac:dyDescent="0.25">
      <c r="A404" t="s">
        <v>791</v>
      </c>
      <c r="B404" t="s">
        <v>1117</v>
      </c>
    </row>
    <row r="405" spans="1:8" x14ac:dyDescent="0.25">
      <c r="A405" t="s">
        <v>793</v>
      </c>
      <c r="B405" t="s">
        <v>794</v>
      </c>
    </row>
    <row r="406" spans="1:8" x14ac:dyDescent="0.25">
      <c r="A406" t="s">
        <v>795</v>
      </c>
      <c r="B406" t="s">
        <v>1037</v>
      </c>
    </row>
    <row r="407" spans="1:8" x14ac:dyDescent="0.25">
      <c r="A407" t="s">
        <v>796</v>
      </c>
      <c r="B407" t="s">
        <v>797</v>
      </c>
    </row>
    <row r="408" spans="1:8" x14ac:dyDescent="0.25">
      <c r="A408" t="s">
        <v>110</v>
      </c>
      <c r="B408" t="s">
        <v>798</v>
      </c>
    </row>
    <row r="409" spans="1:8" x14ac:dyDescent="0.25">
      <c r="A409" t="s">
        <v>1148</v>
      </c>
      <c r="B409" t="s">
        <v>1145</v>
      </c>
    </row>
    <row r="410" spans="1:8" ht="15.75" x14ac:dyDescent="0.25">
      <c r="A410" s="79" t="s">
        <v>799</v>
      </c>
    </row>
    <row r="411" spans="1:8" x14ac:dyDescent="0.25">
      <c r="A411" t="s">
        <v>800</v>
      </c>
      <c r="B411" t="s">
        <v>801</v>
      </c>
      <c r="C411" t="s">
        <v>802</v>
      </c>
      <c r="D411" t="s">
        <v>793</v>
      </c>
      <c r="E411" t="s">
        <v>110</v>
      </c>
      <c r="F411" t="s">
        <v>796</v>
      </c>
      <c r="G411" t="s">
        <v>803</v>
      </c>
      <c r="H411" t="s">
        <v>795</v>
      </c>
    </row>
    <row r="412" spans="1:8" x14ac:dyDescent="0.25">
      <c r="A412" t="s">
        <v>1037</v>
      </c>
      <c r="B412">
        <v>1</v>
      </c>
      <c r="C412" t="s">
        <v>1145</v>
      </c>
      <c r="D412" t="s">
        <v>794</v>
      </c>
      <c r="E412" t="s">
        <v>798</v>
      </c>
      <c r="F412" t="s">
        <v>804</v>
      </c>
      <c r="G412">
        <v>0</v>
      </c>
      <c r="H412" t="s">
        <v>1037</v>
      </c>
    </row>
    <row r="413" spans="1:8" x14ac:dyDescent="0.25">
      <c r="A413" t="s">
        <v>1118</v>
      </c>
      <c r="B413">
        <v>0.99099999999999999</v>
      </c>
      <c r="C413" t="s">
        <v>1149</v>
      </c>
      <c r="D413" t="s">
        <v>811</v>
      </c>
      <c r="E413" t="s">
        <v>798</v>
      </c>
      <c r="F413" t="s">
        <v>806</v>
      </c>
      <c r="G413">
        <v>0</v>
      </c>
      <c r="H413" t="s">
        <v>1118</v>
      </c>
    </row>
    <row r="414" spans="1:8" x14ac:dyDescent="0.25">
      <c r="A414" t="s">
        <v>1067</v>
      </c>
      <c r="B414">
        <v>0.99099999999999999</v>
      </c>
      <c r="C414" t="s">
        <v>1145</v>
      </c>
      <c r="D414" t="s">
        <v>794</v>
      </c>
      <c r="E414" t="s">
        <v>798</v>
      </c>
      <c r="F414" t="s">
        <v>806</v>
      </c>
      <c r="G414">
        <v>0</v>
      </c>
      <c r="H414" t="s">
        <v>1069</v>
      </c>
    </row>
    <row r="415" spans="1:8" x14ac:dyDescent="0.25">
      <c r="A415" t="s">
        <v>906</v>
      </c>
      <c r="B415">
        <v>1</v>
      </c>
      <c r="C415" t="s">
        <v>1145</v>
      </c>
      <c r="D415" t="s">
        <v>794</v>
      </c>
      <c r="E415" t="s">
        <v>798</v>
      </c>
      <c r="F415" t="s">
        <v>806</v>
      </c>
      <c r="G415">
        <v>0</v>
      </c>
      <c r="H415" t="s">
        <v>873</v>
      </c>
    </row>
    <row r="416" spans="1:8" x14ac:dyDescent="0.25">
      <c r="A416" t="s">
        <v>1046</v>
      </c>
      <c r="B416">
        <v>9.4999999999999998E-3</v>
      </c>
      <c r="C416" t="s">
        <v>1149</v>
      </c>
      <c r="D416" t="s">
        <v>811</v>
      </c>
      <c r="E416" t="s">
        <v>847</v>
      </c>
      <c r="F416" t="s">
        <v>806</v>
      </c>
      <c r="G416">
        <v>0</v>
      </c>
      <c r="H416" t="s">
        <v>926</v>
      </c>
    </row>
    <row r="418" spans="1:8" ht="15.75" x14ac:dyDescent="0.25">
      <c r="A418" s="79" t="s">
        <v>789</v>
      </c>
      <c r="B418" s="79" t="s">
        <v>855</v>
      </c>
    </row>
    <row r="419" spans="1:8" x14ac:dyDescent="0.25">
      <c r="A419" t="s">
        <v>814</v>
      </c>
      <c r="B419" t="s">
        <v>815</v>
      </c>
    </row>
    <row r="420" spans="1:8" x14ac:dyDescent="0.25">
      <c r="A420" t="s">
        <v>791</v>
      </c>
      <c r="B420" t="s">
        <v>1119</v>
      </c>
    </row>
    <row r="421" spans="1:8" x14ac:dyDescent="0.25">
      <c r="A421" t="s">
        <v>793</v>
      </c>
      <c r="B421" t="s">
        <v>933</v>
      </c>
    </row>
    <row r="422" spans="1:8" x14ac:dyDescent="0.25">
      <c r="A422" t="s">
        <v>795</v>
      </c>
      <c r="B422" t="s">
        <v>855</v>
      </c>
    </row>
    <row r="423" spans="1:8" x14ac:dyDescent="0.25">
      <c r="A423" t="s">
        <v>796</v>
      </c>
      <c r="B423" t="s">
        <v>797</v>
      </c>
    </row>
    <row r="424" spans="1:8" x14ac:dyDescent="0.25">
      <c r="A424" t="s">
        <v>110</v>
      </c>
      <c r="B424" t="s">
        <v>798</v>
      </c>
    </row>
    <row r="425" spans="1:8" x14ac:dyDescent="0.25">
      <c r="A425" t="s">
        <v>1148</v>
      </c>
      <c r="B425" t="s">
        <v>1145</v>
      </c>
    </row>
    <row r="426" spans="1:8" ht="15.75" x14ac:dyDescent="0.25">
      <c r="A426" s="79" t="s">
        <v>799</v>
      </c>
    </row>
    <row r="427" spans="1:8" x14ac:dyDescent="0.25">
      <c r="A427" t="s">
        <v>800</v>
      </c>
      <c r="B427" t="s">
        <v>801</v>
      </c>
      <c r="C427" t="s">
        <v>802</v>
      </c>
      <c r="D427" t="s">
        <v>793</v>
      </c>
      <c r="E427" t="s">
        <v>110</v>
      </c>
      <c r="F427" t="s">
        <v>796</v>
      </c>
      <c r="G427" t="s">
        <v>803</v>
      </c>
      <c r="H427" t="s">
        <v>795</v>
      </c>
    </row>
    <row r="428" spans="1:8" x14ac:dyDescent="0.25">
      <c r="A428" t="s">
        <v>855</v>
      </c>
      <c r="B428">
        <v>1</v>
      </c>
      <c r="C428" t="s">
        <v>1145</v>
      </c>
      <c r="D428" t="s">
        <v>933</v>
      </c>
      <c r="E428" t="s">
        <v>798</v>
      </c>
      <c r="F428" t="s">
        <v>804</v>
      </c>
      <c r="G428">
        <v>0</v>
      </c>
      <c r="H428" t="s">
        <v>855</v>
      </c>
    </row>
    <row r="429" spans="1:8" x14ac:dyDescent="0.25">
      <c r="A429" t="s">
        <v>909</v>
      </c>
      <c r="B429">
        <v>1</v>
      </c>
      <c r="C429" t="s">
        <v>1149</v>
      </c>
      <c r="D429" t="s">
        <v>811</v>
      </c>
      <c r="E429" t="s">
        <v>798</v>
      </c>
      <c r="F429" t="s">
        <v>806</v>
      </c>
      <c r="G429">
        <v>0</v>
      </c>
      <c r="H429" t="s">
        <v>909</v>
      </c>
    </row>
    <row r="430" spans="1:8" x14ac:dyDescent="0.25">
      <c r="A430" t="s">
        <v>874</v>
      </c>
      <c r="B430">
        <v>1</v>
      </c>
      <c r="C430" t="s">
        <v>1145</v>
      </c>
      <c r="D430" t="s">
        <v>933</v>
      </c>
      <c r="E430" t="s">
        <v>798</v>
      </c>
      <c r="F430" t="s">
        <v>806</v>
      </c>
      <c r="G430">
        <v>0</v>
      </c>
      <c r="H430" t="s">
        <v>875</v>
      </c>
    </row>
    <row r="432" spans="1:8" ht="15.75" x14ac:dyDescent="0.25">
      <c r="A432" s="79" t="s">
        <v>789</v>
      </c>
      <c r="B432" s="79" t="s">
        <v>855</v>
      </c>
    </row>
    <row r="433" spans="1:8" x14ac:dyDescent="0.25">
      <c r="A433" t="s">
        <v>814</v>
      </c>
      <c r="B433" t="s">
        <v>815</v>
      </c>
    </row>
    <row r="434" spans="1:8" x14ac:dyDescent="0.25">
      <c r="A434" t="s">
        <v>791</v>
      </c>
      <c r="B434" t="s">
        <v>1120</v>
      </c>
    </row>
    <row r="435" spans="1:8" x14ac:dyDescent="0.25">
      <c r="A435" t="s">
        <v>793</v>
      </c>
      <c r="B435" t="s">
        <v>851</v>
      </c>
    </row>
    <row r="436" spans="1:8" x14ac:dyDescent="0.25">
      <c r="A436" t="s">
        <v>795</v>
      </c>
      <c r="B436" t="s">
        <v>855</v>
      </c>
    </row>
    <row r="437" spans="1:8" x14ac:dyDescent="0.25">
      <c r="A437" t="s">
        <v>796</v>
      </c>
      <c r="B437" t="s">
        <v>797</v>
      </c>
    </row>
    <row r="438" spans="1:8" x14ac:dyDescent="0.25">
      <c r="A438" t="s">
        <v>110</v>
      </c>
      <c r="B438" t="s">
        <v>798</v>
      </c>
    </row>
    <row r="439" spans="1:8" x14ac:dyDescent="0.25">
      <c r="A439" t="s">
        <v>1148</v>
      </c>
      <c r="B439" t="s">
        <v>1145</v>
      </c>
    </row>
    <row r="440" spans="1:8" ht="15.75" x14ac:dyDescent="0.25">
      <c r="A440" s="79" t="s">
        <v>799</v>
      </c>
    </row>
    <row r="441" spans="1:8" x14ac:dyDescent="0.25">
      <c r="A441" t="s">
        <v>800</v>
      </c>
      <c r="B441" t="s">
        <v>801</v>
      </c>
      <c r="C441" t="s">
        <v>802</v>
      </c>
      <c r="D441" t="s">
        <v>793</v>
      </c>
      <c r="E441" t="s">
        <v>110</v>
      </c>
      <c r="F441" t="s">
        <v>796</v>
      </c>
      <c r="G441" t="s">
        <v>803</v>
      </c>
      <c r="H441" t="s">
        <v>795</v>
      </c>
    </row>
    <row r="442" spans="1:8" x14ac:dyDescent="0.25">
      <c r="A442" t="s">
        <v>855</v>
      </c>
      <c r="B442">
        <v>1</v>
      </c>
      <c r="C442" t="s">
        <v>1145</v>
      </c>
      <c r="D442" t="s">
        <v>851</v>
      </c>
      <c r="E442" t="s">
        <v>798</v>
      </c>
      <c r="F442" t="s">
        <v>804</v>
      </c>
      <c r="G442">
        <v>0</v>
      </c>
      <c r="H442" t="s">
        <v>855</v>
      </c>
    </row>
    <row r="443" spans="1:8" x14ac:dyDescent="0.25">
      <c r="A443" t="s">
        <v>909</v>
      </c>
      <c r="B443">
        <v>1</v>
      </c>
      <c r="C443" t="s">
        <v>1149</v>
      </c>
      <c r="D443" t="s">
        <v>811</v>
      </c>
      <c r="E443" t="s">
        <v>798</v>
      </c>
      <c r="F443" t="s">
        <v>806</v>
      </c>
      <c r="G443">
        <v>0</v>
      </c>
      <c r="H443" t="s">
        <v>909</v>
      </c>
    </row>
    <row r="444" spans="1:8" x14ac:dyDescent="0.25">
      <c r="A444" t="s">
        <v>874</v>
      </c>
      <c r="B444">
        <v>1</v>
      </c>
      <c r="C444" t="s">
        <v>1145</v>
      </c>
      <c r="D444" t="s">
        <v>851</v>
      </c>
      <c r="E444" t="s">
        <v>798</v>
      </c>
      <c r="F444" t="s">
        <v>806</v>
      </c>
      <c r="G444">
        <v>0</v>
      </c>
      <c r="H444" t="s">
        <v>875</v>
      </c>
    </row>
    <row r="446" spans="1:8" ht="15.75" x14ac:dyDescent="0.25">
      <c r="A446" s="79" t="s">
        <v>789</v>
      </c>
      <c r="B446" s="79" t="s">
        <v>1124</v>
      </c>
    </row>
    <row r="447" spans="1:8" x14ac:dyDescent="0.25">
      <c r="A447" t="s">
        <v>814</v>
      </c>
      <c r="B447" t="s">
        <v>815</v>
      </c>
    </row>
    <row r="448" spans="1:8" x14ac:dyDescent="0.25">
      <c r="A448" t="s">
        <v>791</v>
      </c>
      <c r="B448" t="s">
        <v>1125</v>
      </c>
    </row>
    <row r="449" spans="1:8" x14ac:dyDescent="0.25">
      <c r="A449" t="s">
        <v>793</v>
      </c>
      <c r="B449" t="s">
        <v>824</v>
      </c>
    </row>
    <row r="450" spans="1:8" x14ac:dyDescent="0.25">
      <c r="A450" t="s">
        <v>795</v>
      </c>
      <c r="B450" t="s">
        <v>1124</v>
      </c>
    </row>
    <row r="451" spans="1:8" x14ac:dyDescent="0.25">
      <c r="A451" t="s">
        <v>796</v>
      </c>
      <c r="B451" t="s">
        <v>797</v>
      </c>
    </row>
    <row r="452" spans="1:8" x14ac:dyDescent="0.25">
      <c r="A452" t="s">
        <v>110</v>
      </c>
      <c r="B452" t="s">
        <v>798</v>
      </c>
    </row>
    <row r="453" spans="1:8" x14ac:dyDescent="0.25">
      <c r="A453" t="s">
        <v>1148</v>
      </c>
      <c r="B453" t="s">
        <v>1145</v>
      </c>
    </row>
    <row r="454" spans="1:8" ht="15.75" x14ac:dyDescent="0.25">
      <c r="A454" s="79" t="s">
        <v>799</v>
      </c>
    </row>
    <row r="455" spans="1:8" x14ac:dyDescent="0.25">
      <c r="A455" t="s">
        <v>800</v>
      </c>
      <c r="B455" t="s">
        <v>801</v>
      </c>
      <c r="C455" t="s">
        <v>802</v>
      </c>
      <c r="D455" t="s">
        <v>793</v>
      </c>
      <c r="E455" t="s">
        <v>110</v>
      </c>
      <c r="F455" t="s">
        <v>796</v>
      </c>
      <c r="G455" t="s">
        <v>803</v>
      </c>
      <c r="H455" t="s">
        <v>795</v>
      </c>
    </row>
    <row r="456" spans="1:8" x14ac:dyDescent="0.25">
      <c r="A456" t="s">
        <v>1124</v>
      </c>
      <c r="B456">
        <v>1</v>
      </c>
      <c r="C456" t="s">
        <v>1145</v>
      </c>
      <c r="D456" t="s">
        <v>824</v>
      </c>
      <c r="E456" t="s">
        <v>798</v>
      </c>
      <c r="F456" t="s">
        <v>804</v>
      </c>
      <c r="G456">
        <v>0</v>
      </c>
      <c r="H456" t="s">
        <v>1124</v>
      </c>
    </row>
    <row r="457" spans="1:8" x14ac:dyDescent="0.25">
      <c r="A457" t="s">
        <v>1126</v>
      </c>
      <c r="B457">
        <v>1</v>
      </c>
      <c r="C457" t="s">
        <v>1149</v>
      </c>
      <c r="D457" t="s">
        <v>824</v>
      </c>
      <c r="E457" t="s">
        <v>798</v>
      </c>
      <c r="F457" t="s">
        <v>806</v>
      </c>
      <c r="G457">
        <v>0</v>
      </c>
      <c r="H457" t="s">
        <v>1127</v>
      </c>
    </row>
    <row r="458" spans="1:8" x14ac:dyDescent="0.25">
      <c r="A458" t="s">
        <v>1158</v>
      </c>
      <c r="B458">
        <v>6.8</v>
      </c>
      <c r="C458" t="s">
        <v>1149</v>
      </c>
      <c r="D458" t="s">
        <v>824</v>
      </c>
      <c r="E458" t="s">
        <v>1030</v>
      </c>
      <c r="F458" t="s">
        <v>806</v>
      </c>
      <c r="G458">
        <v>0</v>
      </c>
      <c r="H458" t="s">
        <v>1158</v>
      </c>
    </row>
    <row r="460" spans="1:8" ht="15.75" x14ac:dyDescent="0.25">
      <c r="A460" s="79" t="s">
        <v>789</v>
      </c>
      <c r="B460" s="79" t="s">
        <v>1128</v>
      </c>
    </row>
    <row r="461" spans="1:8" x14ac:dyDescent="0.25">
      <c r="A461" t="s">
        <v>814</v>
      </c>
      <c r="B461" t="s">
        <v>815</v>
      </c>
    </row>
    <row r="462" spans="1:8" x14ac:dyDescent="0.25">
      <c r="A462" t="s">
        <v>791</v>
      </c>
      <c r="B462" t="s">
        <v>1129</v>
      </c>
    </row>
    <row r="463" spans="1:8" x14ac:dyDescent="0.25">
      <c r="A463" t="s">
        <v>793</v>
      </c>
      <c r="B463" t="s">
        <v>794</v>
      </c>
    </row>
    <row r="464" spans="1:8" x14ac:dyDescent="0.25">
      <c r="A464" t="s">
        <v>795</v>
      </c>
      <c r="B464" t="s">
        <v>1130</v>
      </c>
    </row>
    <row r="465" spans="1:9" x14ac:dyDescent="0.25">
      <c r="A465" t="s">
        <v>796</v>
      </c>
      <c r="B465" t="s">
        <v>797</v>
      </c>
    </row>
    <row r="466" spans="1:9" x14ac:dyDescent="0.25">
      <c r="A466" t="s">
        <v>110</v>
      </c>
      <c r="B466" t="s">
        <v>825</v>
      </c>
    </row>
    <row r="467" spans="1:9" x14ac:dyDescent="0.25">
      <c r="A467" t="s">
        <v>1148</v>
      </c>
      <c r="B467" t="s">
        <v>1145</v>
      </c>
    </row>
    <row r="468" spans="1:9" ht="15.75" x14ac:dyDescent="0.25">
      <c r="A468" s="79" t="s">
        <v>799</v>
      </c>
    </row>
    <row r="469" spans="1:9" x14ac:dyDescent="0.25">
      <c r="A469" t="s">
        <v>800</v>
      </c>
      <c r="B469" t="s">
        <v>801</v>
      </c>
      <c r="C469" t="s">
        <v>802</v>
      </c>
      <c r="D469" t="s">
        <v>793</v>
      </c>
      <c r="E469" t="s">
        <v>110</v>
      </c>
      <c r="F469" t="s">
        <v>835</v>
      </c>
      <c r="G469" t="s">
        <v>796</v>
      </c>
      <c r="H469" t="s">
        <v>803</v>
      </c>
      <c r="I469" t="s">
        <v>795</v>
      </c>
    </row>
    <row r="470" spans="1:9" x14ac:dyDescent="0.25">
      <c r="A470" t="s">
        <v>988</v>
      </c>
      <c r="B470">
        <v>6.4999999999999994E-5</v>
      </c>
      <c r="C470" t="s">
        <v>837</v>
      </c>
      <c r="E470" t="s">
        <v>798</v>
      </c>
      <c r="F470" t="s">
        <v>838</v>
      </c>
      <c r="G470" t="s">
        <v>839</v>
      </c>
      <c r="H470">
        <v>0</v>
      </c>
    </row>
    <row r="471" spans="1:9" x14ac:dyDescent="0.25">
      <c r="A471" t="s">
        <v>1128</v>
      </c>
      <c r="B471">
        <v>1</v>
      </c>
      <c r="C471" t="s">
        <v>1145</v>
      </c>
      <c r="D471" t="s">
        <v>794</v>
      </c>
      <c r="E471" t="s">
        <v>825</v>
      </c>
      <c r="G471" t="s">
        <v>804</v>
      </c>
      <c r="H471">
        <v>0</v>
      </c>
      <c r="I471" t="s">
        <v>1130</v>
      </c>
    </row>
    <row r="472" spans="1:9" x14ac:dyDescent="0.25">
      <c r="A472" t="s">
        <v>1131</v>
      </c>
      <c r="B472">
        <v>1.0000000000000001E-5</v>
      </c>
      <c r="C472" t="s">
        <v>1149</v>
      </c>
      <c r="D472" t="s">
        <v>811</v>
      </c>
      <c r="E472" t="s">
        <v>798</v>
      </c>
      <c r="G472" t="s">
        <v>806</v>
      </c>
      <c r="H472">
        <v>0</v>
      </c>
      <c r="I472" t="s">
        <v>930</v>
      </c>
    </row>
    <row r="473" spans="1:9" x14ac:dyDescent="0.25">
      <c r="A473" t="s">
        <v>826</v>
      </c>
      <c r="B473">
        <v>11.7</v>
      </c>
      <c r="C473" t="s">
        <v>1149</v>
      </c>
      <c r="D473" t="s">
        <v>794</v>
      </c>
      <c r="E473" t="s">
        <v>827</v>
      </c>
      <c r="G473" t="s">
        <v>806</v>
      </c>
      <c r="H473">
        <v>0</v>
      </c>
      <c r="I473" t="s">
        <v>828</v>
      </c>
    </row>
    <row r="474" spans="1:9" x14ac:dyDescent="0.25">
      <c r="A474" t="s">
        <v>1067</v>
      </c>
      <c r="B474">
        <v>3.57</v>
      </c>
      <c r="C474" t="s">
        <v>1145</v>
      </c>
      <c r="D474" t="s">
        <v>794</v>
      </c>
      <c r="E474" t="s">
        <v>798</v>
      </c>
      <c r="G474" t="s">
        <v>806</v>
      </c>
      <c r="H474">
        <v>0</v>
      </c>
      <c r="I474" t="s">
        <v>1069</v>
      </c>
    </row>
    <row r="477" spans="1:9" ht="15.75" x14ac:dyDescent="0.25">
      <c r="A477" s="79" t="s">
        <v>789</v>
      </c>
      <c r="B477" s="79" t="s">
        <v>790</v>
      </c>
    </row>
    <row r="478" spans="1:9" x14ac:dyDescent="0.25">
      <c r="A478" t="s">
        <v>791</v>
      </c>
      <c r="B478" t="s">
        <v>792</v>
      </c>
    </row>
    <row r="479" spans="1:9" x14ac:dyDescent="0.25">
      <c r="A479" t="s">
        <v>793</v>
      </c>
      <c r="B479" t="s">
        <v>794</v>
      </c>
    </row>
    <row r="480" spans="1:9" x14ac:dyDescent="0.25">
      <c r="A480" t="s">
        <v>795</v>
      </c>
      <c r="B480" t="s">
        <v>790</v>
      </c>
    </row>
    <row r="481" spans="1:2" x14ac:dyDescent="0.25">
      <c r="A481" t="s">
        <v>796</v>
      </c>
      <c r="B481" t="s">
        <v>797</v>
      </c>
    </row>
    <row r="482" spans="1:2" x14ac:dyDescent="0.25">
      <c r="A482" t="s">
        <v>110</v>
      </c>
      <c r="B482" t="s">
        <v>798</v>
      </c>
    </row>
    <row r="483" spans="1:2" ht="15.75" x14ac:dyDescent="0.25">
      <c r="A483" s="79" t="s">
        <v>799</v>
      </c>
    </row>
    <row r="484" spans="1:2" x14ac:dyDescent="0.25">
      <c r="A484" t="s">
        <v>1159</v>
      </c>
    </row>
    <row r="486" spans="1:2" ht="15.75" x14ac:dyDescent="0.25">
      <c r="A486" s="79" t="s">
        <v>789</v>
      </c>
      <c r="B486" s="79" t="s">
        <v>813</v>
      </c>
    </row>
    <row r="487" spans="1:2" x14ac:dyDescent="0.25">
      <c r="A487" t="s">
        <v>791</v>
      </c>
      <c r="B487" t="s">
        <v>816</v>
      </c>
    </row>
    <row r="488" spans="1:2" x14ac:dyDescent="0.25">
      <c r="A488" t="s">
        <v>793</v>
      </c>
      <c r="B488" t="s">
        <v>794</v>
      </c>
    </row>
    <row r="489" spans="1:2" x14ac:dyDescent="0.25">
      <c r="A489" t="s">
        <v>795</v>
      </c>
      <c r="B489" t="s">
        <v>818</v>
      </c>
    </row>
    <row r="490" spans="1:2" x14ac:dyDescent="0.25">
      <c r="A490" t="s">
        <v>796</v>
      </c>
      <c r="B490" t="s">
        <v>797</v>
      </c>
    </row>
    <row r="491" spans="1:2" x14ac:dyDescent="0.25">
      <c r="A491" t="s">
        <v>110</v>
      </c>
      <c r="B491" t="s">
        <v>798</v>
      </c>
    </row>
    <row r="492" spans="1:2" ht="15.75" x14ac:dyDescent="0.25">
      <c r="A492" s="79" t="s">
        <v>799</v>
      </c>
    </row>
    <row r="493" spans="1:2" x14ac:dyDescent="0.25">
      <c r="A493" t="s">
        <v>1159</v>
      </c>
    </row>
    <row r="495" spans="1:2" ht="15.75" x14ac:dyDescent="0.25">
      <c r="A495" s="79" t="s">
        <v>789</v>
      </c>
      <c r="B495" s="79" t="s">
        <v>844</v>
      </c>
    </row>
    <row r="496" spans="1:2" x14ac:dyDescent="0.25">
      <c r="A496" t="s">
        <v>791</v>
      </c>
      <c r="B496" t="s">
        <v>845</v>
      </c>
    </row>
    <row r="497" spans="1:2" x14ac:dyDescent="0.25">
      <c r="A497" t="s">
        <v>793</v>
      </c>
      <c r="B497" t="s">
        <v>794</v>
      </c>
    </row>
    <row r="498" spans="1:2" x14ac:dyDescent="0.25">
      <c r="A498" t="s">
        <v>795</v>
      </c>
      <c r="B498" t="s">
        <v>846</v>
      </c>
    </row>
    <row r="499" spans="1:2" x14ac:dyDescent="0.25">
      <c r="A499" t="s">
        <v>796</v>
      </c>
      <c r="B499" t="s">
        <v>797</v>
      </c>
    </row>
    <row r="500" spans="1:2" x14ac:dyDescent="0.25">
      <c r="A500" t="s">
        <v>110</v>
      </c>
      <c r="B500" t="s">
        <v>847</v>
      </c>
    </row>
    <row r="501" spans="1:2" ht="15.75" x14ac:dyDescent="0.25">
      <c r="A501" s="79" t="s">
        <v>799</v>
      </c>
    </row>
    <row r="502" spans="1:2" x14ac:dyDescent="0.25">
      <c r="A502" t="s">
        <v>1159</v>
      </c>
    </row>
    <row r="504" spans="1:2" ht="15.75" x14ac:dyDescent="0.25">
      <c r="A504" s="79" t="s">
        <v>789</v>
      </c>
      <c r="B504" s="79" t="s">
        <v>805</v>
      </c>
    </row>
    <row r="505" spans="1:2" x14ac:dyDescent="0.25">
      <c r="A505" t="s">
        <v>791</v>
      </c>
      <c r="B505" t="s">
        <v>852</v>
      </c>
    </row>
    <row r="506" spans="1:2" x14ac:dyDescent="0.25">
      <c r="A506" t="s">
        <v>793</v>
      </c>
      <c r="B506" t="s">
        <v>794</v>
      </c>
    </row>
    <row r="507" spans="1:2" x14ac:dyDescent="0.25">
      <c r="A507" t="s">
        <v>795</v>
      </c>
      <c r="B507" t="s">
        <v>807</v>
      </c>
    </row>
    <row r="508" spans="1:2" x14ac:dyDescent="0.25">
      <c r="A508" t="s">
        <v>796</v>
      </c>
      <c r="B508" t="s">
        <v>797</v>
      </c>
    </row>
    <row r="509" spans="1:2" x14ac:dyDescent="0.25">
      <c r="A509" t="s">
        <v>110</v>
      </c>
      <c r="B509" t="s">
        <v>798</v>
      </c>
    </row>
    <row r="510" spans="1:2" ht="15.75" x14ac:dyDescent="0.25">
      <c r="A510" s="79" t="s">
        <v>799</v>
      </c>
    </row>
    <row r="511" spans="1:2" x14ac:dyDescent="0.25">
      <c r="A511" t="s">
        <v>1159</v>
      </c>
    </row>
    <row r="513" spans="1:2" ht="15.75" x14ac:dyDescent="0.25">
      <c r="A513" s="79" t="s">
        <v>789</v>
      </c>
      <c r="B513" s="79" t="s">
        <v>849</v>
      </c>
    </row>
    <row r="514" spans="1:2" x14ac:dyDescent="0.25">
      <c r="A514" t="s">
        <v>791</v>
      </c>
      <c r="B514" t="s">
        <v>878</v>
      </c>
    </row>
    <row r="515" spans="1:2" x14ac:dyDescent="0.25">
      <c r="A515" t="s">
        <v>793</v>
      </c>
      <c r="B515" t="s">
        <v>794</v>
      </c>
    </row>
    <row r="516" spans="1:2" x14ac:dyDescent="0.25">
      <c r="A516" t="s">
        <v>795</v>
      </c>
      <c r="B516" t="s">
        <v>850</v>
      </c>
    </row>
    <row r="517" spans="1:2" x14ac:dyDescent="0.25">
      <c r="A517" t="s">
        <v>796</v>
      </c>
      <c r="B517" t="s">
        <v>797</v>
      </c>
    </row>
    <row r="518" spans="1:2" x14ac:dyDescent="0.25">
      <c r="A518" t="s">
        <v>110</v>
      </c>
      <c r="B518" t="s">
        <v>798</v>
      </c>
    </row>
    <row r="519" spans="1:2" ht="15.75" x14ac:dyDescent="0.25">
      <c r="A519" s="79" t="s">
        <v>799</v>
      </c>
    </row>
    <row r="520" spans="1:2" x14ac:dyDescent="0.25">
      <c r="A520" t="s">
        <v>1159</v>
      </c>
    </row>
    <row r="522" spans="1:2" ht="15.75" x14ac:dyDescent="0.25">
      <c r="A522" s="79" t="s">
        <v>789</v>
      </c>
      <c r="B522" s="79" t="s">
        <v>879</v>
      </c>
    </row>
    <row r="523" spans="1:2" x14ac:dyDescent="0.25">
      <c r="A523" t="s">
        <v>791</v>
      </c>
      <c r="B523" t="s">
        <v>880</v>
      </c>
    </row>
    <row r="524" spans="1:2" x14ac:dyDescent="0.25">
      <c r="A524" t="s">
        <v>793</v>
      </c>
      <c r="B524" t="s">
        <v>794</v>
      </c>
    </row>
    <row r="525" spans="1:2" x14ac:dyDescent="0.25">
      <c r="A525" t="s">
        <v>795</v>
      </c>
      <c r="B525" t="s">
        <v>881</v>
      </c>
    </row>
    <row r="526" spans="1:2" x14ac:dyDescent="0.25">
      <c r="A526" t="s">
        <v>796</v>
      </c>
      <c r="B526" t="s">
        <v>797</v>
      </c>
    </row>
    <row r="527" spans="1:2" x14ac:dyDescent="0.25">
      <c r="A527" t="s">
        <v>110</v>
      </c>
      <c r="B527" t="s">
        <v>798</v>
      </c>
    </row>
    <row r="528" spans="1:2" ht="15.75" x14ac:dyDescent="0.25">
      <c r="A528" s="79" t="s">
        <v>799</v>
      </c>
    </row>
    <row r="529" spans="1:2" x14ac:dyDescent="0.25">
      <c r="A529" t="s">
        <v>1159</v>
      </c>
    </row>
    <row r="531" spans="1:2" ht="15.75" x14ac:dyDescent="0.25">
      <c r="A531" s="79" t="s">
        <v>789</v>
      </c>
      <c r="B531" s="79" t="s">
        <v>898</v>
      </c>
    </row>
    <row r="532" spans="1:2" x14ac:dyDescent="0.25">
      <c r="A532" t="s">
        <v>791</v>
      </c>
      <c r="B532" t="s">
        <v>899</v>
      </c>
    </row>
    <row r="533" spans="1:2" x14ac:dyDescent="0.25">
      <c r="A533" t="s">
        <v>793</v>
      </c>
      <c r="B533" t="s">
        <v>794</v>
      </c>
    </row>
    <row r="534" spans="1:2" x14ac:dyDescent="0.25">
      <c r="A534" t="s">
        <v>795</v>
      </c>
      <c r="B534" t="s">
        <v>900</v>
      </c>
    </row>
    <row r="535" spans="1:2" x14ac:dyDescent="0.25">
      <c r="A535" t="s">
        <v>796</v>
      </c>
      <c r="B535" t="s">
        <v>797</v>
      </c>
    </row>
    <row r="536" spans="1:2" x14ac:dyDescent="0.25">
      <c r="A536" t="s">
        <v>110</v>
      </c>
      <c r="B536" t="s">
        <v>798</v>
      </c>
    </row>
    <row r="537" spans="1:2" ht="15.75" x14ac:dyDescent="0.25">
      <c r="A537" s="79" t="s">
        <v>799</v>
      </c>
    </row>
    <row r="538" spans="1:2" x14ac:dyDescent="0.25">
      <c r="A538" t="s">
        <v>1159</v>
      </c>
    </row>
    <row r="540" spans="1:2" ht="15.75" x14ac:dyDescent="0.25">
      <c r="A540" s="79" t="s">
        <v>789</v>
      </c>
      <c r="B540" s="79" t="s">
        <v>903</v>
      </c>
    </row>
    <row r="541" spans="1:2" x14ac:dyDescent="0.25">
      <c r="A541" t="s">
        <v>791</v>
      </c>
      <c r="B541" t="s">
        <v>904</v>
      </c>
    </row>
    <row r="542" spans="1:2" x14ac:dyDescent="0.25">
      <c r="A542" t="s">
        <v>793</v>
      </c>
      <c r="B542" t="s">
        <v>794</v>
      </c>
    </row>
    <row r="543" spans="1:2" x14ac:dyDescent="0.25">
      <c r="A543" t="s">
        <v>795</v>
      </c>
      <c r="B543" t="s">
        <v>905</v>
      </c>
    </row>
    <row r="544" spans="1:2" x14ac:dyDescent="0.25">
      <c r="A544" t="s">
        <v>796</v>
      </c>
      <c r="B544" t="s">
        <v>797</v>
      </c>
    </row>
    <row r="545" spans="1:2" x14ac:dyDescent="0.25">
      <c r="A545" t="s">
        <v>110</v>
      </c>
      <c r="B545" t="s">
        <v>798</v>
      </c>
    </row>
    <row r="546" spans="1:2" ht="15.75" x14ac:dyDescent="0.25">
      <c r="A546" s="79" t="s">
        <v>799</v>
      </c>
    </row>
    <row r="547" spans="1:2" x14ac:dyDescent="0.25">
      <c r="A547" t="s">
        <v>1159</v>
      </c>
    </row>
    <row r="549" spans="1:2" ht="15.75" x14ac:dyDescent="0.25">
      <c r="A549" s="79" t="s">
        <v>789</v>
      </c>
      <c r="B549" s="79" t="s">
        <v>915</v>
      </c>
    </row>
    <row r="550" spans="1:2" x14ac:dyDescent="0.25">
      <c r="A550" t="s">
        <v>791</v>
      </c>
      <c r="B550" t="s">
        <v>916</v>
      </c>
    </row>
    <row r="551" spans="1:2" x14ac:dyDescent="0.25">
      <c r="A551" t="s">
        <v>793</v>
      </c>
      <c r="B551" t="s">
        <v>794</v>
      </c>
    </row>
    <row r="552" spans="1:2" x14ac:dyDescent="0.25">
      <c r="A552" t="s">
        <v>795</v>
      </c>
      <c r="B552" t="s">
        <v>917</v>
      </c>
    </row>
    <row r="553" spans="1:2" x14ac:dyDescent="0.25">
      <c r="A553" t="s">
        <v>796</v>
      </c>
      <c r="B553" t="s">
        <v>797</v>
      </c>
    </row>
    <row r="554" spans="1:2" x14ac:dyDescent="0.25">
      <c r="A554" t="s">
        <v>110</v>
      </c>
      <c r="B554" t="s">
        <v>847</v>
      </c>
    </row>
    <row r="555" spans="1:2" ht="15.75" x14ac:dyDescent="0.25">
      <c r="A555" s="79" t="s">
        <v>799</v>
      </c>
    </row>
    <row r="556" spans="1:2" x14ac:dyDescent="0.25">
      <c r="A556" t="s">
        <v>1159</v>
      </c>
    </row>
    <row r="558" spans="1:2" ht="15.75" x14ac:dyDescent="0.25">
      <c r="A558" s="79" t="s">
        <v>789</v>
      </c>
      <c r="B558" s="79" t="s">
        <v>927</v>
      </c>
    </row>
    <row r="559" spans="1:2" x14ac:dyDescent="0.25">
      <c r="A559" t="s">
        <v>791</v>
      </c>
      <c r="B559" t="s">
        <v>928</v>
      </c>
    </row>
    <row r="560" spans="1:2" x14ac:dyDescent="0.25">
      <c r="A560" t="s">
        <v>793</v>
      </c>
      <c r="B560" t="s">
        <v>811</v>
      </c>
    </row>
    <row r="561" spans="1:2" x14ac:dyDescent="0.25">
      <c r="A561" t="s">
        <v>795</v>
      </c>
      <c r="B561" t="s">
        <v>929</v>
      </c>
    </row>
    <row r="562" spans="1:2" x14ac:dyDescent="0.25">
      <c r="A562" t="s">
        <v>796</v>
      </c>
      <c r="B562" t="s">
        <v>797</v>
      </c>
    </row>
    <row r="563" spans="1:2" x14ac:dyDescent="0.25">
      <c r="A563" t="s">
        <v>110</v>
      </c>
      <c r="B563" t="s">
        <v>110</v>
      </c>
    </row>
    <row r="564" spans="1:2" ht="15.75" x14ac:dyDescent="0.25">
      <c r="A564" s="79" t="s">
        <v>799</v>
      </c>
    </row>
    <row r="565" spans="1:2" x14ac:dyDescent="0.25">
      <c r="A565" t="s">
        <v>1159</v>
      </c>
    </row>
    <row r="567" spans="1:2" ht="15.75" x14ac:dyDescent="0.25">
      <c r="A567" s="79" t="s">
        <v>789</v>
      </c>
      <c r="B567" s="79" t="s">
        <v>942</v>
      </c>
    </row>
    <row r="568" spans="1:2" x14ac:dyDescent="0.25">
      <c r="A568" t="s">
        <v>791</v>
      </c>
      <c r="B568" t="s">
        <v>943</v>
      </c>
    </row>
    <row r="569" spans="1:2" x14ac:dyDescent="0.25">
      <c r="A569" t="s">
        <v>793</v>
      </c>
      <c r="B569" t="s">
        <v>893</v>
      </c>
    </row>
    <row r="570" spans="1:2" x14ac:dyDescent="0.25">
      <c r="A570" t="s">
        <v>795</v>
      </c>
      <c r="B570" t="s">
        <v>944</v>
      </c>
    </row>
    <row r="571" spans="1:2" x14ac:dyDescent="0.25">
      <c r="A571" t="s">
        <v>796</v>
      </c>
      <c r="B571" t="s">
        <v>797</v>
      </c>
    </row>
    <row r="572" spans="1:2" x14ac:dyDescent="0.25">
      <c r="A572" t="s">
        <v>110</v>
      </c>
      <c r="B572" t="s">
        <v>798</v>
      </c>
    </row>
    <row r="573" spans="1:2" ht="15.75" x14ac:dyDescent="0.25">
      <c r="A573" s="79" t="s">
        <v>799</v>
      </c>
    </row>
    <row r="574" spans="1:2" x14ac:dyDescent="0.25">
      <c r="A574" t="s">
        <v>1159</v>
      </c>
    </row>
    <row r="576" spans="1:2" ht="15.75" x14ac:dyDescent="0.25">
      <c r="A576" s="79" t="s">
        <v>789</v>
      </c>
      <c r="B576" s="79" t="s">
        <v>953</v>
      </c>
    </row>
    <row r="577" spans="1:2" x14ac:dyDescent="0.25">
      <c r="A577" t="s">
        <v>791</v>
      </c>
      <c r="B577" t="s">
        <v>954</v>
      </c>
    </row>
    <row r="578" spans="1:2" x14ac:dyDescent="0.25">
      <c r="A578" t="s">
        <v>793</v>
      </c>
      <c r="B578" t="s">
        <v>794</v>
      </c>
    </row>
    <row r="579" spans="1:2" x14ac:dyDescent="0.25">
      <c r="A579" t="s">
        <v>795</v>
      </c>
      <c r="B579" t="s">
        <v>955</v>
      </c>
    </row>
    <row r="580" spans="1:2" x14ac:dyDescent="0.25">
      <c r="A580" t="s">
        <v>796</v>
      </c>
      <c r="B580" t="s">
        <v>797</v>
      </c>
    </row>
    <row r="581" spans="1:2" x14ac:dyDescent="0.25">
      <c r="A581" t="s">
        <v>110</v>
      </c>
      <c r="B581" t="s">
        <v>834</v>
      </c>
    </row>
    <row r="582" spans="1:2" ht="15.75" x14ac:dyDescent="0.25">
      <c r="A582" s="79" t="s">
        <v>799</v>
      </c>
    </row>
    <row r="583" spans="1:2" x14ac:dyDescent="0.25">
      <c r="A583" t="s">
        <v>1159</v>
      </c>
    </row>
    <row r="585" spans="1:2" ht="15.75" x14ac:dyDescent="0.25">
      <c r="A585" s="79" t="s">
        <v>789</v>
      </c>
      <c r="B585" s="79" t="s">
        <v>808</v>
      </c>
    </row>
    <row r="586" spans="1:2" x14ac:dyDescent="0.25">
      <c r="A586" t="s">
        <v>791</v>
      </c>
      <c r="B586" t="s">
        <v>960</v>
      </c>
    </row>
    <row r="587" spans="1:2" x14ac:dyDescent="0.25">
      <c r="A587" t="s">
        <v>793</v>
      </c>
      <c r="B587" t="s">
        <v>794</v>
      </c>
    </row>
    <row r="588" spans="1:2" x14ac:dyDescent="0.25">
      <c r="A588" t="s">
        <v>795</v>
      </c>
      <c r="B588" t="s">
        <v>809</v>
      </c>
    </row>
    <row r="589" spans="1:2" x14ac:dyDescent="0.25">
      <c r="A589" t="s">
        <v>796</v>
      </c>
      <c r="B589" t="s">
        <v>797</v>
      </c>
    </row>
    <row r="590" spans="1:2" x14ac:dyDescent="0.25">
      <c r="A590" t="s">
        <v>110</v>
      </c>
      <c r="B590" t="s">
        <v>798</v>
      </c>
    </row>
    <row r="591" spans="1:2" ht="15.75" x14ac:dyDescent="0.25">
      <c r="A591" s="79" t="s">
        <v>799</v>
      </c>
    </row>
    <row r="592" spans="1:2" x14ac:dyDescent="0.25">
      <c r="A592" t="s">
        <v>1159</v>
      </c>
    </row>
    <row r="594" spans="1:2" ht="15.75" x14ac:dyDescent="0.25">
      <c r="A594" s="79" t="s">
        <v>789</v>
      </c>
      <c r="B594" s="79" t="s">
        <v>961</v>
      </c>
    </row>
    <row r="595" spans="1:2" x14ac:dyDescent="0.25">
      <c r="A595" t="s">
        <v>791</v>
      </c>
      <c r="B595" t="s">
        <v>962</v>
      </c>
    </row>
    <row r="596" spans="1:2" x14ac:dyDescent="0.25">
      <c r="A596" t="s">
        <v>793</v>
      </c>
      <c r="B596" t="s">
        <v>890</v>
      </c>
    </row>
    <row r="597" spans="1:2" x14ac:dyDescent="0.25">
      <c r="A597" t="s">
        <v>795</v>
      </c>
      <c r="B597" t="s">
        <v>963</v>
      </c>
    </row>
    <row r="598" spans="1:2" x14ac:dyDescent="0.25">
      <c r="A598" t="s">
        <v>796</v>
      </c>
      <c r="B598" t="s">
        <v>797</v>
      </c>
    </row>
    <row r="599" spans="1:2" x14ac:dyDescent="0.25">
      <c r="A599" t="s">
        <v>110</v>
      </c>
      <c r="B599" t="s">
        <v>798</v>
      </c>
    </row>
    <row r="600" spans="1:2" ht="15.75" x14ac:dyDescent="0.25">
      <c r="A600" s="79" t="s">
        <v>799</v>
      </c>
    </row>
    <row r="601" spans="1:2" x14ac:dyDescent="0.25">
      <c r="A601" t="s">
        <v>1159</v>
      </c>
    </row>
    <row r="603" spans="1:2" ht="15.75" x14ac:dyDescent="0.25">
      <c r="A603" s="79" t="s">
        <v>789</v>
      </c>
      <c r="B603" s="79" t="s">
        <v>969</v>
      </c>
    </row>
    <row r="604" spans="1:2" x14ac:dyDescent="0.25">
      <c r="A604" t="s">
        <v>791</v>
      </c>
      <c r="B604" t="s">
        <v>970</v>
      </c>
    </row>
    <row r="605" spans="1:2" x14ac:dyDescent="0.25">
      <c r="A605" t="s">
        <v>793</v>
      </c>
      <c r="B605" t="s">
        <v>794</v>
      </c>
    </row>
    <row r="606" spans="1:2" x14ac:dyDescent="0.25">
      <c r="A606" t="s">
        <v>795</v>
      </c>
      <c r="B606" t="s">
        <v>971</v>
      </c>
    </row>
    <row r="607" spans="1:2" x14ac:dyDescent="0.25">
      <c r="A607" t="s">
        <v>796</v>
      </c>
      <c r="B607" t="s">
        <v>797</v>
      </c>
    </row>
    <row r="608" spans="1:2" x14ac:dyDescent="0.25">
      <c r="A608" t="s">
        <v>110</v>
      </c>
      <c r="B608" t="s">
        <v>798</v>
      </c>
    </row>
    <row r="609" spans="1:2" ht="15.75" x14ac:dyDescent="0.25">
      <c r="A609" s="79" t="s">
        <v>799</v>
      </c>
    </row>
    <row r="610" spans="1:2" x14ac:dyDescent="0.25">
      <c r="A610" t="s">
        <v>1159</v>
      </c>
    </row>
    <row r="612" spans="1:2" ht="15.75" x14ac:dyDescent="0.25">
      <c r="A612" s="79" t="s">
        <v>789</v>
      </c>
      <c r="B612" s="79" t="s">
        <v>972</v>
      </c>
    </row>
    <row r="613" spans="1:2" x14ac:dyDescent="0.25">
      <c r="A613" t="s">
        <v>791</v>
      </c>
      <c r="B613" t="s">
        <v>973</v>
      </c>
    </row>
    <row r="614" spans="1:2" x14ac:dyDescent="0.25">
      <c r="A614" t="s">
        <v>793</v>
      </c>
      <c r="B614" t="s">
        <v>794</v>
      </c>
    </row>
    <row r="615" spans="1:2" x14ac:dyDescent="0.25">
      <c r="A615" t="s">
        <v>795</v>
      </c>
      <c r="B615" t="s">
        <v>974</v>
      </c>
    </row>
    <row r="616" spans="1:2" x14ac:dyDescent="0.25">
      <c r="A616" t="s">
        <v>796</v>
      </c>
      <c r="B616" t="s">
        <v>797</v>
      </c>
    </row>
    <row r="617" spans="1:2" x14ac:dyDescent="0.25">
      <c r="A617" t="s">
        <v>110</v>
      </c>
      <c r="B617" t="s">
        <v>798</v>
      </c>
    </row>
    <row r="618" spans="1:2" ht="15.75" x14ac:dyDescent="0.25">
      <c r="A618" s="79" t="s">
        <v>799</v>
      </c>
    </row>
    <row r="619" spans="1:2" x14ac:dyDescent="0.25">
      <c r="A619" t="s">
        <v>1159</v>
      </c>
    </row>
    <row r="621" spans="1:2" ht="15.75" x14ac:dyDescent="0.25">
      <c r="A621" s="79" t="s">
        <v>789</v>
      </c>
      <c r="B621" s="79" t="s">
        <v>975</v>
      </c>
    </row>
    <row r="622" spans="1:2" x14ac:dyDescent="0.25">
      <c r="A622" t="s">
        <v>791</v>
      </c>
      <c r="B622" t="s">
        <v>976</v>
      </c>
    </row>
    <row r="623" spans="1:2" x14ac:dyDescent="0.25">
      <c r="A623" t="s">
        <v>793</v>
      </c>
      <c r="B623" t="s">
        <v>794</v>
      </c>
    </row>
    <row r="624" spans="1:2" x14ac:dyDescent="0.25">
      <c r="A624" t="s">
        <v>795</v>
      </c>
      <c r="B624" t="s">
        <v>823</v>
      </c>
    </row>
    <row r="625" spans="1:2" x14ac:dyDescent="0.25">
      <c r="A625" t="s">
        <v>796</v>
      </c>
      <c r="B625" t="s">
        <v>797</v>
      </c>
    </row>
    <row r="626" spans="1:2" x14ac:dyDescent="0.25">
      <c r="A626" t="s">
        <v>110</v>
      </c>
      <c r="B626" t="s">
        <v>798</v>
      </c>
    </row>
    <row r="627" spans="1:2" ht="15.75" x14ac:dyDescent="0.25">
      <c r="A627" s="79" t="s">
        <v>799</v>
      </c>
    </row>
    <row r="628" spans="1:2" x14ac:dyDescent="0.25">
      <c r="A628" t="s">
        <v>1159</v>
      </c>
    </row>
    <row r="630" spans="1:2" ht="15.75" x14ac:dyDescent="0.25">
      <c r="A630" s="79" t="s">
        <v>789</v>
      </c>
      <c r="B630" s="79" t="s">
        <v>1160</v>
      </c>
    </row>
    <row r="631" spans="1:2" x14ac:dyDescent="0.25">
      <c r="A631" t="s">
        <v>791</v>
      </c>
      <c r="B631" t="s">
        <v>1161</v>
      </c>
    </row>
    <row r="632" spans="1:2" x14ac:dyDescent="0.25">
      <c r="A632" t="s">
        <v>793</v>
      </c>
      <c r="B632" t="s">
        <v>794</v>
      </c>
    </row>
    <row r="633" spans="1:2" x14ac:dyDescent="0.25">
      <c r="A633" t="s">
        <v>795</v>
      </c>
      <c r="B633" t="s">
        <v>1162</v>
      </c>
    </row>
    <row r="634" spans="1:2" x14ac:dyDescent="0.25">
      <c r="A634" t="s">
        <v>796</v>
      </c>
      <c r="B634" t="s">
        <v>797</v>
      </c>
    </row>
    <row r="635" spans="1:2" x14ac:dyDescent="0.25">
      <c r="A635" t="s">
        <v>110</v>
      </c>
      <c r="B635" t="s">
        <v>798</v>
      </c>
    </row>
    <row r="636" spans="1:2" ht="15.75" x14ac:dyDescent="0.25">
      <c r="A636" s="79" t="s">
        <v>799</v>
      </c>
    </row>
    <row r="637" spans="1:2" x14ac:dyDescent="0.25">
      <c r="A637" t="s">
        <v>1159</v>
      </c>
    </row>
    <row r="639" spans="1:2" ht="15.75" x14ac:dyDescent="0.25">
      <c r="A639" s="79" t="s">
        <v>789</v>
      </c>
      <c r="B639" s="79" t="s">
        <v>981</v>
      </c>
    </row>
    <row r="640" spans="1:2" x14ac:dyDescent="0.25">
      <c r="A640" t="s">
        <v>791</v>
      </c>
      <c r="B640" t="s">
        <v>982</v>
      </c>
    </row>
    <row r="641" spans="1:2" x14ac:dyDescent="0.25">
      <c r="A641" t="s">
        <v>793</v>
      </c>
      <c r="B641" t="s">
        <v>890</v>
      </c>
    </row>
    <row r="642" spans="1:2" x14ac:dyDescent="0.25">
      <c r="A642" t="s">
        <v>795</v>
      </c>
      <c r="B642" t="s">
        <v>983</v>
      </c>
    </row>
    <row r="643" spans="1:2" x14ac:dyDescent="0.25">
      <c r="A643" t="s">
        <v>796</v>
      </c>
      <c r="B643" t="s">
        <v>797</v>
      </c>
    </row>
    <row r="644" spans="1:2" x14ac:dyDescent="0.25">
      <c r="A644" t="s">
        <v>110</v>
      </c>
      <c r="B644" t="s">
        <v>798</v>
      </c>
    </row>
    <row r="645" spans="1:2" ht="15.75" x14ac:dyDescent="0.25">
      <c r="A645" s="79" t="s">
        <v>799</v>
      </c>
    </row>
    <row r="646" spans="1:2" x14ac:dyDescent="0.25">
      <c r="A646" t="s">
        <v>1159</v>
      </c>
    </row>
    <row r="648" spans="1:2" ht="15.75" x14ac:dyDescent="0.25">
      <c r="A648" s="79" t="s">
        <v>789</v>
      </c>
      <c r="B648" s="79" t="s">
        <v>977</v>
      </c>
    </row>
    <row r="649" spans="1:2" x14ac:dyDescent="0.25">
      <c r="A649" t="s">
        <v>791</v>
      </c>
      <c r="B649" t="s">
        <v>984</v>
      </c>
    </row>
    <row r="650" spans="1:2" x14ac:dyDescent="0.25">
      <c r="A650" t="s">
        <v>793</v>
      </c>
      <c r="B650" t="s">
        <v>794</v>
      </c>
    </row>
    <row r="651" spans="1:2" x14ac:dyDescent="0.25">
      <c r="A651" t="s">
        <v>795</v>
      </c>
      <c r="B651" t="s">
        <v>978</v>
      </c>
    </row>
    <row r="652" spans="1:2" x14ac:dyDescent="0.25">
      <c r="A652" t="s">
        <v>796</v>
      </c>
      <c r="B652" t="s">
        <v>797</v>
      </c>
    </row>
    <row r="653" spans="1:2" x14ac:dyDescent="0.25">
      <c r="A653" t="s">
        <v>110</v>
      </c>
      <c r="B653" t="s">
        <v>798</v>
      </c>
    </row>
    <row r="654" spans="1:2" ht="15.75" x14ac:dyDescent="0.25">
      <c r="A654" s="79" t="s">
        <v>799</v>
      </c>
    </row>
    <row r="655" spans="1:2" x14ac:dyDescent="0.25">
      <c r="A655" t="s">
        <v>1159</v>
      </c>
    </row>
    <row r="657" spans="1:2" ht="15.75" x14ac:dyDescent="0.25">
      <c r="A657" s="79" t="s">
        <v>789</v>
      </c>
      <c r="B657" s="79" t="s">
        <v>1163</v>
      </c>
    </row>
    <row r="658" spans="1:2" x14ac:dyDescent="0.25">
      <c r="A658" t="s">
        <v>791</v>
      </c>
      <c r="B658" t="s">
        <v>1164</v>
      </c>
    </row>
    <row r="659" spans="1:2" x14ac:dyDescent="0.25">
      <c r="A659" t="s">
        <v>793</v>
      </c>
      <c r="B659" t="s">
        <v>794</v>
      </c>
    </row>
    <row r="660" spans="1:2" x14ac:dyDescent="0.25">
      <c r="A660" t="s">
        <v>795</v>
      </c>
      <c r="B660" t="s">
        <v>978</v>
      </c>
    </row>
    <row r="661" spans="1:2" x14ac:dyDescent="0.25">
      <c r="A661" t="s">
        <v>796</v>
      </c>
      <c r="B661" t="s">
        <v>797</v>
      </c>
    </row>
    <row r="662" spans="1:2" x14ac:dyDescent="0.25">
      <c r="A662" t="s">
        <v>110</v>
      </c>
      <c r="B662" t="s">
        <v>798</v>
      </c>
    </row>
    <row r="663" spans="1:2" ht="15.75" x14ac:dyDescent="0.25">
      <c r="A663" s="79" t="s">
        <v>799</v>
      </c>
    </row>
    <row r="664" spans="1:2" x14ac:dyDescent="0.25">
      <c r="A664" t="s">
        <v>1159</v>
      </c>
    </row>
    <row r="666" spans="1:2" ht="15.75" x14ac:dyDescent="0.25">
      <c r="A666" s="79" t="s">
        <v>789</v>
      </c>
      <c r="B666" s="79" t="s">
        <v>985</v>
      </c>
    </row>
    <row r="667" spans="1:2" x14ac:dyDescent="0.25">
      <c r="A667" t="s">
        <v>791</v>
      </c>
      <c r="B667" t="s">
        <v>986</v>
      </c>
    </row>
    <row r="668" spans="1:2" x14ac:dyDescent="0.25">
      <c r="A668" t="s">
        <v>793</v>
      </c>
      <c r="B668" t="s">
        <v>794</v>
      </c>
    </row>
    <row r="669" spans="1:2" x14ac:dyDescent="0.25">
      <c r="A669" t="s">
        <v>795</v>
      </c>
      <c r="B669" t="s">
        <v>987</v>
      </c>
    </row>
    <row r="670" spans="1:2" x14ac:dyDescent="0.25">
      <c r="A670" t="s">
        <v>796</v>
      </c>
      <c r="B670" t="s">
        <v>797</v>
      </c>
    </row>
    <row r="671" spans="1:2" x14ac:dyDescent="0.25">
      <c r="A671" t="s">
        <v>110</v>
      </c>
      <c r="B671" t="s">
        <v>834</v>
      </c>
    </row>
    <row r="672" spans="1:2" ht="15.75" x14ac:dyDescent="0.25">
      <c r="A672" s="79" t="s">
        <v>799</v>
      </c>
    </row>
    <row r="673" spans="1:2" x14ac:dyDescent="0.25">
      <c r="A673" t="s">
        <v>1159</v>
      </c>
    </row>
    <row r="675" spans="1:2" ht="15.75" x14ac:dyDescent="0.25">
      <c r="A675" s="79" t="s">
        <v>789</v>
      </c>
      <c r="B675" s="79" t="s">
        <v>989</v>
      </c>
    </row>
    <row r="676" spans="1:2" x14ac:dyDescent="0.25">
      <c r="A676" t="s">
        <v>791</v>
      </c>
      <c r="B676" t="s">
        <v>990</v>
      </c>
    </row>
    <row r="677" spans="1:2" x14ac:dyDescent="0.25">
      <c r="A677" t="s">
        <v>793</v>
      </c>
      <c r="B677" t="s">
        <v>794</v>
      </c>
    </row>
    <row r="678" spans="1:2" x14ac:dyDescent="0.25">
      <c r="A678" t="s">
        <v>795</v>
      </c>
      <c r="B678" t="s">
        <v>991</v>
      </c>
    </row>
    <row r="679" spans="1:2" x14ac:dyDescent="0.25">
      <c r="A679" t="s">
        <v>796</v>
      </c>
      <c r="B679" t="s">
        <v>797</v>
      </c>
    </row>
    <row r="680" spans="1:2" x14ac:dyDescent="0.25">
      <c r="A680" t="s">
        <v>110</v>
      </c>
      <c r="B680" t="s">
        <v>834</v>
      </c>
    </row>
    <row r="681" spans="1:2" ht="15.75" x14ac:dyDescent="0.25">
      <c r="A681" s="79" t="s">
        <v>799</v>
      </c>
    </row>
    <row r="682" spans="1:2" x14ac:dyDescent="0.25">
      <c r="A682" t="s">
        <v>1159</v>
      </c>
    </row>
    <row r="684" spans="1:2" ht="15.75" x14ac:dyDescent="0.25">
      <c r="A684" s="79" t="s">
        <v>789</v>
      </c>
      <c r="B684" s="79" t="s">
        <v>992</v>
      </c>
    </row>
    <row r="685" spans="1:2" x14ac:dyDescent="0.25">
      <c r="A685" t="s">
        <v>791</v>
      </c>
      <c r="B685" t="s">
        <v>993</v>
      </c>
    </row>
    <row r="686" spans="1:2" x14ac:dyDescent="0.25">
      <c r="A686" t="s">
        <v>793</v>
      </c>
      <c r="B686" t="s">
        <v>794</v>
      </c>
    </row>
    <row r="687" spans="1:2" x14ac:dyDescent="0.25">
      <c r="A687" t="s">
        <v>795</v>
      </c>
      <c r="B687" t="s">
        <v>994</v>
      </c>
    </row>
    <row r="688" spans="1:2" x14ac:dyDescent="0.25">
      <c r="A688" t="s">
        <v>796</v>
      </c>
      <c r="B688" t="s">
        <v>797</v>
      </c>
    </row>
    <row r="689" spans="1:2" x14ac:dyDescent="0.25">
      <c r="A689" t="s">
        <v>110</v>
      </c>
      <c r="B689" t="s">
        <v>834</v>
      </c>
    </row>
    <row r="690" spans="1:2" ht="15.75" x14ac:dyDescent="0.25">
      <c r="A690" s="79" t="s">
        <v>799</v>
      </c>
    </row>
    <row r="691" spans="1:2" x14ac:dyDescent="0.25">
      <c r="A691" t="s">
        <v>1159</v>
      </c>
    </row>
    <row r="693" spans="1:2" ht="15.75" x14ac:dyDescent="0.25">
      <c r="A693" s="79" t="s">
        <v>789</v>
      </c>
      <c r="B693" s="79" t="s">
        <v>1002</v>
      </c>
    </row>
    <row r="694" spans="1:2" x14ac:dyDescent="0.25">
      <c r="A694" t="s">
        <v>791</v>
      </c>
      <c r="B694" t="s">
        <v>1003</v>
      </c>
    </row>
    <row r="695" spans="1:2" x14ac:dyDescent="0.25">
      <c r="A695" t="s">
        <v>793</v>
      </c>
      <c r="B695" t="s">
        <v>890</v>
      </c>
    </row>
    <row r="696" spans="1:2" x14ac:dyDescent="0.25">
      <c r="A696" t="s">
        <v>795</v>
      </c>
      <c r="B696" t="s">
        <v>1004</v>
      </c>
    </row>
    <row r="697" spans="1:2" x14ac:dyDescent="0.25">
      <c r="A697" t="s">
        <v>796</v>
      </c>
      <c r="B697" t="s">
        <v>797</v>
      </c>
    </row>
    <row r="698" spans="1:2" x14ac:dyDescent="0.25">
      <c r="A698" t="s">
        <v>110</v>
      </c>
      <c r="B698" t="s">
        <v>798</v>
      </c>
    </row>
    <row r="699" spans="1:2" ht="15.75" x14ac:dyDescent="0.25">
      <c r="A699" s="79" t="s">
        <v>799</v>
      </c>
    </row>
    <row r="700" spans="1:2" x14ac:dyDescent="0.25">
      <c r="A700" t="s">
        <v>1159</v>
      </c>
    </row>
    <row r="702" spans="1:2" ht="15.75" x14ac:dyDescent="0.25">
      <c r="A702" s="79" t="s">
        <v>789</v>
      </c>
      <c r="B702" s="79" t="s">
        <v>918</v>
      </c>
    </row>
    <row r="703" spans="1:2" x14ac:dyDescent="0.25">
      <c r="A703" t="s">
        <v>791</v>
      </c>
      <c r="B703" t="s">
        <v>1005</v>
      </c>
    </row>
    <row r="704" spans="1:2" x14ac:dyDescent="0.25">
      <c r="A704" t="s">
        <v>793</v>
      </c>
      <c r="B704" t="s">
        <v>794</v>
      </c>
    </row>
    <row r="705" spans="1:2" x14ac:dyDescent="0.25">
      <c r="A705" t="s">
        <v>795</v>
      </c>
      <c r="B705" t="s">
        <v>918</v>
      </c>
    </row>
    <row r="706" spans="1:2" x14ac:dyDescent="0.25">
      <c r="A706" t="s">
        <v>796</v>
      </c>
      <c r="B706" t="s">
        <v>797</v>
      </c>
    </row>
    <row r="707" spans="1:2" x14ac:dyDescent="0.25">
      <c r="A707" t="s">
        <v>110</v>
      </c>
      <c r="B707" t="s">
        <v>798</v>
      </c>
    </row>
    <row r="708" spans="1:2" ht="15.75" x14ac:dyDescent="0.25">
      <c r="A708" s="79" t="s">
        <v>799</v>
      </c>
    </row>
    <row r="709" spans="1:2" x14ac:dyDescent="0.25">
      <c r="A709" t="s">
        <v>1159</v>
      </c>
    </row>
    <row r="711" spans="1:2" ht="15.75" x14ac:dyDescent="0.25">
      <c r="A711" s="79" t="s">
        <v>789</v>
      </c>
      <c r="B711" s="79" t="s">
        <v>1006</v>
      </c>
    </row>
    <row r="712" spans="1:2" x14ac:dyDescent="0.25">
      <c r="A712" t="s">
        <v>791</v>
      </c>
      <c r="B712" t="s">
        <v>1007</v>
      </c>
    </row>
    <row r="713" spans="1:2" x14ac:dyDescent="0.25">
      <c r="A713" t="s">
        <v>793</v>
      </c>
      <c r="B713" t="s">
        <v>890</v>
      </c>
    </row>
    <row r="714" spans="1:2" x14ac:dyDescent="0.25">
      <c r="A714" t="s">
        <v>795</v>
      </c>
      <c r="B714" t="s">
        <v>918</v>
      </c>
    </row>
    <row r="715" spans="1:2" x14ac:dyDescent="0.25">
      <c r="A715" t="s">
        <v>796</v>
      </c>
      <c r="B715" t="s">
        <v>797</v>
      </c>
    </row>
    <row r="716" spans="1:2" x14ac:dyDescent="0.25">
      <c r="A716" t="s">
        <v>110</v>
      </c>
      <c r="B716" t="s">
        <v>798</v>
      </c>
    </row>
    <row r="717" spans="1:2" ht="15.75" x14ac:dyDescent="0.25">
      <c r="A717" s="79" t="s">
        <v>799</v>
      </c>
    </row>
    <row r="718" spans="1:2" x14ac:dyDescent="0.25">
      <c r="A718" t="s">
        <v>1159</v>
      </c>
    </row>
    <row r="720" spans="1:2" ht="15.75" x14ac:dyDescent="0.25">
      <c r="A720" s="79" t="s">
        <v>789</v>
      </c>
      <c r="B720" s="79" t="s">
        <v>810</v>
      </c>
    </row>
    <row r="721" spans="1:2" x14ac:dyDescent="0.25">
      <c r="A721" t="s">
        <v>791</v>
      </c>
      <c r="B721" t="s">
        <v>1008</v>
      </c>
    </row>
    <row r="722" spans="1:2" x14ac:dyDescent="0.25">
      <c r="A722" t="s">
        <v>793</v>
      </c>
      <c r="B722" t="s">
        <v>890</v>
      </c>
    </row>
    <row r="723" spans="1:2" x14ac:dyDescent="0.25">
      <c r="A723" t="s">
        <v>795</v>
      </c>
      <c r="B723" t="s">
        <v>812</v>
      </c>
    </row>
    <row r="724" spans="1:2" x14ac:dyDescent="0.25">
      <c r="A724" t="s">
        <v>796</v>
      </c>
      <c r="B724" t="s">
        <v>797</v>
      </c>
    </row>
    <row r="725" spans="1:2" x14ac:dyDescent="0.25">
      <c r="A725" t="s">
        <v>110</v>
      </c>
      <c r="B725" t="s">
        <v>798</v>
      </c>
    </row>
    <row r="726" spans="1:2" ht="15.75" x14ac:dyDescent="0.25">
      <c r="A726" s="79" t="s">
        <v>799</v>
      </c>
    </row>
    <row r="727" spans="1:2" x14ac:dyDescent="0.25">
      <c r="A727" t="s">
        <v>1159</v>
      </c>
    </row>
    <row r="729" spans="1:2" ht="15.75" x14ac:dyDescent="0.25">
      <c r="A729" s="79" t="s">
        <v>789</v>
      </c>
      <c r="B729" s="79" t="s">
        <v>1011</v>
      </c>
    </row>
    <row r="730" spans="1:2" x14ac:dyDescent="0.25">
      <c r="A730" t="s">
        <v>791</v>
      </c>
      <c r="B730" t="s">
        <v>1012</v>
      </c>
    </row>
    <row r="731" spans="1:2" x14ac:dyDescent="0.25">
      <c r="A731" t="s">
        <v>793</v>
      </c>
      <c r="B731" t="s">
        <v>890</v>
      </c>
    </row>
    <row r="732" spans="1:2" x14ac:dyDescent="0.25">
      <c r="A732" t="s">
        <v>795</v>
      </c>
      <c r="B732" t="s">
        <v>846</v>
      </c>
    </row>
    <row r="733" spans="1:2" x14ac:dyDescent="0.25">
      <c r="A733" t="s">
        <v>796</v>
      </c>
      <c r="B733" t="s">
        <v>797</v>
      </c>
    </row>
    <row r="734" spans="1:2" x14ac:dyDescent="0.25">
      <c r="A734" t="s">
        <v>110</v>
      </c>
      <c r="B734" t="s">
        <v>847</v>
      </c>
    </row>
    <row r="735" spans="1:2" ht="15.75" x14ac:dyDescent="0.25">
      <c r="A735" s="79" t="s">
        <v>799</v>
      </c>
    </row>
    <row r="736" spans="1:2" x14ac:dyDescent="0.25">
      <c r="A736" t="s">
        <v>1159</v>
      </c>
    </row>
    <row r="738" spans="1:2" ht="15.75" x14ac:dyDescent="0.25">
      <c r="A738" s="79" t="s">
        <v>789</v>
      </c>
      <c r="B738" s="79" t="s">
        <v>887</v>
      </c>
    </row>
    <row r="739" spans="1:2" x14ac:dyDescent="0.25">
      <c r="A739" t="s">
        <v>791</v>
      </c>
      <c r="B739" t="s">
        <v>1013</v>
      </c>
    </row>
    <row r="740" spans="1:2" x14ac:dyDescent="0.25">
      <c r="A740" t="s">
        <v>793</v>
      </c>
      <c r="B740" t="s">
        <v>794</v>
      </c>
    </row>
    <row r="741" spans="1:2" x14ac:dyDescent="0.25">
      <c r="A741" t="s">
        <v>795</v>
      </c>
      <c r="B741" t="s">
        <v>886</v>
      </c>
    </row>
    <row r="742" spans="1:2" x14ac:dyDescent="0.25">
      <c r="A742" t="s">
        <v>796</v>
      </c>
      <c r="B742" t="s">
        <v>797</v>
      </c>
    </row>
    <row r="743" spans="1:2" x14ac:dyDescent="0.25">
      <c r="A743" t="s">
        <v>110</v>
      </c>
      <c r="B743" t="s">
        <v>843</v>
      </c>
    </row>
    <row r="744" spans="1:2" ht="15.75" x14ac:dyDescent="0.25">
      <c r="A744" s="79" t="s">
        <v>799</v>
      </c>
    </row>
    <row r="745" spans="1:2" x14ac:dyDescent="0.25">
      <c r="A745" t="s">
        <v>1159</v>
      </c>
    </row>
    <row r="747" spans="1:2" ht="15.75" x14ac:dyDescent="0.25">
      <c r="A747" s="79" t="s">
        <v>789</v>
      </c>
      <c r="B747" s="79" t="s">
        <v>919</v>
      </c>
    </row>
    <row r="748" spans="1:2" x14ac:dyDescent="0.25">
      <c r="A748" t="s">
        <v>791</v>
      </c>
      <c r="B748" t="s">
        <v>1020</v>
      </c>
    </row>
    <row r="749" spans="1:2" x14ac:dyDescent="0.25">
      <c r="A749" t="s">
        <v>793</v>
      </c>
      <c r="B749" t="s">
        <v>794</v>
      </c>
    </row>
    <row r="750" spans="1:2" x14ac:dyDescent="0.25">
      <c r="A750" t="s">
        <v>795</v>
      </c>
      <c r="B750" t="s">
        <v>919</v>
      </c>
    </row>
    <row r="751" spans="1:2" x14ac:dyDescent="0.25">
      <c r="A751" t="s">
        <v>796</v>
      </c>
      <c r="B751" t="s">
        <v>797</v>
      </c>
    </row>
    <row r="752" spans="1:2" x14ac:dyDescent="0.25">
      <c r="A752" t="s">
        <v>110</v>
      </c>
      <c r="B752" t="s">
        <v>798</v>
      </c>
    </row>
    <row r="753" spans="1:2" ht="15.75" x14ac:dyDescent="0.25">
      <c r="A753" s="79" t="s">
        <v>799</v>
      </c>
    </row>
    <row r="754" spans="1:2" x14ac:dyDescent="0.25">
      <c r="A754" t="s">
        <v>1159</v>
      </c>
    </row>
    <row r="756" spans="1:2" ht="15.75" x14ac:dyDescent="0.25">
      <c r="A756" s="79" t="s">
        <v>789</v>
      </c>
      <c r="B756" s="79" t="s">
        <v>1024</v>
      </c>
    </row>
    <row r="757" spans="1:2" x14ac:dyDescent="0.25">
      <c r="A757" t="s">
        <v>791</v>
      </c>
      <c r="B757" t="s">
        <v>1025</v>
      </c>
    </row>
    <row r="758" spans="1:2" x14ac:dyDescent="0.25">
      <c r="A758" t="s">
        <v>793</v>
      </c>
      <c r="B758" t="s">
        <v>811</v>
      </c>
    </row>
    <row r="759" spans="1:2" x14ac:dyDescent="0.25">
      <c r="A759" t="s">
        <v>795</v>
      </c>
      <c r="B759" t="s">
        <v>1024</v>
      </c>
    </row>
    <row r="760" spans="1:2" x14ac:dyDescent="0.25">
      <c r="A760" t="s">
        <v>796</v>
      </c>
      <c r="B760" t="s">
        <v>797</v>
      </c>
    </row>
    <row r="761" spans="1:2" x14ac:dyDescent="0.25">
      <c r="A761" t="s">
        <v>110</v>
      </c>
      <c r="B761" t="s">
        <v>847</v>
      </c>
    </row>
    <row r="762" spans="1:2" ht="15.75" x14ac:dyDescent="0.25">
      <c r="A762" s="79" t="s">
        <v>799</v>
      </c>
    </row>
    <row r="763" spans="1:2" x14ac:dyDescent="0.25">
      <c r="A763" t="s">
        <v>1159</v>
      </c>
    </row>
    <row r="765" spans="1:2" ht="15.75" x14ac:dyDescent="0.25">
      <c r="A765" s="79" t="s">
        <v>789</v>
      </c>
      <c r="B765" s="79" t="s">
        <v>820</v>
      </c>
    </row>
    <row r="766" spans="1:2" x14ac:dyDescent="0.25">
      <c r="A766" t="s">
        <v>791</v>
      </c>
      <c r="B766" t="s">
        <v>1026</v>
      </c>
    </row>
    <row r="767" spans="1:2" x14ac:dyDescent="0.25">
      <c r="A767" t="s">
        <v>793</v>
      </c>
      <c r="B767" t="s">
        <v>794</v>
      </c>
    </row>
    <row r="768" spans="1:2" x14ac:dyDescent="0.25">
      <c r="A768" t="s">
        <v>795</v>
      </c>
      <c r="B768" t="s">
        <v>821</v>
      </c>
    </row>
    <row r="769" spans="1:2" x14ac:dyDescent="0.25">
      <c r="A769" t="s">
        <v>796</v>
      </c>
      <c r="B769" t="s">
        <v>797</v>
      </c>
    </row>
    <row r="770" spans="1:2" x14ac:dyDescent="0.25">
      <c r="A770" t="s">
        <v>110</v>
      </c>
      <c r="B770" t="s">
        <v>798</v>
      </c>
    </row>
    <row r="771" spans="1:2" ht="15.75" x14ac:dyDescent="0.25">
      <c r="A771" s="79" t="s">
        <v>799</v>
      </c>
    </row>
    <row r="772" spans="1:2" x14ac:dyDescent="0.25">
      <c r="A772" t="s">
        <v>1159</v>
      </c>
    </row>
    <row r="774" spans="1:2" ht="15.75" x14ac:dyDescent="0.25">
      <c r="A774" s="79" t="s">
        <v>789</v>
      </c>
      <c r="B774" s="79" t="s">
        <v>979</v>
      </c>
    </row>
    <row r="775" spans="1:2" x14ac:dyDescent="0.25">
      <c r="A775" t="s">
        <v>791</v>
      </c>
      <c r="B775" t="s">
        <v>1027</v>
      </c>
    </row>
    <row r="776" spans="1:2" x14ac:dyDescent="0.25">
      <c r="A776" t="s">
        <v>793</v>
      </c>
      <c r="B776" t="s">
        <v>794</v>
      </c>
    </row>
    <row r="777" spans="1:2" x14ac:dyDescent="0.25">
      <c r="A777" t="s">
        <v>795</v>
      </c>
      <c r="B777" t="s">
        <v>980</v>
      </c>
    </row>
    <row r="778" spans="1:2" x14ac:dyDescent="0.25">
      <c r="A778" t="s">
        <v>796</v>
      </c>
      <c r="B778" t="s">
        <v>797</v>
      </c>
    </row>
    <row r="779" spans="1:2" x14ac:dyDescent="0.25">
      <c r="A779" t="s">
        <v>110</v>
      </c>
      <c r="B779" t="s">
        <v>798</v>
      </c>
    </row>
    <row r="780" spans="1:2" ht="15.75" x14ac:dyDescent="0.25">
      <c r="A780" s="79" t="s">
        <v>799</v>
      </c>
    </row>
    <row r="781" spans="1:2" x14ac:dyDescent="0.25">
      <c r="A781" t="s">
        <v>1159</v>
      </c>
    </row>
    <row r="783" spans="1:2" ht="15.75" x14ac:dyDescent="0.25">
      <c r="A783" s="79" t="s">
        <v>789</v>
      </c>
      <c r="B783" s="79" t="s">
        <v>822</v>
      </c>
    </row>
    <row r="784" spans="1:2" x14ac:dyDescent="0.25">
      <c r="A784" t="s">
        <v>791</v>
      </c>
      <c r="B784" t="s">
        <v>1029</v>
      </c>
    </row>
    <row r="785" spans="1:2" x14ac:dyDescent="0.25">
      <c r="A785" t="s">
        <v>793</v>
      </c>
      <c r="B785" t="s">
        <v>794</v>
      </c>
    </row>
    <row r="786" spans="1:2" x14ac:dyDescent="0.25">
      <c r="A786" t="s">
        <v>795</v>
      </c>
      <c r="B786" t="s">
        <v>823</v>
      </c>
    </row>
    <row r="787" spans="1:2" x14ac:dyDescent="0.25">
      <c r="A787" t="s">
        <v>796</v>
      </c>
      <c r="B787" t="s">
        <v>797</v>
      </c>
    </row>
    <row r="788" spans="1:2" x14ac:dyDescent="0.25">
      <c r="A788" t="s">
        <v>110</v>
      </c>
      <c r="B788" t="s">
        <v>798</v>
      </c>
    </row>
    <row r="789" spans="1:2" ht="15.75" x14ac:dyDescent="0.25">
      <c r="A789" s="79" t="s">
        <v>799</v>
      </c>
    </row>
    <row r="790" spans="1:2" x14ac:dyDescent="0.25">
      <c r="A790" t="s">
        <v>1159</v>
      </c>
    </row>
    <row r="792" spans="1:2" ht="15.75" x14ac:dyDescent="0.25">
      <c r="A792" s="79" t="s">
        <v>789</v>
      </c>
      <c r="B792" s="79" t="s">
        <v>1165</v>
      </c>
    </row>
    <row r="793" spans="1:2" x14ac:dyDescent="0.25">
      <c r="A793" t="s">
        <v>791</v>
      </c>
      <c r="B793" t="s">
        <v>1166</v>
      </c>
    </row>
    <row r="794" spans="1:2" x14ac:dyDescent="0.25">
      <c r="A794" t="s">
        <v>793</v>
      </c>
      <c r="B794" t="s">
        <v>794</v>
      </c>
    </row>
    <row r="795" spans="1:2" x14ac:dyDescent="0.25">
      <c r="A795" t="s">
        <v>795</v>
      </c>
      <c r="B795" t="s">
        <v>978</v>
      </c>
    </row>
    <row r="796" spans="1:2" x14ac:dyDescent="0.25">
      <c r="A796" t="s">
        <v>796</v>
      </c>
      <c r="B796" t="s">
        <v>797</v>
      </c>
    </row>
    <row r="797" spans="1:2" x14ac:dyDescent="0.25">
      <c r="A797" t="s">
        <v>110</v>
      </c>
      <c r="B797" t="s">
        <v>798</v>
      </c>
    </row>
    <row r="798" spans="1:2" ht="15.75" x14ac:dyDescent="0.25">
      <c r="A798" s="79" t="s">
        <v>799</v>
      </c>
    </row>
    <row r="799" spans="1:2" x14ac:dyDescent="0.25">
      <c r="A799" t="s">
        <v>1159</v>
      </c>
    </row>
    <row r="801" spans="1:2" ht="15.75" x14ac:dyDescent="0.25">
      <c r="A801" s="79" t="s">
        <v>789</v>
      </c>
      <c r="B801" s="79" t="s">
        <v>888</v>
      </c>
    </row>
    <row r="802" spans="1:2" x14ac:dyDescent="0.25">
      <c r="A802" t="s">
        <v>791</v>
      </c>
      <c r="B802" t="s">
        <v>1040</v>
      </c>
    </row>
    <row r="803" spans="1:2" x14ac:dyDescent="0.25">
      <c r="A803" t="s">
        <v>793</v>
      </c>
      <c r="B803" t="s">
        <v>794</v>
      </c>
    </row>
    <row r="804" spans="1:2" x14ac:dyDescent="0.25">
      <c r="A804" t="s">
        <v>795</v>
      </c>
      <c r="B804" t="s">
        <v>889</v>
      </c>
    </row>
    <row r="805" spans="1:2" x14ac:dyDescent="0.25">
      <c r="A805" t="s">
        <v>796</v>
      </c>
      <c r="B805" t="s">
        <v>797</v>
      </c>
    </row>
    <row r="806" spans="1:2" x14ac:dyDescent="0.25">
      <c r="A806" t="s">
        <v>110</v>
      </c>
      <c r="B806" t="s">
        <v>798</v>
      </c>
    </row>
    <row r="807" spans="1:2" ht="15.75" x14ac:dyDescent="0.25">
      <c r="A807" s="79" t="s">
        <v>799</v>
      </c>
    </row>
    <row r="808" spans="1:2" x14ac:dyDescent="0.25">
      <c r="A808" t="s">
        <v>1159</v>
      </c>
    </row>
    <row r="810" spans="1:2" ht="15.75" x14ac:dyDescent="0.25">
      <c r="A810" s="79" t="s">
        <v>789</v>
      </c>
      <c r="B810" s="79" t="s">
        <v>853</v>
      </c>
    </row>
    <row r="811" spans="1:2" x14ac:dyDescent="0.25">
      <c r="A811" t="s">
        <v>791</v>
      </c>
      <c r="B811" t="s">
        <v>1047</v>
      </c>
    </row>
    <row r="812" spans="1:2" x14ac:dyDescent="0.25">
      <c r="A812" t="s">
        <v>793</v>
      </c>
      <c r="B812" t="s">
        <v>794</v>
      </c>
    </row>
    <row r="813" spans="1:2" x14ac:dyDescent="0.25">
      <c r="A813" t="s">
        <v>795</v>
      </c>
      <c r="B813" t="s">
        <v>854</v>
      </c>
    </row>
    <row r="814" spans="1:2" x14ac:dyDescent="0.25">
      <c r="A814" t="s">
        <v>796</v>
      </c>
      <c r="B814" t="s">
        <v>797</v>
      </c>
    </row>
    <row r="815" spans="1:2" x14ac:dyDescent="0.25">
      <c r="A815" t="s">
        <v>110</v>
      </c>
      <c r="B815" t="s">
        <v>798</v>
      </c>
    </row>
    <row r="816" spans="1:2" ht="15.75" x14ac:dyDescent="0.25">
      <c r="A816" s="79" t="s">
        <v>799</v>
      </c>
    </row>
    <row r="817" spans="1:2" x14ac:dyDescent="0.25">
      <c r="A817" t="s">
        <v>1159</v>
      </c>
    </row>
    <row r="819" spans="1:2" ht="15.75" x14ac:dyDescent="0.25">
      <c r="A819" s="79" t="s">
        <v>789</v>
      </c>
      <c r="B819" s="79" t="s">
        <v>1049</v>
      </c>
    </row>
    <row r="820" spans="1:2" x14ac:dyDescent="0.25">
      <c r="A820" t="s">
        <v>791</v>
      </c>
      <c r="B820" t="s">
        <v>1050</v>
      </c>
    </row>
    <row r="821" spans="1:2" x14ac:dyDescent="0.25">
      <c r="A821" t="s">
        <v>793</v>
      </c>
      <c r="B821" t="s">
        <v>794</v>
      </c>
    </row>
    <row r="822" spans="1:2" x14ac:dyDescent="0.25">
      <c r="A822" t="s">
        <v>795</v>
      </c>
      <c r="B822" t="s">
        <v>1051</v>
      </c>
    </row>
    <row r="823" spans="1:2" x14ac:dyDescent="0.25">
      <c r="A823" t="s">
        <v>796</v>
      </c>
      <c r="B823" t="s">
        <v>797</v>
      </c>
    </row>
    <row r="824" spans="1:2" x14ac:dyDescent="0.25">
      <c r="A824" t="s">
        <v>110</v>
      </c>
      <c r="B824" t="s">
        <v>834</v>
      </c>
    </row>
    <row r="825" spans="1:2" ht="15.75" x14ac:dyDescent="0.25">
      <c r="A825" s="79" t="s">
        <v>799</v>
      </c>
    </row>
    <row r="826" spans="1:2" x14ac:dyDescent="0.25">
      <c r="A826" t="s">
        <v>1159</v>
      </c>
    </row>
    <row r="828" spans="1:2" ht="15.75" x14ac:dyDescent="0.25">
      <c r="A828" s="79" t="s">
        <v>789</v>
      </c>
      <c r="B828" s="79" t="s">
        <v>1063</v>
      </c>
    </row>
    <row r="829" spans="1:2" x14ac:dyDescent="0.25">
      <c r="A829" t="s">
        <v>791</v>
      </c>
      <c r="B829" t="s">
        <v>1064</v>
      </c>
    </row>
    <row r="830" spans="1:2" x14ac:dyDescent="0.25">
      <c r="A830" t="s">
        <v>793</v>
      </c>
      <c r="B830" t="s">
        <v>794</v>
      </c>
    </row>
    <row r="831" spans="1:2" x14ac:dyDescent="0.25">
      <c r="A831" t="s">
        <v>795</v>
      </c>
      <c r="B831" t="s">
        <v>1065</v>
      </c>
    </row>
    <row r="832" spans="1:2" x14ac:dyDescent="0.25">
      <c r="A832" t="s">
        <v>796</v>
      </c>
      <c r="B832" t="s">
        <v>797</v>
      </c>
    </row>
    <row r="833" spans="1:2" x14ac:dyDescent="0.25">
      <c r="A833" t="s">
        <v>110</v>
      </c>
      <c r="B833" t="s">
        <v>798</v>
      </c>
    </row>
    <row r="834" spans="1:2" ht="15.75" x14ac:dyDescent="0.25">
      <c r="A834" s="79" t="s">
        <v>799</v>
      </c>
    </row>
    <row r="835" spans="1:2" x14ac:dyDescent="0.25">
      <c r="A835" t="s">
        <v>1159</v>
      </c>
    </row>
    <row r="837" spans="1:2" ht="15.75" x14ac:dyDescent="0.25">
      <c r="A837" s="79" t="s">
        <v>789</v>
      </c>
      <c r="B837" s="79" t="s">
        <v>901</v>
      </c>
    </row>
    <row r="838" spans="1:2" x14ac:dyDescent="0.25">
      <c r="A838" t="s">
        <v>791</v>
      </c>
      <c r="B838" t="s">
        <v>1066</v>
      </c>
    </row>
    <row r="839" spans="1:2" x14ac:dyDescent="0.25">
      <c r="A839" t="s">
        <v>793</v>
      </c>
      <c r="B839" t="s">
        <v>794</v>
      </c>
    </row>
    <row r="840" spans="1:2" x14ac:dyDescent="0.25">
      <c r="A840" t="s">
        <v>795</v>
      </c>
      <c r="B840" t="s">
        <v>902</v>
      </c>
    </row>
    <row r="841" spans="1:2" x14ac:dyDescent="0.25">
      <c r="A841" t="s">
        <v>796</v>
      </c>
      <c r="B841" t="s">
        <v>797</v>
      </c>
    </row>
    <row r="842" spans="1:2" x14ac:dyDescent="0.25">
      <c r="A842" t="s">
        <v>110</v>
      </c>
      <c r="B842" t="s">
        <v>798</v>
      </c>
    </row>
    <row r="843" spans="1:2" ht="15.75" x14ac:dyDescent="0.25">
      <c r="A843" s="79" t="s">
        <v>799</v>
      </c>
    </row>
    <row r="844" spans="1:2" x14ac:dyDescent="0.25">
      <c r="A844" t="s">
        <v>1159</v>
      </c>
    </row>
    <row r="846" spans="1:2" ht="15.75" x14ac:dyDescent="0.25">
      <c r="A846" s="79" t="s">
        <v>789</v>
      </c>
      <c r="B846" s="79" t="s">
        <v>830</v>
      </c>
    </row>
    <row r="847" spans="1:2" x14ac:dyDescent="0.25">
      <c r="A847" t="s">
        <v>791</v>
      </c>
      <c r="B847" t="s">
        <v>1084</v>
      </c>
    </row>
    <row r="848" spans="1:2" x14ac:dyDescent="0.25">
      <c r="A848" t="s">
        <v>793</v>
      </c>
      <c r="B848" t="s">
        <v>794</v>
      </c>
    </row>
    <row r="849" spans="1:2" x14ac:dyDescent="0.25">
      <c r="A849" t="s">
        <v>795</v>
      </c>
      <c r="B849" t="s">
        <v>831</v>
      </c>
    </row>
    <row r="850" spans="1:2" x14ac:dyDescent="0.25">
      <c r="A850" t="s">
        <v>796</v>
      </c>
      <c r="B850" t="s">
        <v>797</v>
      </c>
    </row>
    <row r="851" spans="1:2" x14ac:dyDescent="0.25">
      <c r="A851" t="s">
        <v>110</v>
      </c>
      <c r="B851" t="s">
        <v>798</v>
      </c>
    </row>
    <row r="852" spans="1:2" ht="15.75" x14ac:dyDescent="0.25">
      <c r="A852" s="79" t="s">
        <v>799</v>
      </c>
    </row>
    <row r="853" spans="1:2" x14ac:dyDescent="0.25">
      <c r="A853" t="s">
        <v>1159</v>
      </c>
    </row>
    <row r="855" spans="1:2" ht="15.75" x14ac:dyDescent="0.25">
      <c r="A855" s="79" t="s">
        <v>789</v>
      </c>
      <c r="B855" s="79" t="s">
        <v>1091</v>
      </c>
    </row>
    <row r="856" spans="1:2" x14ac:dyDescent="0.25">
      <c r="A856" t="s">
        <v>791</v>
      </c>
      <c r="B856" t="s">
        <v>1092</v>
      </c>
    </row>
    <row r="857" spans="1:2" x14ac:dyDescent="0.25">
      <c r="A857" t="s">
        <v>793</v>
      </c>
      <c r="B857" t="s">
        <v>794</v>
      </c>
    </row>
    <row r="858" spans="1:2" x14ac:dyDescent="0.25">
      <c r="A858" t="s">
        <v>795</v>
      </c>
      <c r="B858" t="s">
        <v>1093</v>
      </c>
    </row>
    <row r="859" spans="1:2" x14ac:dyDescent="0.25">
      <c r="A859" t="s">
        <v>796</v>
      </c>
      <c r="B859" t="s">
        <v>797</v>
      </c>
    </row>
    <row r="860" spans="1:2" x14ac:dyDescent="0.25">
      <c r="A860" t="s">
        <v>110</v>
      </c>
      <c r="B860" t="s">
        <v>834</v>
      </c>
    </row>
    <row r="861" spans="1:2" ht="15.75" x14ac:dyDescent="0.25">
      <c r="A861" s="79" t="s">
        <v>799</v>
      </c>
    </row>
    <row r="862" spans="1:2" x14ac:dyDescent="0.25">
      <c r="A862" t="s">
        <v>1159</v>
      </c>
    </row>
    <row r="864" spans="1:2" ht="15.75" x14ac:dyDescent="0.25">
      <c r="A864" s="79" t="s">
        <v>789</v>
      </c>
      <c r="B864" s="79" t="s">
        <v>1094</v>
      </c>
    </row>
    <row r="865" spans="1:2" x14ac:dyDescent="0.25">
      <c r="A865" t="s">
        <v>791</v>
      </c>
      <c r="B865" t="s">
        <v>1095</v>
      </c>
    </row>
    <row r="866" spans="1:2" x14ac:dyDescent="0.25">
      <c r="A866" t="s">
        <v>793</v>
      </c>
      <c r="B866" t="s">
        <v>1043</v>
      </c>
    </row>
    <row r="867" spans="1:2" x14ac:dyDescent="0.25">
      <c r="A867" t="s">
        <v>795</v>
      </c>
      <c r="B867" t="s">
        <v>964</v>
      </c>
    </row>
    <row r="868" spans="1:2" x14ac:dyDescent="0.25">
      <c r="A868" t="s">
        <v>796</v>
      </c>
      <c r="B868" t="s">
        <v>797</v>
      </c>
    </row>
    <row r="869" spans="1:2" x14ac:dyDescent="0.25">
      <c r="A869" t="s">
        <v>110</v>
      </c>
      <c r="B869" t="s">
        <v>798</v>
      </c>
    </row>
    <row r="870" spans="1:2" ht="15.75" x14ac:dyDescent="0.25">
      <c r="A870" s="79" t="s">
        <v>799</v>
      </c>
    </row>
    <row r="871" spans="1:2" x14ac:dyDescent="0.25">
      <c r="A871" t="s">
        <v>1159</v>
      </c>
    </row>
    <row r="873" spans="1:2" ht="15.75" x14ac:dyDescent="0.25">
      <c r="A873" s="79" t="s">
        <v>789</v>
      </c>
      <c r="B873" s="79" t="s">
        <v>1096</v>
      </c>
    </row>
    <row r="874" spans="1:2" x14ac:dyDescent="0.25">
      <c r="A874" t="s">
        <v>791</v>
      </c>
      <c r="B874" t="s">
        <v>1097</v>
      </c>
    </row>
    <row r="875" spans="1:2" x14ac:dyDescent="0.25">
      <c r="A875" t="s">
        <v>793</v>
      </c>
      <c r="B875" t="s">
        <v>794</v>
      </c>
    </row>
    <row r="876" spans="1:2" x14ac:dyDescent="0.25">
      <c r="A876" t="s">
        <v>795</v>
      </c>
      <c r="B876" t="s">
        <v>1098</v>
      </c>
    </row>
    <row r="877" spans="1:2" x14ac:dyDescent="0.25">
      <c r="A877" t="s">
        <v>796</v>
      </c>
      <c r="B877" t="s">
        <v>797</v>
      </c>
    </row>
    <row r="878" spans="1:2" x14ac:dyDescent="0.25">
      <c r="A878" t="s">
        <v>110</v>
      </c>
      <c r="B878" t="s">
        <v>834</v>
      </c>
    </row>
    <row r="879" spans="1:2" ht="15.75" x14ac:dyDescent="0.25">
      <c r="A879" s="79" t="s">
        <v>799</v>
      </c>
    </row>
    <row r="880" spans="1:2" x14ac:dyDescent="0.25">
      <c r="A880" t="s">
        <v>1159</v>
      </c>
    </row>
    <row r="882" spans="1:2" ht="15.75" x14ac:dyDescent="0.25">
      <c r="A882" s="79" t="s">
        <v>789</v>
      </c>
      <c r="B882" s="79" t="s">
        <v>956</v>
      </c>
    </row>
    <row r="883" spans="1:2" x14ac:dyDescent="0.25">
      <c r="A883" t="s">
        <v>791</v>
      </c>
      <c r="B883" t="s">
        <v>1099</v>
      </c>
    </row>
    <row r="884" spans="1:2" x14ac:dyDescent="0.25">
      <c r="A884" t="s">
        <v>793</v>
      </c>
      <c r="B884" t="s">
        <v>794</v>
      </c>
    </row>
    <row r="885" spans="1:2" x14ac:dyDescent="0.25">
      <c r="A885" t="s">
        <v>795</v>
      </c>
      <c r="B885" t="s">
        <v>1100</v>
      </c>
    </row>
    <row r="886" spans="1:2" x14ac:dyDescent="0.25">
      <c r="A886" t="s">
        <v>796</v>
      </c>
      <c r="B886" t="s">
        <v>797</v>
      </c>
    </row>
    <row r="887" spans="1:2" x14ac:dyDescent="0.25">
      <c r="A887" t="s">
        <v>110</v>
      </c>
      <c r="B887" t="s">
        <v>798</v>
      </c>
    </row>
    <row r="888" spans="1:2" ht="15.75" x14ac:dyDescent="0.25">
      <c r="A888" s="79" t="s">
        <v>799</v>
      </c>
    </row>
    <row r="889" spans="1:2" x14ac:dyDescent="0.25">
      <c r="A889" t="s">
        <v>1159</v>
      </c>
    </row>
    <row r="891" spans="1:2" ht="15.75" x14ac:dyDescent="0.25">
      <c r="A891" s="79" t="s">
        <v>789</v>
      </c>
      <c r="B891" s="79" t="s">
        <v>956</v>
      </c>
    </row>
    <row r="892" spans="1:2" x14ac:dyDescent="0.25">
      <c r="A892" t="s">
        <v>791</v>
      </c>
      <c r="B892" t="s">
        <v>1101</v>
      </c>
    </row>
    <row r="893" spans="1:2" x14ac:dyDescent="0.25">
      <c r="A893" t="s">
        <v>793</v>
      </c>
      <c r="B893" t="s">
        <v>794</v>
      </c>
    </row>
    <row r="894" spans="1:2" x14ac:dyDescent="0.25">
      <c r="A894" t="s">
        <v>795</v>
      </c>
      <c r="B894" t="s">
        <v>957</v>
      </c>
    </row>
    <row r="895" spans="1:2" x14ac:dyDescent="0.25">
      <c r="A895" t="s">
        <v>796</v>
      </c>
      <c r="B895" t="s">
        <v>797</v>
      </c>
    </row>
    <row r="896" spans="1:2" x14ac:dyDescent="0.25">
      <c r="A896" t="s">
        <v>110</v>
      </c>
      <c r="B896" t="s">
        <v>834</v>
      </c>
    </row>
    <row r="897" spans="1:2" ht="15.75" x14ac:dyDescent="0.25">
      <c r="A897" s="79" t="s">
        <v>799</v>
      </c>
    </row>
    <row r="898" spans="1:2" x14ac:dyDescent="0.25">
      <c r="A898" t="s">
        <v>1159</v>
      </c>
    </row>
    <row r="900" spans="1:2" ht="15.75" x14ac:dyDescent="0.25">
      <c r="A900" s="79" t="s">
        <v>789</v>
      </c>
      <c r="B900" s="79" t="s">
        <v>1102</v>
      </c>
    </row>
    <row r="901" spans="1:2" x14ac:dyDescent="0.25">
      <c r="A901" t="s">
        <v>791</v>
      </c>
      <c r="B901" t="s">
        <v>1103</v>
      </c>
    </row>
    <row r="902" spans="1:2" x14ac:dyDescent="0.25">
      <c r="A902" t="s">
        <v>793</v>
      </c>
      <c r="B902" t="s">
        <v>811</v>
      </c>
    </row>
    <row r="903" spans="1:2" x14ac:dyDescent="0.25">
      <c r="A903" t="s">
        <v>795</v>
      </c>
      <c r="B903" t="s">
        <v>1104</v>
      </c>
    </row>
    <row r="904" spans="1:2" x14ac:dyDescent="0.25">
      <c r="A904" t="s">
        <v>796</v>
      </c>
      <c r="B904" t="s">
        <v>797</v>
      </c>
    </row>
    <row r="905" spans="1:2" x14ac:dyDescent="0.25">
      <c r="A905" t="s">
        <v>110</v>
      </c>
      <c r="B905" t="s">
        <v>825</v>
      </c>
    </row>
    <row r="906" spans="1:2" ht="15.75" x14ac:dyDescent="0.25">
      <c r="A906" s="79" t="s">
        <v>799</v>
      </c>
    </row>
    <row r="907" spans="1:2" x14ac:dyDescent="0.25">
      <c r="A907" t="s">
        <v>1159</v>
      </c>
    </row>
    <row r="909" spans="1:2" ht="15.75" x14ac:dyDescent="0.25">
      <c r="A909" s="79" t="s">
        <v>789</v>
      </c>
      <c r="B909" s="79" t="s">
        <v>906</v>
      </c>
    </row>
    <row r="910" spans="1:2" x14ac:dyDescent="0.25">
      <c r="A910" t="s">
        <v>791</v>
      </c>
      <c r="B910" t="s">
        <v>1105</v>
      </c>
    </row>
    <row r="911" spans="1:2" x14ac:dyDescent="0.25">
      <c r="A911" t="s">
        <v>793</v>
      </c>
      <c r="B911" t="s">
        <v>794</v>
      </c>
    </row>
    <row r="912" spans="1:2" x14ac:dyDescent="0.25">
      <c r="A912" t="s">
        <v>795</v>
      </c>
      <c r="B912" t="s">
        <v>873</v>
      </c>
    </row>
    <row r="913" spans="1:2" x14ac:dyDescent="0.25">
      <c r="A913" t="s">
        <v>796</v>
      </c>
      <c r="B913" t="s">
        <v>797</v>
      </c>
    </row>
    <row r="914" spans="1:2" x14ac:dyDescent="0.25">
      <c r="A914" t="s">
        <v>110</v>
      </c>
      <c r="B914" t="s">
        <v>798</v>
      </c>
    </row>
    <row r="915" spans="1:2" ht="15.75" x14ac:dyDescent="0.25">
      <c r="A915" s="79" t="s">
        <v>799</v>
      </c>
    </row>
    <row r="916" spans="1:2" x14ac:dyDescent="0.25">
      <c r="A916" t="s">
        <v>1159</v>
      </c>
    </row>
    <row r="918" spans="1:2" ht="15.75" x14ac:dyDescent="0.25">
      <c r="A918" s="79" t="s">
        <v>789</v>
      </c>
      <c r="B918" s="79" t="s">
        <v>1052</v>
      </c>
    </row>
    <row r="919" spans="1:2" x14ac:dyDescent="0.25">
      <c r="A919" t="s">
        <v>791</v>
      </c>
      <c r="B919" t="s">
        <v>1106</v>
      </c>
    </row>
    <row r="920" spans="1:2" x14ac:dyDescent="0.25">
      <c r="A920" t="s">
        <v>793</v>
      </c>
      <c r="B920" t="s">
        <v>794</v>
      </c>
    </row>
    <row r="921" spans="1:2" x14ac:dyDescent="0.25">
      <c r="A921" t="s">
        <v>795</v>
      </c>
      <c r="B921" t="s">
        <v>1051</v>
      </c>
    </row>
    <row r="922" spans="1:2" x14ac:dyDescent="0.25">
      <c r="A922" t="s">
        <v>796</v>
      </c>
      <c r="B922" t="s">
        <v>797</v>
      </c>
    </row>
    <row r="923" spans="1:2" x14ac:dyDescent="0.25">
      <c r="A923" t="s">
        <v>110</v>
      </c>
      <c r="B923" t="s">
        <v>834</v>
      </c>
    </row>
    <row r="924" spans="1:2" ht="15.75" x14ac:dyDescent="0.25">
      <c r="A924" s="79" t="s">
        <v>799</v>
      </c>
    </row>
    <row r="925" spans="1:2" x14ac:dyDescent="0.25">
      <c r="A925" t="s">
        <v>1159</v>
      </c>
    </row>
    <row r="927" spans="1:2" ht="15.75" x14ac:dyDescent="0.25">
      <c r="A927" s="79" t="s">
        <v>789</v>
      </c>
      <c r="B927" s="79" t="s">
        <v>1078</v>
      </c>
    </row>
    <row r="928" spans="1:2" x14ac:dyDescent="0.25">
      <c r="A928" t="s">
        <v>791</v>
      </c>
      <c r="B928" t="s">
        <v>1107</v>
      </c>
    </row>
    <row r="929" spans="1:2" x14ac:dyDescent="0.25">
      <c r="A929" t="s">
        <v>793</v>
      </c>
      <c r="B929" t="s">
        <v>1043</v>
      </c>
    </row>
    <row r="930" spans="1:2" x14ac:dyDescent="0.25">
      <c r="A930" t="s">
        <v>795</v>
      </c>
      <c r="B930" t="s">
        <v>875</v>
      </c>
    </row>
    <row r="931" spans="1:2" x14ac:dyDescent="0.25">
      <c r="A931" t="s">
        <v>796</v>
      </c>
      <c r="B931" t="s">
        <v>797</v>
      </c>
    </row>
    <row r="932" spans="1:2" x14ac:dyDescent="0.25">
      <c r="A932" t="s">
        <v>110</v>
      </c>
      <c r="B932" t="s">
        <v>798</v>
      </c>
    </row>
    <row r="933" spans="1:2" ht="15.75" x14ac:dyDescent="0.25">
      <c r="A933" s="79" t="s">
        <v>799</v>
      </c>
    </row>
    <row r="934" spans="1:2" x14ac:dyDescent="0.25">
      <c r="A934" t="s">
        <v>1159</v>
      </c>
    </row>
    <row r="936" spans="1:2" ht="15.75" x14ac:dyDescent="0.25">
      <c r="A936" s="79" t="s">
        <v>789</v>
      </c>
      <c r="B936" s="79" t="s">
        <v>1078</v>
      </c>
    </row>
    <row r="937" spans="1:2" x14ac:dyDescent="0.25">
      <c r="A937" t="s">
        <v>791</v>
      </c>
      <c r="B937" t="s">
        <v>1108</v>
      </c>
    </row>
    <row r="938" spans="1:2" x14ac:dyDescent="0.25">
      <c r="A938" t="s">
        <v>793</v>
      </c>
      <c r="B938" t="s">
        <v>851</v>
      </c>
    </row>
    <row r="939" spans="1:2" x14ac:dyDescent="0.25">
      <c r="A939" t="s">
        <v>795</v>
      </c>
      <c r="B939" t="s">
        <v>875</v>
      </c>
    </row>
    <row r="940" spans="1:2" x14ac:dyDescent="0.25">
      <c r="A940" t="s">
        <v>796</v>
      </c>
      <c r="B940" t="s">
        <v>797</v>
      </c>
    </row>
    <row r="941" spans="1:2" x14ac:dyDescent="0.25">
      <c r="A941" t="s">
        <v>110</v>
      </c>
      <c r="B941" t="s">
        <v>798</v>
      </c>
    </row>
    <row r="942" spans="1:2" ht="15.75" x14ac:dyDescent="0.25">
      <c r="A942" s="79" t="s">
        <v>799</v>
      </c>
    </row>
    <row r="943" spans="1:2" x14ac:dyDescent="0.25">
      <c r="A943" t="s">
        <v>1159</v>
      </c>
    </row>
    <row r="945" spans="1:2" ht="15.75" x14ac:dyDescent="0.25">
      <c r="A945" s="79" t="s">
        <v>789</v>
      </c>
      <c r="B945" s="79" t="s">
        <v>1109</v>
      </c>
    </row>
    <row r="946" spans="1:2" x14ac:dyDescent="0.25">
      <c r="A946" t="s">
        <v>791</v>
      </c>
      <c r="B946" t="s">
        <v>1110</v>
      </c>
    </row>
    <row r="947" spans="1:2" x14ac:dyDescent="0.25">
      <c r="A947" t="s">
        <v>793</v>
      </c>
      <c r="B947" t="s">
        <v>851</v>
      </c>
    </row>
    <row r="948" spans="1:2" x14ac:dyDescent="0.25">
      <c r="A948" t="s">
        <v>795</v>
      </c>
      <c r="B948" t="s">
        <v>1111</v>
      </c>
    </row>
    <row r="949" spans="1:2" x14ac:dyDescent="0.25">
      <c r="A949" t="s">
        <v>796</v>
      </c>
      <c r="B949" t="s">
        <v>797</v>
      </c>
    </row>
    <row r="950" spans="1:2" x14ac:dyDescent="0.25">
      <c r="A950" t="s">
        <v>110</v>
      </c>
      <c r="B950" t="s">
        <v>798</v>
      </c>
    </row>
    <row r="951" spans="1:2" ht="15.75" x14ac:dyDescent="0.25">
      <c r="A951" s="79" t="s">
        <v>799</v>
      </c>
    </row>
    <row r="952" spans="1:2" x14ac:dyDescent="0.25">
      <c r="A952" t="s">
        <v>1159</v>
      </c>
    </row>
    <row r="954" spans="1:2" ht="15.75" x14ac:dyDescent="0.25">
      <c r="A954" s="79" t="s">
        <v>789</v>
      </c>
      <c r="B954" s="79" t="s">
        <v>1075</v>
      </c>
    </row>
    <row r="955" spans="1:2" x14ac:dyDescent="0.25">
      <c r="A955" t="s">
        <v>791</v>
      </c>
      <c r="B955" t="s">
        <v>1112</v>
      </c>
    </row>
    <row r="956" spans="1:2" x14ac:dyDescent="0.25">
      <c r="A956" t="s">
        <v>793</v>
      </c>
      <c r="B956" t="s">
        <v>1043</v>
      </c>
    </row>
    <row r="957" spans="1:2" x14ac:dyDescent="0.25">
      <c r="A957" t="s">
        <v>795</v>
      </c>
      <c r="B957" t="s">
        <v>875</v>
      </c>
    </row>
    <row r="958" spans="1:2" x14ac:dyDescent="0.25">
      <c r="A958" t="s">
        <v>796</v>
      </c>
      <c r="B958" t="s">
        <v>797</v>
      </c>
    </row>
    <row r="959" spans="1:2" x14ac:dyDescent="0.25">
      <c r="A959" t="s">
        <v>110</v>
      </c>
      <c r="B959" t="s">
        <v>798</v>
      </c>
    </row>
    <row r="960" spans="1:2" ht="15.75" x14ac:dyDescent="0.25">
      <c r="A960" s="79" t="s">
        <v>799</v>
      </c>
    </row>
    <row r="961" spans="1:2" x14ac:dyDescent="0.25">
      <c r="A961" t="s">
        <v>1159</v>
      </c>
    </row>
    <row r="963" spans="1:2" ht="15.75" x14ac:dyDescent="0.25">
      <c r="A963" s="79" t="s">
        <v>789</v>
      </c>
      <c r="B963" s="79" t="s">
        <v>1075</v>
      </c>
    </row>
    <row r="964" spans="1:2" x14ac:dyDescent="0.25">
      <c r="A964" t="s">
        <v>791</v>
      </c>
      <c r="B964" t="s">
        <v>1114</v>
      </c>
    </row>
    <row r="965" spans="1:2" x14ac:dyDescent="0.25">
      <c r="A965" t="s">
        <v>793</v>
      </c>
      <c r="B965" t="s">
        <v>933</v>
      </c>
    </row>
    <row r="966" spans="1:2" x14ac:dyDescent="0.25">
      <c r="A966" t="s">
        <v>795</v>
      </c>
      <c r="B966" t="s">
        <v>875</v>
      </c>
    </row>
    <row r="967" spans="1:2" x14ac:dyDescent="0.25">
      <c r="A967" t="s">
        <v>796</v>
      </c>
      <c r="B967" t="s">
        <v>797</v>
      </c>
    </row>
    <row r="968" spans="1:2" x14ac:dyDescent="0.25">
      <c r="A968" t="s">
        <v>110</v>
      </c>
      <c r="B968" t="s">
        <v>798</v>
      </c>
    </row>
    <row r="969" spans="1:2" ht="15.75" x14ac:dyDescent="0.25">
      <c r="A969" s="79" t="s">
        <v>799</v>
      </c>
    </row>
    <row r="970" spans="1:2" x14ac:dyDescent="0.25">
      <c r="A970" t="s">
        <v>1159</v>
      </c>
    </row>
    <row r="972" spans="1:2" ht="15.75" x14ac:dyDescent="0.25">
      <c r="A972" s="79" t="s">
        <v>789</v>
      </c>
      <c r="B972" s="79" t="s">
        <v>1075</v>
      </c>
    </row>
    <row r="973" spans="1:2" x14ac:dyDescent="0.25">
      <c r="A973" t="s">
        <v>791</v>
      </c>
      <c r="B973" t="s">
        <v>1115</v>
      </c>
    </row>
    <row r="974" spans="1:2" x14ac:dyDescent="0.25">
      <c r="A974" t="s">
        <v>793</v>
      </c>
      <c r="B974" t="s">
        <v>851</v>
      </c>
    </row>
    <row r="975" spans="1:2" x14ac:dyDescent="0.25">
      <c r="A975" t="s">
        <v>795</v>
      </c>
      <c r="B975" t="s">
        <v>875</v>
      </c>
    </row>
    <row r="976" spans="1:2" x14ac:dyDescent="0.25">
      <c r="A976" t="s">
        <v>796</v>
      </c>
      <c r="B976" t="s">
        <v>797</v>
      </c>
    </row>
    <row r="977" spans="1:2" x14ac:dyDescent="0.25">
      <c r="A977" t="s">
        <v>110</v>
      </c>
      <c r="B977" t="s">
        <v>798</v>
      </c>
    </row>
    <row r="978" spans="1:2" ht="15.75" x14ac:dyDescent="0.25">
      <c r="A978" s="79" t="s">
        <v>799</v>
      </c>
    </row>
    <row r="979" spans="1:2" x14ac:dyDescent="0.25">
      <c r="A979" t="s">
        <v>1159</v>
      </c>
    </row>
    <row r="981" spans="1:2" ht="15.75" x14ac:dyDescent="0.25">
      <c r="A981" s="79" t="s">
        <v>789</v>
      </c>
      <c r="B981" s="79" t="s">
        <v>1076</v>
      </c>
    </row>
    <row r="982" spans="1:2" x14ac:dyDescent="0.25">
      <c r="A982" t="s">
        <v>791</v>
      </c>
      <c r="B982" t="s">
        <v>1116</v>
      </c>
    </row>
    <row r="983" spans="1:2" x14ac:dyDescent="0.25">
      <c r="A983" t="s">
        <v>793</v>
      </c>
      <c r="B983" t="s">
        <v>933</v>
      </c>
    </row>
    <row r="984" spans="1:2" x14ac:dyDescent="0.25">
      <c r="A984" t="s">
        <v>795</v>
      </c>
      <c r="B984" t="s">
        <v>875</v>
      </c>
    </row>
    <row r="985" spans="1:2" x14ac:dyDescent="0.25">
      <c r="A985" t="s">
        <v>796</v>
      </c>
      <c r="B985" t="s">
        <v>797</v>
      </c>
    </row>
    <row r="986" spans="1:2" x14ac:dyDescent="0.25">
      <c r="A986" t="s">
        <v>110</v>
      </c>
      <c r="B986" t="s">
        <v>798</v>
      </c>
    </row>
    <row r="987" spans="1:2" ht="15.75" x14ac:dyDescent="0.25">
      <c r="A987" s="79" t="s">
        <v>799</v>
      </c>
    </row>
    <row r="988" spans="1:2" x14ac:dyDescent="0.25">
      <c r="A988" t="s">
        <v>1159</v>
      </c>
    </row>
    <row r="990" spans="1:2" ht="15.75" x14ac:dyDescent="0.25">
      <c r="A990" s="79" t="s">
        <v>789</v>
      </c>
      <c r="B990" s="79" t="s">
        <v>1085</v>
      </c>
    </row>
    <row r="991" spans="1:2" x14ac:dyDescent="0.25">
      <c r="A991" t="s">
        <v>791</v>
      </c>
      <c r="B991" t="s">
        <v>1121</v>
      </c>
    </row>
    <row r="992" spans="1:2" x14ac:dyDescent="0.25">
      <c r="A992" t="s">
        <v>793</v>
      </c>
      <c r="B992" t="s">
        <v>794</v>
      </c>
    </row>
    <row r="993" spans="1:2" x14ac:dyDescent="0.25">
      <c r="A993" t="s">
        <v>795</v>
      </c>
      <c r="B993" t="s">
        <v>831</v>
      </c>
    </row>
    <row r="994" spans="1:2" x14ac:dyDescent="0.25">
      <c r="A994" t="s">
        <v>796</v>
      </c>
      <c r="B994" t="s">
        <v>797</v>
      </c>
    </row>
    <row r="995" spans="1:2" x14ac:dyDescent="0.25">
      <c r="A995" t="s">
        <v>110</v>
      </c>
      <c r="B995" t="s">
        <v>798</v>
      </c>
    </row>
    <row r="996" spans="1:2" ht="15.75" x14ac:dyDescent="0.25">
      <c r="A996" s="79" t="s">
        <v>799</v>
      </c>
    </row>
    <row r="997" spans="1:2" x14ac:dyDescent="0.25">
      <c r="A997" t="s">
        <v>1159</v>
      </c>
    </row>
    <row r="999" spans="1:2" ht="15.75" x14ac:dyDescent="0.25">
      <c r="A999" s="79" t="s">
        <v>789</v>
      </c>
      <c r="B999" s="79" t="s">
        <v>1086</v>
      </c>
    </row>
    <row r="1000" spans="1:2" x14ac:dyDescent="0.25">
      <c r="A1000" t="s">
        <v>791</v>
      </c>
      <c r="B1000" t="s">
        <v>1122</v>
      </c>
    </row>
    <row r="1001" spans="1:2" x14ac:dyDescent="0.25">
      <c r="A1001" t="s">
        <v>793</v>
      </c>
      <c r="B1001" t="s">
        <v>794</v>
      </c>
    </row>
    <row r="1002" spans="1:2" x14ac:dyDescent="0.25">
      <c r="A1002" t="s">
        <v>795</v>
      </c>
      <c r="B1002" t="s">
        <v>831</v>
      </c>
    </row>
    <row r="1003" spans="1:2" x14ac:dyDescent="0.25">
      <c r="A1003" t="s">
        <v>796</v>
      </c>
      <c r="B1003" t="s">
        <v>797</v>
      </c>
    </row>
    <row r="1004" spans="1:2" x14ac:dyDescent="0.25">
      <c r="A1004" t="s">
        <v>110</v>
      </c>
      <c r="B1004" t="s">
        <v>798</v>
      </c>
    </row>
    <row r="1005" spans="1:2" ht="15.75" x14ac:dyDescent="0.25">
      <c r="A1005" s="79" t="s">
        <v>799</v>
      </c>
    </row>
    <row r="1006" spans="1:2" x14ac:dyDescent="0.25">
      <c r="A1006" t="s">
        <v>1159</v>
      </c>
    </row>
    <row r="1008" spans="1:2" ht="15.75" x14ac:dyDescent="0.25">
      <c r="A1008" s="79" t="s">
        <v>789</v>
      </c>
      <c r="B1008" s="79" t="s">
        <v>1048</v>
      </c>
    </row>
    <row r="1009" spans="1:2" x14ac:dyDescent="0.25">
      <c r="A1009" t="s">
        <v>791</v>
      </c>
      <c r="B1009" t="s">
        <v>1123</v>
      </c>
    </row>
    <row r="1010" spans="1:2" x14ac:dyDescent="0.25">
      <c r="A1010" t="s">
        <v>793</v>
      </c>
      <c r="B1010" t="s">
        <v>794</v>
      </c>
    </row>
    <row r="1011" spans="1:2" x14ac:dyDescent="0.25">
      <c r="A1011" t="s">
        <v>795</v>
      </c>
      <c r="B1011" t="s">
        <v>854</v>
      </c>
    </row>
    <row r="1012" spans="1:2" x14ac:dyDescent="0.25">
      <c r="A1012" t="s">
        <v>796</v>
      </c>
      <c r="B1012" t="s">
        <v>797</v>
      </c>
    </row>
    <row r="1013" spans="1:2" x14ac:dyDescent="0.25">
      <c r="A1013" t="s">
        <v>110</v>
      </c>
      <c r="B1013" t="s">
        <v>798</v>
      </c>
    </row>
    <row r="1014" spans="1:2" ht="15.75" x14ac:dyDescent="0.25">
      <c r="A1014" s="79" t="s">
        <v>799</v>
      </c>
    </row>
    <row r="1015" spans="1:2" x14ac:dyDescent="0.25">
      <c r="A1015" t="s">
        <v>1159</v>
      </c>
    </row>
    <row r="1017" spans="1:2" ht="15.75" x14ac:dyDescent="0.25">
      <c r="A1017" s="79" t="s">
        <v>789</v>
      </c>
      <c r="B1017" s="79" t="s">
        <v>958</v>
      </c>
    </row>
    <row r="1018" spans="1:2" x14ac:dyDescent="0.25">
      <c r="A1018" t="s">
        <v>791</v>
      </c>
      <c r="B1018" t="s">
        <v>1132</v>
      </c>
    </row>
    <row r="1019" spans="1:2" x14ac:dyDescent="0.25">
      <c r="A1019" t="s">
        <v>793</v>
      </c>
      <c r="B1019" t="s">
        <v>794</v>
      </c>
    </row>
    <row r="1020" spans="1:2" x14ac:dyDescent="0.25">
      <c r="A1020" t="s">
        <v>795</v>
      </c>
      <c r="B1020" t="s">
        <v>959</v>
      </c>
    </row>
    <row r="1021" spans="1:2" x14ac:dyDescent="0.25">
      <c r="A1021" t="s">
        <v>796</v>
      </c>
      <c r="B1021" t="s">
        <v>797</v>
      </c>
    </row>
    <row r="1022" spans="1:2" x14ac:dyDescent="0.25">
      <c r="A1022" t="s">
        <v>110</v>
      </c>
      <c r="B1022" t="s">
        <v>798</v>
      </c>
    </row>
    <row r="1023" spans="1:2" ht="15.75" x14ac:dyDescent="0.25">
      <c r="A1023" s="79" t="s">
        <v>799</v>
      </c>
    </row>
    <row r="1024" spans="1:2" x14ac:dyDescent="0.25">
      <c r="A1024" t="s">
        <v>1159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Foreground</vt:lpstr>
      <vt:lpstr>Modified datasets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Tanguay</dc:creator>
  <cp:lastModifiedBy>Xavier Tanguay</cp:lastModifiedBy>
  <dcterms:created xsi:type="dcterms:W3CDTF">2023-08-25T16:10:54Z</dcterms:created>
  <dcterms:modified xsi:type="dcterms:W3CDTF">2026-02-20T18:37:47Z</dcterms:modified>
</cp:coreProperties>
</file>